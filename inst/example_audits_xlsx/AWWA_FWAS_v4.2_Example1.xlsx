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MichaelThompson\Documents\Compliance\WaterAudit\CompilerTesting\Downloads_v4.2\XLS_Files\"/>
    </mc:Choice>
  </mc:AlternateContent>
  <xr:revisionPtr revIDLastSave="0" documentId="8_{44A8B621-936E-424F-90A5-619B08CBDBEB}" xr6:coauthVersionLast="47" xr6:coauthVersionMax="47" xr10:uidLastSave="{00000000-0000-0000-0000-000000000000}"/>
  <workbookProtection workbookPassword="CFA3" lockStructure="1"/>
  <bookViews>
    <workbookView xWindow="-120" yWindow="-120" windowWidth="38640" windowHeight="21120" tabRatio="884" firstSheet="3" activeTab="4" xr2:uid="{9F103C50-04B7-44C0-A554-EC1515451881}"/>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 i="22" l="1"/>
  <c r="P78" i="22" s="1"/>
  <c r="I99" i="22"/>
  <c r="C101" i="22" s="1"/>
  <c r="G19" i="22"/>
  <c r="G26" i="22" s="1"/>
  <c r="G42" i="22"/>
  <c r="D13" i="30"/>
  <c r="K13" i="30" s="1"/>
  <c r="I105" i="22"/>
  <c r="S25" i="32" s="1"/>
  <c r="J99" i="22"/>
  <c r="C4" i="30"/>
  <c r="L4" i="30" s="1"/>
  <c r="D8" i="30"/>
  <c r="K8" i="30" s="1"/>
  <c r="M8" i="30" s="1"/>
  <c r="D10" i="30"/>
  <c r="K10" i="30" s="1"/>
  <c r="M10" i="30" s="1"/>
  <c r="D9" i="30"/>
  <c r="D7" i="30"/>
  <c r="F7" i="30" s="1"/>
  <c r="D4" i="30"/>
  <c r="K4" i="30" s="1"/>
  <c r="M4" i="30" s="1"/>
  <c r="D6" i="30"/>
  <c r="D5" i="30"/>
  <c r="C5" i="30"/>
  <c r="L5" i="30" s="1"/>
  <c r="F6" i="30"/>
  <c r="H6" i="30"/>
  <c r="C6" i="30"/>
  <c r="C7" i="30"/>
  <c r="L7" i="30"/>
  <c r="C8" i="30"/>
  <c r="L8" i="30" s="1"/>
  <c r="C9" i="30"/>
  <c r="C10" i="30"/>
  <c r="L10" i="30" s="1"/>
  <c r="C11" i="30"/>
  <c r="C12" i="30"/>
  <c r="L12" i="30" s="1"/>
  <c r="M12" i="30" s="1"/>
  <c r="C13" i="30"/>
  <c r="L13" i="30" s="1"/>
  <c r="C14" i="30"/>
  <c r="L14" i="30" s="1"/>
  <c r="C15" i="30"/>
  <c r="C16" i="30"/>
  <c r="C17" i="30"/>
  <c r="C18" i="30"/>
  <c r="C19" i="30"/>
  <c r="L19" i="30"/>
  <c r="C20" i="30"/>
  <c r="C21" i="30"/>
  <c r="G64" i="22"/>
  <c r="Q39" i="40"/>
  <c r="Q40" i="40" s="1"/>
  <c r="Q38" i="40"/>
  <c r="Q48" i="40"/>
  <c r="Q49" i="40" s="1"/>
  <c r="Q46" i="40"/>
  <c r="Q47" i="40" s="1"/>
  <c r="Q44" i="40"/>
  <c r="Q45" i="40" s="1"/>
  <c r="Q41" i="40"/>
  <c r="Q42" i="40" s="1"/>
  <c r="Q36" i="40"/>
  <c r="Q37" i="40" s="1"/>
  <c r="Q34" i="40"/>
  <c r="Q35" i="40"/>
  <c r="Q31" i="40"/>
  <c r="Q32" i="40" s="1"/>
  <c r="Q29" i="40"/>
  <c r="Q30" i="40" s="1"/>
  <c r="Q27" i="40"/>
  <c r="Q28" i="40"/>
  <c r="Q24" i="40"/>
  <c r="Q25" i="40"/>
  <c r="Q22" i="40"/>
  <c r="Q20" i="40"/>
  <c r="Q18" i="40"/>
  <c r="Q19" i="40"/>
  <c r="Q15" i="40"/>
  <c r="Q16" i="40" s="1"/>
  <c r="Q13" i="40"/>
  <c r="Q11" i="40"/>
  <c r="Q9" i="40"/>
  <c r="Q10" i="40"/>
  <c r="K15" i="22"/>
  <c r="L44" i="22"/>
  <c r="L75" i="22"/>
  <c r="E4" i="42"/>
  <c r="C40" i="22"/>
  <c r="C28" i="22"/>
  <c r="Q23" i="40"/>
  <c r="Q21" i="40"/>
  <c r="Q14" i="40"/>
  <c r="Q12" i="40"/>
  <c r="L21" i="30"/>
  <c r="M21" i="30" s="1"/>
  <c r="K6" i="30"/>
  <c r="K7" i="30"/>
  <c r="M7" i="30" s="1"/>
  <c r="L9" i="30"/>
  <c r="K5" i="30"/>
  <c r="M5" i="30" s="1"/>
  <c r="L18" i="30"/>
  <c r="L15" i="30"/>
  <c r="L11" i="30"/>
  <c r="C78" i="22"/>
  <c r="P69" i="22"/>
  <c r="C69" i="22"/>
  <c r="K11" i="30"/>
  <c r="M11" i="30"/>
  <c r="K12" i="30"/>
  <c r="K14" i="30"/>
  <c r="K15" i="30"/>
  <c r="M15" i="30" s="1"/>
  <c r="K16" i="30"/>
  <c r="K17" i="30"/>
  <c r="K18" i="30"/>
  <c r="M18" i="30" s="1"/>
  <c r="K19" i="30"/>
  <c r="M19" i="30"/>
  <c r="K20" i="30"/>
  <c r="K21" i="30"/>
  <c r="G5" i="22"/>
  <c r="L25" i="30"/>
  <c r="I67" i="22"/>
  <c r="G97" i="22" s="1"/>
  <c r="G9" i="22"/>
  <c r="G58" i="2"/>
  <c r="K13" i="27"/>
  <c r="I57" i="2"/>
  <c r="N4" i="27"/>
  <c r="O2" i="27"/>
  <c r="N3" i="27" s="1"/>
  <c r="I14" i="22"/>
  <c r="J91" i="22"/>
  <c r="J93" i="22"/>
  <c r="J97" i="22"/>
  <c r="I65" i="22"/>
  <c r="I64" i="22"/>
  <c r="I62" i="22"/>
  <c r="I58" i="22"/>
  <c r="I54" i="22"/>
  <c r="I52" i="22"/>
  <c r="I43" i="22"/>
  <c r="I42" i="22"/>
  <c r="I38" i="22"/>
  <c r="I35" i="22"/>
  <c r="I30" i="22"/>
  <c r="I26" i="22"/>
  <c r="I25" i="22"/>
  <c r="I24" i="22"/>
  <c r="I23" i="22"/>
  <c r="I19" i="22"/>
  <c r="I17" i="22"/>
  <c r="I16" i="22"/>
  <c r="F5" i="27"/>
  <c r="J16" i="22"/>
  <c r="D4" i="27"/>
  <c r="B4" i="27"/>
  <c r="C3" i="27"/>
  <c r="B3" i="27"/>
  <c r="C4" i="27"/>
  <c r="D2" i="27"/>
  <c r="B2" i="27"/>
  <c r="E8" i="27"/>
  <c r="C11" i="27" s="1"/>
  <c r="D19" i="27"/>
  <c r="D4" i="22"/>
  <c r="D5" i="22"/>
  <c r="E23" i="27"/>
  <c r="C26" i="27" s="1"/>
  <c r="B17" i="27"/>
  <c r="D22" i="27"/>
  <c r="D24" i="27"/>
  <c r="C19" i="27"/>
  <c r="B19" i="27"/>
  <c r="C18" i="27"/>
  <c r="B18" i="27"/>
  <c r="D17" i="27"/>
  <c r="D7" i="27"/>
  <c r="D9" i="27"/>
  <c r="C17" i="16"/>
  <c r="B13" i="16"/>
  <c r="C6" i="16"/>
  <c r="B23" i="16"/>
  <c r="G3" i="16"/>
  <c r="F3" i="16"/>
  <c r="E4" i="16"/>
  <c r="E9" i="16"/>
  <c r="F20" i="16"/>
  <c r="F12" i="16"/>
  <c r="F10" i="16"/>
  <c r="F8" i="16"/>
  <c r="G9" i="16"/>
  <c r="L16" i="30"/>
  <c r="M16" i="30"/>
  <c r="G6" i="30"/>
  <c r="L6" i="30"/>
  <c r="M6" i="30"/>
  <c r="L20" i="30"/>
  <c r="M20" i="30"/>
  <c r="F18" i="16"/>
  <c r="S23" i="32"/>
  <c r="C45" i="22"/>
  <c r="G38" i="22"/>
  <c r="F16" i="16" s="1"/>
  <c r="G7" i="30" l="1"/>
  <c r="H7" i="30"/>
  <c r="E9" i="30"/>
  <c r="F9" i="30" s="1"/>
  <c r="M14" i="30"/>
  <c r="M13" i="30"/>
  <c r="G30" i="22"/>
  <c r="E13" i="16"/>
  <c r="F14" i="16"/>
  <c r="F13" i="30"/>
  <c r="S22" i="32"/>
  <c r="L17" i="30"/>
  <c r="M17" i="30" s="1"/>
  <c r="G47" i="22"/>
  <c r="K9" i="30"/>
  <c r="M9" i="30" s="1"/>
  <c r="M22" i="30" s="1"/>
  <c r="D22" i="30"/>
  <c r="D23" i="30" s="1"/>
  <c r="J103" i="22"/>
  <c r="S24" i="32"/>
  <c r="E13" i="30"/>
  <c r="S21" i="32"/>
  <c r="C112" i="22" l="1"/>
  <c r="P110" i="22"/>
  <c r="G13" i="30"/>
  <c r="H13" i="30" s="1"/>
  <c r="G9" i="30"/>
  <c r="H9" i="30" s="1"/>
  <c r="E19" i="30"/>
  <c r="F19" i="30" s="1"/>
  <c r="E6" i="30"/>
  <c r="E14" i="30"/>
  <c r="F14" i="30" s="1"/>
  <c r="E7" i="30"/>
  <c r="E18" i="30"/>
  <c r="F18" i="30" s="1"/>
  <c r="E12" i="30"/>
  <c r="F12" i="30" s="1"/>
  <c r="E10" i="30"/>
  <c r="F10" i="30" s="1"/>
  <c r="E21" i="30"/>
  <c r="F21" i="30" s="1"/>
  <c r="E16" i="30"/>
  <c r="F16" i="30" s="1"/>
  <c r="E20" i="30"/>
  <c r="F20" i="30" s="1"/>
  <c r="E5" i="30"/>
  <c r="F5" i="30" s="1"/>
  <c r="E17" i="30"/>
  <c r="F17" i="30" s="1"/>
  <c r="E15" i="30"/>
  <c r="F15" i="30" s="1"/>
  <c r="E11" i="30"/>
  <c r="F11" i="30" s="1"/>
  <c r="I86" i="22"/>
  <c r="E17" i="16"/>
  <c r="I91" i="22"/>
  <c r="E8" i="30"/>
  <c r="F8" i="30" s="1"/>
  <c r="D11" i="16"/>
  <c r="G52" i="22"/>
  <c r="G58" i="22" s="1"/>
  <c r="C32" i="22"/>
  <c r="G35" i="22"/>
  <c r="C49" i="22" s="1"/>
  <c r="E4" i="30"/>
  <c r="H5" i="30" l="1"/>
  <c r="G5" i="30"/>
  <c r="G19" i="30"/>
  <c r="H19" i="30" s="1"/>
  <c r="G54" i="22"/>
  <c r="D21" i="16" s="1"/>
  <c r="G15" i="30"/>
  <c r="H15" i="30" s="1"/>
  <c r="G17" i="30"/>
  <c r="H17" i="30" s="1"/>
  <c r="G20" i="30"/>
  <c r="H20" i="30"/>
  <c r="G16" i="30"/>
  <c r="H16" i="30"/>
  <c r="G21" i="30"/>
  <c r="H21" i="30" s="1"/>
  <c r="E22" i="30"/>
  <c r="F4" i="30"/>
  <c r="G10" i="30"/>
  <c r="H10" i="30" s="1"/>
  <c r="G12" i="30"/>
  <c r="H12" i="30" s="1"/>
  <c r="G18" i="30"/>
  <c r="H18" i="30"/>
  <c r="E23" i="16"/>
  <c r="I93" i="22"/>
  <c r="I103" i="22"/>
  <c r="I87" i="22"/>
  <c r="I85" i="22"/>
  <c r="G15" i="16"/>
  <c r="I84" i="22"/>
  <c r="G14" i="30"/>
  <c r="H14" i="30"/>
  <c r="H8" i="30"/>
  <c r="G8" i="30"/>
  <c r="G11" i="30"/>
  <c r="H11" i="30"/>
  <c r="I97" i="22" l="1"/>
  <c r="I95" i="22"/>
  <c r="J95" i="22" s="1"/>
  <c r="G4" i="30"/>
  <c r="G22" i="30" s="1"/>
  <c r="F22" i="30"/>
  <c r="H4" i="30"/>
  <c r="I12" i="30" s="1" a="1"/>
  <c r="I12" i="30" s="1"/>
  <c r="I18" i="30" a="1"/>
  <c r="I18" i="30" s="1"/>
  <c r="H16" i="32" l="1"/>
  <c r="Q16" i="32"/>
  <c r="N16" i="32"/>
  <c r="E16" i="32"/>
  <c r="K16" i="32"/>
  <c r="C110" i="22"/>
  <c r="I8" i="30" a="1"/>
  <c r="I8" i="30" s="1"/>
  <c r="I14" i="30" a="1"/>
  <c r="I14" i="30" s="1"/>
  <c r="I11" i="30" a="1"/>
  <c r="I11" i="30" s="1"/>
  <c r="I19" i="30" a="1"/>
  <c r="I19" i="30" s="1"/>
  <c r="I4" i="30" a="1"/>
  <c r="I4" i="30" s="1"/>
  <c r="I6" i="30" a="1"/>
  <c r="I6" i="30" s="1"/>
  <c r="I7" i="30" a="1"/>
  <c r="I7" i="30" s="1"/>
  <c r="I13" i="30" a="1"/>
  <c r="I13" i="30" s="1"/>
  <c r="I9" i="30" a="1"/>
  <c r="I9" i="30" s="1"/>
  <c r="I16" i="30" a="1"/>
  <c r="I16" i="30" s="1"/>
  <c r="I20" i="30" a="1"/>
  <c r="I20" i="30" s="1"/>
  <c r="I5" i="30" a="1"/>
  <c r="I5" i="30" s="1"/>
  <c r="I15" i="30" a="1"/>
  <c r="I15" i="30" s="1"/>
  <c r="I17" i="30" a="1"/>
  <c r="I17" i="30" s="1"/>
  <c r="I10" i="30" a="1"/>
  <c r="I10" i="30" s="1"/>
  <c r="I21" i="30" a="1"/>
  <c r="I21" i="30" s="1"/>
  <c r="R4" i="40" l="1"/>
  <c r="R5" i="40"/>
  <c r="C115" i="22"/>
  <c r="C119" i="22"/>
  <c r="R3" i="40"/>
  <c r="C117" i="22"/>
  <c r="R29" i="40" l="1"/>
  <c r="R13" i="40"/>
  <c r="R27" i="40"/>
  <c r="R22" i="40"/>
  <c r="R41" i="40"/>
  <c r="R44" i="40"/>
  <c r="R9" i="40"/>
  <c r="R39" i="40"/>
  <c r="R24" i="40"/>
  <c r="R36" i="40"/>
  <c r="R15" i="40"/>
  <c r="R31" i="40"/>
  <c r="R46" i="40"/>
  <c r="R11" i="40"/>
  <c r="R34" i="40"/>
  <c r="R18" i="40"/>
  <c r="R38" i="40"/>
  <c r="R20" i="40"/>
  <c r="R4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5009A284-45C8-427B-BC57-1F126E62B969}">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E25E529A-5128-43BE-8604-4D5414F80D7C}">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3B3BEB96-FCC3-48E5-85D9-327DEA529339}">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A9180828-0A16-402C-B77C-191362010DA9}">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9CAC78E7-5CD9-45B2-AB84-1A9B92A06241}">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95CDBB20-3F36-4488-AA5B-BC012A3C60D6}">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059CC011-01CD-4326-A911-F97DF1773EF6}">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A7037D24-A8A0-4187-AF6D-B47775AAE236}">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109209CE-B47F-43AA-BD7F-3AB0AC8FBD71}">
      <text>
        <r>
          <rPr>
            <b/>
            <sz val="8"/>
            <color indexed="81"/>
            <rFont val="Tahoma"/>
            <family val="2"/>
          </rPr>
          <t>Selecting the default percentage option will automatically assign a grading of 5 for this audit component</t>
        </r>
      </text>
    </comment>
    <comment ref="E38" authorId="0" shapeId="0" xr:uid="{E77216B6-2E4C-4705-8D22-63215221C8DD}">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21C37377-58F7-4B96-A21D-D4C173801F24}">
      <text>
        <r>
          <rPr>
            <b/>
            <sz val="8"/>
            <color indexed="81"/>
            <rFont val="Tahoma"/>
            <family val="2"/>
          </rPr>
          <t>Selecting the default percentage option will automatically assign a grading of 5 for this audit component</t>
        </r>
      </text>
    </comment>
    <comment ref="E42" authorId="0" shapeId="0" xr:uid="{F830BE57-5C14-457B-B949-B5F2C670A2F2}">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08199B06-1A49-4446-9A82-D66ADCEC80D4}">
      <text>
        <r>
          <rPr>
            <b/>
            <sz val="8"/>
            <color indexed="81"/>
            <rFont val="Tahoma"/>
            <family val="2"/>
          </rPr>
          <t>Enter a value &lt; 10%</t>
        </r>
      </text>
    </comment>
    <comment ref="E43" authorId="0" shapeId="0" xr:uid="{4DDAA9D4-1E06-4771-8436-CB3DA401596A}">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EF7C1033-0F25-4121-AC18-041F7E536BB7}">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A4B46CB4-5AAE-4E74-8D63-702702B02E74}">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B657CED3-BFB3-462D-AB90-E02B9C00D4EE}">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1625FE56-B53B-4346-A425-62216D48437B}">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8582B0A8-32D4-4ECA-90FD-F5A21AB970DE}">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6AF28654-D23F-4699-B642-579713522B4D}">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D2F71B1C-B89A-4FC5-8FA6-4321E26C115C}">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5" authorId="0" shapeId="0" xr:uid="{91C44BBD-1389-423A-9200-65CF01DEA3C5}">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shapeId="0" xr:uid="{E358E863-C174-427C-AD64-82457809AC31}">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shapeId="0" xr:uid="{02DAF20D-FBDD-438B-B14D-1F04F15AD0DE}">
      <text>
        <r>
          <rPr>
            <b/>
            <sz val="8"/>
            <color indexed="81"/>
            <rFont val="Tahoma"/>
            <family val="2"/>
          </rPr>
          <t>All consumption that is billed and authorized by the utility. This may include both metered and unmetered consumption.</t>
        </r>
      </text>
    </comment>
    <comment ref="F7" authorId="0" shapeId="0" xr:uid="{49259807-AA14-4CBF-8D82-F4CFA5E72A28}">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shapeId="0" xr:uid="{A62486E4-79E9-4C64-AC70-98B97D609E00}">
      <text>
        <r>
          <rPr>
            <b/>
            <sz val="8"/>
            <color indexed="81"/>
            <rFont val="Tahoma"/>
            <family val="2"/>
          </rPr>
          <t>Water which provides revenue to the utility.</t>
        </r>
      </text>
    </comment>
    <comment ref="F9" authorId="0" shapeId="0" xr:uid="{374105CC-16D6-4CB2-B79F-52BA798A2381}">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shapeId="0" xr:uid="{66375973-1FB2-4D09-B5BB-A237BEFB65B7}">
      <text>
        <r>
          <rPr>
            <b/>
            <sz val="8"/>
            <color indexed="81"/>
            <rFont val="Tahoma"/>
            <family val="2"/>
          </rPr>
          <t xml:space="preserve">All consumption that is unbilled, but is still authorized by the utility. </t>
        </r>
      </text>
    </comment>
    <comment ref="F11" authorId="0" shapeId="0" xr:uid="{2BA64A0F-F274-4EBC-81C7-517659A73E8E}">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shapeId="0" xr:uid="{0ED80878-F5CA-4461-A5AA-8B9C0FDA0A70}">
      <text>
        <r>
          <rPr>
            <b/>
            <sz val="8"/>
            <color indexed="81"/>
            <rFont val="Tahoma"/>
            <family val="2"/>
          </rPr>
          <t>Water which does not provide any revenue to the utility.</t>
        </r>
      </text>
    </comment>
    <comment ref="F13" authorId="0" shapeId="0" xr:uid="{C3C64983-4CED-4F18-89EA-F2273FA16429}">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shapeId="0" xr:uid="{8FFF326E-49D1-4AE6-B970-A2B8B4131DE4}">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shapeId="0" xr:uid="{9C14EE0B-B89C-4EA7-B2B7-E5EED2BD2F4F}">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shapeId="0" xr:uid="{5F5FE84D-E353-4CAB-89CA-0D2B24DB0F74}">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shapeId="0" xr:uid="{A745CE3A-C383-4406-9B65-AA75D2D76DB0}">
      <text>
        <r>
          <rPr>
            <b/>
            <sz val="8"/>
            <color indexed="81"/>
            <rFont val="Tahoma"/>
            <family val="2"/>
          </rPr>
          <t>Apparent water losses caused by customer meter inaccuracies.</t>
        </r>
      </text>
    </comment>
    <comment ref="F19" authorId="0" shapeId="0" xr:uid="{8421CE53-B184-41C6-B44C-F8FEDBE6C243}">
      <text>
        <r>
          <rPr>
            <b/>
            <sz val="8"/>
            <color indexed="81"/>
            <rFont val="Tahoma"/>
            <family val="2"/>
          </rPr>
          <t>Apparent water losses caused by data handling errors in the meter reading and billing system.</t>
        </r>
      </text>
    </comment>
    <comment ref="E21" authorId="0" shapeId="0" xr:uid="{46C95F8E-CA55-419E-B29F-CDC41A1D6B6F}">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shapeId="0" xr:uid="{62681D3F-9205-416C-B73B-3E7320A0D180}">
      <text>
        <r>
          <rPr>
            <b/>
            <sz val="8"/>
            <color indexed="81"/>
            <rFont val="Tahoma"/>
            <family val="2"/>
          </rPr>
          <t>Physical water losses from a pressurized system up to the point of customer use. This is the annual volume lost through all types of leaks and bursts.</t>
        </r>
      </text>
    </comment>
    <comment ref="F23" authorId="0" shapeId="0" xr:uid="{34FDE2D5-F1AF-431B-BDCC-7796884CA1D9}">
      <text>
        <r>
          <rPr>
            <b/>
            <sz val="8"/>
            <color indexed="81"/>
            <rFont val="Tahoma"/>
            <family val="2"/>
          </rPr>
          <t>Physical water losses from the utility's storage tanks.</t>
        </r>
      </text>
    </comment>
    <comment ref="F25" authorId="0" shapeId="0" xr:uid="{D487D0A8-650C-4931-BF98-65103E601196}">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535CC15A-9969-438E-BA63-0A072957B434}">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shapeId="0" xr:uid="{C40CA712-7154-45D5-AA53-07BDCB8FB9CA}">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2DD1BF12-64C3-4EEB-97DF-3A6914391BD1}">
      <text>
        <r>
          <rPr>
            <b/>
            <sz val="8"/>
            <color indexed="81"/>
            <rFont val="Tahoma"/>
            <family val="2"/>
          </rPr>
          <t>New weighting is calculated for each item - "rebasing" to 100</t>
        </r>
      </text>
    </comment>
    <comment ref="F3" authorId="0" shapeId="0" xr:uid="{6530B550-4462-4B94-9D26-80EAF7654338}">
      <text>
        <r>
          <rPr>
            <b/>
            <sz val="8"/>
            <color indexed="81"/>
            <rFont val="Tahoma"/>
            <family val="2"/>
          </rPr>
          <t>Creates "multiplier" for what each point (1-10) is worth</t>
        </r>
      </text>
    </comment>
    <comment ref="G3" authorId="0" shapeId="0" xr:uid="{6400B81F-746D-45E1-BB37-1F5082073592}">
      <text>
        <r>
          <rPr>
            <b/>
            <sz val="8"/>
            <color indexed="81"/>
            <rFont val="Tahoma"/>
            <family val="2"/>
          </rPr>
          <t xml:space="preserve">Calculates score (col C x col F) a perfect score will always = 100. </t>
        </r>
      </text>
    </comment>
    <comment ref="H3" authorId="0" shapeId="0" xr:uid="{1E075700-7100-47A0-8D34-45B8A97DA5E9}">
      <text>
        <r>
          <rPr>
            <b/>
            <sz val="8"/>
            <color indexed="81"/>
            <rFont val="Tahoma"/>
            <family val="2"/>
          </rPr>
          <t>Calcualates where most points were lost</t>
        </r>
      </text>
    </comment>
    <comment ref="I3" authorId="0" shapeId="0" xr:uid="{4707D2EE-0587-47FC-A5E2-BCB94E4150E7}">
      <text>
        <r>
          <rPr>
            <b/>
            <sz val="8"/>
            <color indexed="81"/>
            <rFont val="Tahoma"/>
            <family val="2"/>
          </rPr>
          <t>Unique ranking formula</t>
        </r>
        <r>
          <rPr>
            <sz val="8"/>
            <color indexed="81"/>
            <rFont val="Tahoma"/>
            <family val="2"/>
          </rPr>
          <t>; avoids limitation with Excel RANK() function of duplicate ranks</t>
        </r>
      </text>
    </comment>
    <comment ref="M3" authorId="0" shapeId="0" xr:uid="{E7D83089-863B-4E9C-A30D-669DA7EF8FB0}">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2606BE2E-430B-468B-BBB5-2C7277DAA2BF}">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C19ADDC9-500B-46FC-9193-5E169D4BD8FC}">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8D4C6571-4A11-4F21-B45E-1FCA481BCA0C}">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C9213AB7-04D1-454F-BE95-8B1B65C37F44}">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6963C5C4-D424-4CB7-998D-177216AE9D19}">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9F5169AA-55BE-4BF1-98D8-7400588E12E5}">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F5CBA6EF-6296-4D29-BADB-C344A6E43793}">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41D12A62-BBA0-498C-8811-AD55C805DBA7}">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0214CCF4-101F-4AE5-A229-FEAAECA4732E}">
      <text>
        <r>
          <rPr>
            <b/>
            <sz val="8"/>
            <color indexed="81"/>
            <rFont val="Tahoma"/>
            <family val="2"/>
          </rPr>
          <t>Selecting the default percentage option will automatically assign a grading of 5 for this audit component</t>
        </r>
      </text>
    </comment>
    <comment ref="E38" authorId="0" shapeId="0" xr:uid="{F34C08FA-92DE-4DF9-B43C-26F3F026C544}">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7594D1CD-B547-438C-8A10-7A5DD05A7551}">
      <text>
        <r>
          <rPr>
            <b/>
            <sz val="8"/>
            <color indexed="81"/>
            <rFont val="Tahoma"/>
            <family val="2"/>
          </rPr>
          <t>Selecting the default percentage option will automatically assign a grading of 5 for this audit component</t>
        </r>
      </text>
    </comment>
    <comment ref="E42" authorId="0" shapeId="0" xr:uid="{ADE886BC-E4C2-4796-9836-635BAA83DB6B}">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976B12A6-49C9-40C8-AF3C-8266931BF9C2}">
      <text>
        <r>
          <rPr>
            <b/>
            <sz val="8"/>
            <color indexed="81"/>
            <rFont val="Tahoma"/>
            <family val="2"/>
          </rPr>
          <t>Enter a value &lt; 10%</t>
        </r>
      </text>
    </comment>
    <comment ref="E43" authorId="0" shapeId="0" xr:uid="{44F33150-F875-4F07-9307-A0A19AF5B71B}">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78F17CB5-4799-431D-814D-832275A1E505}">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CCCE05D5-6EBA-44EA-AFD8-D92F24C01B4A}">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E2EA416E-1338-45C0-9D07-E4F5EA4D137A}">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45E9486A-6997-4ADB-8413-EA1EDF650DBE}">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69E1AE16-A892-4976-996D-4A52B5C70E64}">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8A4D7358-E818-4ABA-81CB-E01E8254613F}">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2C055DE5-F8FA-4511-B882-F9AA42F6C338}">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360EF139-8057-41BC-9D34-9D53B3D04D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3E83C6C9-53EF-4E48-82C3-5164C9C01DC2}">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D83B6A00-66E7-4B45-9AEF-9CE52FD74D73}">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6956669A-1158-4D61-9C80-C0C599B6AC23}">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E7020FFB-F7F3-4DFD-944A-45BA179EA275}">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6ABDFCA2-281B-418D-BC7B-366715F5B594}">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E317AD5C-FCAE-4A87-BC69-2FB2FF41B8B6}">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DFCB3AC6-B3B8-4A16-83D6-BCD818C126BB}">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1EE2395A-EFCC-4928-8446-83B0175BC454}">
      <text>
        <r>
          <rPr>
            <b/>
            <sz val="8"/>
            <color indexed="81"/>
            <rFont val="Tahoma"/>
            <family val="2"/>
          </rPr>
          <t>Selecting the default percentage option will automatically assign a grading of 5 for this audit component</t>
        </r>
      </text>
    </comment>
    <comment ref="E38" authorId="0" shapeId="0" xr:uid="{EA929434-1406-473A-9379-9C2CE0982FCE}">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E3B11501-AE67-418B-8B84-00D173B2F74D}">
      <text>
        <r>
          <rPr>
            <b/>
            <sz val="8"/>
            <color indexed="81"/>
            <rFont val="Tahoma"/>
            <family val="2"/>
          </rPr>
          <t>Selecting the default percentage option will automatically assign a grading of 5 for this audit component</t>
        </r>
      </text>
    </comment>
    <comment ref="E42" authorId="0" shapeId="0" xr:uid="{E23B7CAE-DAD1-4454-A5E5-5882AF062FA7}">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D81962CB-45AA-4036-81A5-133CE59D3245}">
      <text>
        <r>
          <rPr>
            <b/>
            <sz val="8"/>
            <color indexed="81"/>
            <rFont val="Tahoma"/>
            <family val="2"/>
          </rPr>
          <t>Enter a value &lt; 10%</t>
        </r>
      </text>
    </comment>
    <comment ref="E43" authorId="0" shapeId="0" xr:uid="{32CE02AD-30D3-4FD7-A3F4-8059B5BF15D7}">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C838D541-C892-4FE6-BF48-ED7905CA1596}">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2F03E0DB-C25A-4DDF-B98B-B6FE516F1CD8}">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C6A35A26-49E6-4DC8-BBF4-C9323C755B46}">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6576AA1E-B05F-4FFC-81E6-4CE8BFD830C7}">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A6037DA2-0BDB-41C6-8844-A445735ED69D}">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35C00EF7-F42C-424F-84DB-E00BF4E3C049}">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B6B5D906-6444-48D6-9402-3E6DD04512A6}">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<sst xmlns="http://schemas.openxmlformats.org/spreadsheetml/2006/main" count="967" uniqueCount="632">
  <si>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</si>
  <si>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</si>
  <si>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</si>
  <si>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</si>
  <si>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</si>
  <si>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</si>
  <si>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</si>
  <si>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</si>
  <si>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</si>
  <si>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</si>
  <si>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</si>
  <si>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</si>
  <si>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</si>
  <si>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</si>
  <si>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</si>
  <si>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</si>
  <si>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</si>
  <si>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</si>
  <si>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</si>
  <si>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</si>
  <si>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</si>
  <si>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</si>
  <si>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</si>
  <si>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</si>
  <si>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</si>
  <si>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</si>
  <si>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</si>
  <si>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</si>
  <si>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</si>
  <si>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</si>
  <si>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</si>
  <si>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</si>
  <si>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</si>
  <si>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</si>
  <si>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</si>
  <si>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</si>
  <si>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</si>
  <si>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</si>
  <si>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t>metres (head)</t>
  </si>
  <si>
    <t>$/Megalitre</t>
  </si>
  <si>
    <t>Retail costs are less than (or equal to) production costs; please review and correct if necessary</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</si>
  <si>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</si>
  <si>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</si>
  <si>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</si>
  <si>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</si>
  <si>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</si>
  <si>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</si>
  <si>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</si>
  <si>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</si>
  <si>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</si>
  <si>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</si>
  <si>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</si>
  <si>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</si>
  <si>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</si>
  <si>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</si>
  <si>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</si>
  <si>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</si>
  <si>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</si>
  <si>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</si>
  <si>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</si>
  <si>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</si>
  <si>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</si>
  <si>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</si>
  <si>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</si>
  <si>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</si>
  <si>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</si>
  <si>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</si>
  <si>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</si>
  <si>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</si>
  <si>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</si>
  <si>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</si>
  <si>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</si>
  <si>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</si>
  <si>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</si>
  <si>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</si>
  <si>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</si>
  <si>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</si>
  <si>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</si>
  <si>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</si>
  <si>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</si>
  <si>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</si>
  <si>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</si>
  <si>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</si>
  <si>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</si>
  <si>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</si>
  <si>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</si>
  <si>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</si>
  <si>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</si>
  <si>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</si>
  <si>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</si>
  <si>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</si>
  <si>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</si>
  <si>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</si>
  <si>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</si>
  <si>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</si>
  <si>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</si>
  <si>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</si>
  <si>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</si>
  <si>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</si>
  <si>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</si>
  <si>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</si>
  <si>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</si>
  <si>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</si>
  <si>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</si>
  <si>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</si>
  <si>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</si>
  <si>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</si>
  <si>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</si>
  <si>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</si>
  <si>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</si>
  <si>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</si>
  <si>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</si>
  <si>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</si>
  <si>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</si>
  <si>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</si>
  <si>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</si>
  <si>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</si>
  <si>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</si>
  <si>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</si>
  <si>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</si>
  <si>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</si>
  <si>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</si>
  <si>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</si>
  <si>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</si>
  <si>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</si>
  <si>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</si>
  <si>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</si>
  <si>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</si>
  <si>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</si>
  <si>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</si>
  <si>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</si>
  <si>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</si>
  <si>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</si>
  <si>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</si>
  <si>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</si>
  <si>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</si>
  <si>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</si>
  <si>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</si>
  <si>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</si>
  <si>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</si>
  <si>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</si>
  <si>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</si>
  <si>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</si>
  <si>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</si>
  <si>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</si>
  <si>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</si>
  <si>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</si>
  <si>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</si>
  <si>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</si>
  <si>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</si>
  <si>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</si>
  <si>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</si>
  <si>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</si>
  <si>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</si>
  <si>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</si>
  <si>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</si>
  <si>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</si>
  <si>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</si>
  <si>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</si>
  <si>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</si>
  <si>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</si>
  <si>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</si>
  <si>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</si>
  <si>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</si>
  <si>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</si>
  <si>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</si>
  <si>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</si>
  <si>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</si>
  <si>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</si>
  <si>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</si>
  <si>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</si>
  <si>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</si>
  <si>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</si>
  <si>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</si>
  <si>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</si>
  <si>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</si>
  <si>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</si>
  <si>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</si>
  <si>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</si>
  <si>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</si>
  <si>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</si>
  <si>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</si>
  <si>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</si>
  <si>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</si>
  <si>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</si>
  <si>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AWWA Water Loss Control Committee (WLCC) Free Water Audit Software v4.2 </t>
  </si>
  <si>
    <t>AWWA Water Audit Software  Version 4.2 Developed by the Water Loss Control Committee of the American Water Works Association   May 2010</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</si>
  <si>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</si>
  <si>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</si>
  <si>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</si>
  <si>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</si>
  <si>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</si>
  <si>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</si>
  <si>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</si>
  <si>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</si>
  <si>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</si>
  <si>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</si>
  <si>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</si>
  <si>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</si>
  <si>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</si>
  <si>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</si>
  <si>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</si>
  <si>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</si>
  <si>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</si>
  <si>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</si>
  <si>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</si>
  <si>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</si>
  <si>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</si>
  <si>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</si>
  <si>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</si>
  <si>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</si>
  <si>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</si>
  <si>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</si>
  <si>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</si>
  <si>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</si>
  <si>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</si>
  <si>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</si>
  <si>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</si>
  <si>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</si>
  <si>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</si>
  <si>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</si>
  <si>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</si>
  <si>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</si>
  <si>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</si>
  <si>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</si>
  <si>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</si>
  <si>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</si>
  <si>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</si>
  <si>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</si>
  <si>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</si>
  <si>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</si>
  <si>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</si>
  <si>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</si>
  <si>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</si>
  <si>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</si>
  <si>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</si>
  <si>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</si>
  <si>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ML/yr</t>
  </si>
  <si>
    <t>litres/connection/day</t>
  </si>
  <si>
    <t>N/A</t>
  </si>
  <si>
    <t>Real Losses per service connection per day per meter (head) pressure:</t>
  </si>
  <si>
    <t>litres/connection/day/m</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</si>
  <si>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</si>
  <si>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</si>
  <si>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</si>
  <si>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</si>
  <si>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</si>
  <si>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</si>
  <si>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</si>
  <si>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</si>
  <si>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</si>
  <si>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</si>
  <si>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</si>
  <si>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</si>
  <si>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</si>
  <si>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</si>
  <si>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</si>
  <si>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</si>
  <si>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</si>
  <si>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</si>
  <si>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</si>
  <si>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</si>
  <si>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</si>
  <si>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</si>
  <si>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</si>
  <si>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</si>
  <si>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</si>
  <si>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</si>
  <si>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</si>
  <si>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</si>
  <si>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</si>
  <si>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</si>
  <si>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</si>
  <si>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</si>
  <si>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</si>
  <si>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</si>
  <si>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</si>
  <si>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</si>
  <si>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</si>
  <si>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</si>
  <si>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</si>
  <si>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</si>
  <si>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</si>
  <si>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</si>
  <si>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</si>
  <si>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</si>
  <si>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</si>
  <si>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</si>
  <si>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</si>
  <si>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</si>
  <si>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</si>
  <si>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</si>
  <si>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</si>
  <si>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</si>
  <si>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</si>
  <si>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</si>
  <si>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</si>
  <si>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</si>
  <si>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</si>
  <si>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</si>
  <si>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</si>
  <si>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</si>
  <si>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</si>
  <si>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</si>
  <si>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</si>
  <si>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</si>
  <si>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</si>
  <si>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</si>
  <si>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</si>
  <si>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</si>
  <si>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</si>
  <si>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</si>
  <si>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</si>
  <si>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</si>
  <si>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</si>
  <si>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</si>
  <si>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</si>
  <si>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</si>
  <si>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</si>
  <si>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</si>
  <si>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</si>
  <si>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</si>
  <si>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</si>
  <si>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</si>
  <si>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</si>
  <si>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</si>
  <si>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</si>
  <si>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</si>
  <si>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</si>
  <si>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</si>
  <si>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</si>
  <si>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</si>
  <si>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</si>
  <si>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</si>
  <si>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</si>
  <si>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</si>
  <si>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</si>
  <si>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</si>
  <si>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</si>
  <si>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</si>
  <si>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</si>
  <si>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</si>
  <si>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</si>
  <si>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</si>
  <si>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</si>
  <si>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</si>
  <si>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</si>
  <si>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</si>
  <si>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</si>
  <si>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</si>
  <si>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</si>
  <si>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</si>
  <si>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</si>
  <si>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</si>
  <si>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</si>
  <si>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</si>
  <si>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</si>
  <si>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</si>
  <si>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</si>
  <si>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</si>
  <si>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</si>
  <si>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</si>
  <si>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</si>
  <si>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</si>
  <si>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</si>
  <si>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</si>
  <si>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</si>
  <si>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</si>
  <si>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</si>
  <si>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</si>
  <si>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</si>
  <si>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</si>
  <si>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</si>
  <si>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</si>
  <si>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</si>
  <si>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</si>
  <si>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</si>
  <si>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</si>
  <si>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</si>
  <si>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</si>
  <si>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</si>
  <si>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</si>
  <si>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</si>
  <si>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</si>
  <si>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</si>
  <si>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</si>
  <si>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</si>
  <si>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</si>
  <si>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</si>
  <si>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</si>
  <si>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</si>
  <si>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</si>
  <si>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</si>
  <si>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</si>
  <si>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</si>
  <si>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</si>
  <si>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</si>
  <si>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</si>
  <si>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</si>
  <si>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</si>
  <si>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</si>
  <si>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</si>
  <si>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</si>
  <si>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</si>
  <si>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</si>
  <si>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</si>
  <si>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</si>
  <si>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</si>
  <si>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</si>
  <si>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</si>
  <si>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</si>
  <si>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</si>
  <si>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</si>
  <si>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</si>
  <si>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</si>
  <si>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</si>
  <si>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</si>
  <si>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</si>
  <si>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</si>
  <si>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</si>
  <si>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t>This Water Utility Distribution System (WUDS 18826) includes D-2002-1 CP.      There are three customers in East Point (Water Guy, Wall, and Reitnouer Holdings) that are mislabled in Banner as being in Flying Hill system.  This was discovered by doing Frank Grabulutz running an address check.</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</si>
  <si>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</si>
  <si>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</si>
  <si>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</si>
  <si>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</si>
  <si>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</si>
  <si>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</si>
  <si>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</si>
  <si>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</si>
  <si>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</si>
  <si>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</si>
  <si>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</si>
  <si>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</si>
  <si>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</si>
  <si>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</si>
  <si>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</si>
  <si>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t>Aqua-PA: East Point PWSID # 3061153</t>
  </si>
  <si>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</si>
  <si>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</si>
  <si>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</si>
  <si>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</si>
  <si>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</si>
  <si>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</si>
  <si>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</si>
  <si>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</si>
  <si>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</si>
  <si>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</si>
  <si>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</si>
  <si>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</si>
  <si>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</si>
  <si>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</si>
  <si>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</si>
  <si>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</si>
  <si>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</si>
  <si>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</si>
  <si>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</si>
  <si>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</si>
  <si>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</si>
  <si>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</si>
  <si>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</si>
  <si>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</si>
  <si>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</si>
  <si>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</si>
  <si>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</si>
  <si>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</si>
  <si>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</si>
  <si>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</si>
  <si>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</si>
  <si>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</si>
  <si>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</si>
  <si>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</si>
  <si>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</si>
  <si>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</si>
  <si>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</si>
  <si>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</si>
  <si>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</si>
  <si>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</si>
  <si>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</si>
  <si>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</si>
  <si>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</si>
  <si>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</si>
  <si>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</si>
  <si>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</si>
  <si>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</si>
  <si>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</si>
  <si>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</si>
  <si>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</si>
  <si>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</si>
  <si>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</si>
  <si>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</si>
  <si>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</si>
  <si>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</si>
  <si>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</si>
  <si>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</si>
  <si>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</si>
  <si>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</si>
  <si>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</si>
  <si>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</si>
  <si>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</si>
  <si>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</si>
  <si>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</si>
  <si>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</si>
  <si>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</si>
  <si>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</si>
  <si>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</si>
  <si>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</si>
  <si>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</si>
  <si>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</si>
  <si>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</si>
  <si>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</si>
  <si>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</si>
  <si>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</si>
  <si>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</si>
  <si>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</si>
  <si>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</si>
  <si>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</si>
  <si>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</si>
  <si>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</si>
  <si>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</si>
  <si>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USA</t>
  </si>
  <si>
    <t>Brennan Kelly</t>
  </si>
  <si>
    <t>btkelly@aquaamerica.com</t>
  </si>
  <si>
    <t>610-645-4297</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</si>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</sst>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5" formatCode="_(* #,##0_);_(* \(#,##0\);_(* &quot;-&quot;??_);_(@_)"/>
    <numFmt numFmtId="216" formatCode="mm/yyyy"/>
  </numFmts>
  <fonts count="92" x14ac:knownFonts="1">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sz val="8"/>
      <color indexed="81"/>
      <name val="Tahoma"/>
      <family val="2"/>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2"/>
      <color indexed="9"/>
      <name val="Courier New"/>
      <family val="3"/>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double">
        <color indexed="48"/>
      </left>
      <right/>
      <top style="double">
        <color indexed="48"/>
      </top>
      <bottom style="double">
        <color indexed="48"/>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right style="thin">
        <color indexed="64"/>
      </right>
      <top style="double">
        <color indexed="64"/>
      </top>
      <bottom style="thin">
        <color indexed="64"/>
      </bottom>
      <diagonal/>
    </border>
    <border>
      <left/>
      <right style="medium">
        <color indexed="64"/>
      </right>
      <top style="thin">
        <color indexed="64"/>
      </top>
      <bottom style="double">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7">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75"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74" fontId="5" fillId="2" borderId="0" xfId="0" applyNumberFormat="1" applyFont="1" applyFill="1" applyBorder="1" applyProtection="1"/>
    <xf numFmtId="174"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22" xfId="1" applyNumberFormat="1" applyBorder="1" applyProtection="1">
      <protection hidden="1"/>
    </xf>
    <xf numFmtId="0" fontId="0" fillId="0" borderId="22"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76" fontId="14" fillId="2" borderId="3" xfId="0" applyNumberFormat="1" applyFont="1" applyFill="1" applyBorder="1" applyAlignment="1" applyProtection="1">
      <alignment vertical="center" wrapText="1"/>
    </xf>
    <xf numFmtId="173"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72"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76" fontId="5" fillId="4" borderId="9" xfId="0" applyNumberFormat="1" applyFont="1" applyFill="1" applyBorder="1" applyProtection="1">
      <protection locked="0"/>
    </xf>
    <xf numFmtId="176" fontId="5" fillId="3" borderId="9" xfId="0" applyNumberFormat="1" applyFont="1" applyFill="1" applyBorder="1" applyProtection="1"/>
    <xf numFmtId="176" fontId="5" fillId="4" borderId="52" xfId="0" applyNumberFormat="1" applyFont="1" applyFill="1" applyBorder="1" applyAlignment="1" applyProtection="1">
      <alignment horizontal="right"/>
      <protection locked="0"/>
    </xf>
    <xf numFmtId="0" fontId="51" fillId="2" borderId="0" xfId="0" applyFont="1" applyFill="1" applyBorder="1" applyAlignment="1" applyProtection="1">
      <alignment horizontal="left"/>
    </xf>
    <xf numFmtId="0" fontId="5" fillId="10" borderId="9" xfId="0" applyFont="1" applyFill="1" applyBorder="1" applyProtection="1"/>
    <xf numFmtId="176"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76" fontId="54" fillId="2" borderId="4" xfId="0" applyNumberFormat="1" applyFont="1" applyFill="1" applyBorder="1" applyAlignment="1" applyProtection="1">
      <alignment horizontal="center" vertical="center"/>
    </xf>
    <xf numFmtId="176" fontId="54" fillId="2" borderId="0" xfId="0" applyNumberFormat="1" applyFont="1" applyFill="1" applyBorder="1" applyAlignment="1" applyProtection="1">
      <alignment horizontal="center" vertical="center"/>
    </xf>
    <xf numFmtId="176" fontId="54" fillId="2" borderId="2" xfId="0" applyNumberFormat="1" applyFont="1" applyFill="1" applyBorder="1" applyAlignment="1" applyProtection="1">
      <alignment wrapText="1"/>
    </xf>
    <xf numFmtId="176" fontId="54" fillId="2" borderId="2" xfId="2" applyNumberFormat="1" applyFont="1" applyFill="1" applyBorder="1" applyAlignment="1" applyProtection="1">
      <alignment horizontal="right" vertical="center" wrapText="1" shrinkToFit="1"/>
    </xf>
    <xf numFmtId="0" fontId="54" fillId="2" borderId="0" xfId="0" applyFont="1" applyFill="1" applyBorder="1" applyAlignment="1" applyProtection="1">
      <alignment wrapText="1"/>
    </xf>
    <xf numFmtId="0" fontId="54" fillId="2" borderId="2" xfId="0" applyFont="1" applyFill="1" applyBorder="1" applyAlignment="1" applyProtection="1">
      <alignment wrapText="1"/>
    </xf>
    <xf numFmtId="0" fontId="54" fillId="2" borderId="15" xfId="0" applyFont="1" applyFill="1" applyBorder="1" applyAlignment="1" applyProtection="1">
      <alignment wrapText="1"/>
    </xf>
    <xf numFmtId="176" fontId="55" fillId="2" borderId="11" xfId="1" quotePrefix="1" applyNumberFormat="1" applyFont="1" applyFill="1" applyBorder="1" applyAlignment="1" applyProtection="1">
      <alignment horizontal="center"/>
    </xf>
    <xf numFmtId="176" fontId="55" fillId="2" borderId="0" xfId="0" quotePrefix="1" applyNumberFormat="1" applyFont="1" applyFill="1" applyBorder="1" applyAlignment="1" applyProtection="1">
      <alignment horizontal="center" vertical="center"/>
    </xf>
    <xf numFmtId="176" fontId="55" fillId="2" borderId="53" xfId="0" quotePrefix="1" applyNumberFormat="1" applyFont="1" applyFill="1" applyBorder="1" applyAlignment="1" applyProtection="1">
      <alignment horizontal="center" vertical="center"/>
    </xf>
    <xf numFmtId="176" fontId="55" fillId="2" borderId="0" xfId="0" quotePrefix="1" applyNumberFormat="1" applyFont="1" applyFill="1" applyBorder="1" applyAlignment="1" applyProtection="1">
      <alignment horizontal="center"/>
    </xf>
    <xf numFmtId="176" fontId="55" fillId="2" borderId="4" xfId="0" applyNumberFormat="1" applyFont="1" applyFill="1" applyBorder="1" applyAlignment="1" applyProtection="1">
      <alignment horizontal="center" vertical="center"/>
    </xf>
    <xf numFmtId="176" fontId="55" fillId="2" borderId="0" xfId="0" applyNumberFormat="1" applyFont="1" applyFill="1" applyBorder="1" applyAlignment="1" applyProtection="1">
      <alignment wrapText="1"/>
    </xf>
    <xf numFmtId="176" fontId="55" fillId="2" borderId="2" xfId="0" applyNumberFormat="1" applyFont="1" applyFill="1" applyBorder="1" applyAlignment="1" applyProtection="1">
      <alignment wrapText="1"/>
    </xf>
    <xf numFmtId="172" fontId="0" fillId="7" borderId="2" xfId="0" applyNumberFormat="1" applyFill="1" applyBorder="1" applyProtection="1">
      <protection hidden="1"/>
    </xf>
    <xf numFmtId="172" fontId="0" fillId="7" borderId="4" xfId="0" applyNumberFormat="1" applyFill="1" applyBorder="1" applyProtection="1">
      <protection hidden="1"/>
    </xf>
    <xf numFmtId="172"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1" fillId="0" borderId="0" xfId="0" applyFont="1" applyProtection="1">
      <protection hidden="1"/>
    </xf>
    <xf numFmtId="189"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76" fontId="54" fillId="2" borderId="0" xfId="0" applyNumberFormat="1" applyFont="1" applyFill="1" applyBorder="1" applyAlignment="1" applyProtection="1">
      <alignment wrapText="1"/>
    </xf>
    <xf numFmtId="176" fontId="56"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60" fillId="0" borderId="0" xfId="0" applyFont="1"/>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61" fillId="0" borderId="0" xfId="0" applyFont="1"/>
    <xf numFmtId="0" fontId="0" fillId="0" borderId="57" xfId="0" applyBorder="1"/>
    <xf numFmtId="186"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8"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71"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71"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9"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74" fontId="5" fillId="4" borderId="9" xfId="0" applyNumberFormat="1" applyFont="1" applyFill="1" applyBorder="1" applyProtection="1">
      <protection locked="0"/>
    </xf>
    <xf numFmtId="177"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216"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5" fillId="2" borderId="0" xfId="0" applyNumberFormat="1" applyFont="1" applyFill="1" applyBorder="1" applyAlignment="1" applyProtection="1">
      <alignment horizontal="center" vertical="center"/>
    </xf>
    <xf numFmtId="0" fontId="76"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7" fillId="14" borderId="58" xfId="0" applyFont="1" applyFill="1" applyBorder="1" applyAlignment="1" applyProtection="1">
      <alignment horizontal="center" vertical="center" wrapText="1"/>
    </xf>
    <xf numFmtId="0" fontId="67"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80" fillId="2" borderId="0" xfId="0" applyNumberFormat="1" applyFont="1" applyFill="1" applyBorder="1" applyAlignment="1" applyProtection="1">
      <alignment horizontal="left"/>
    </xf>
    <xf numFmtId="1" fontId="80" fillId="2" borderId="1" xfId="0" applyNumberFormat="1" applyFont="1" applyFill="1" applyBorder="1" applyAlignment="1" applyProtection="1">
      <alignment horizontal="left"/>
    </xf>
    <xf numFmtId="1" fontId="80" fillId="2" borderId="0" xfId="0" applyNumberFormat="1" applyFont="1" applyFill="1" applyBorder="1" applyProtection="1"/>
    <xf numFmtId="4" fontId="53"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1"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9"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5" fillId="0" borderId="0" xfId="0" applyFont="1" applyFill="1" applyAlignment="1" applyProtection="1">
      <alignment wrapText="1"/>
    </xf>
    <xf numFmtId="0" fontId="65" fillId="2" borderId="6" xfId="0" applyFont="1" applyFill="1" applyBorder="1" applyAlignment="1" applyProtection="1">
      <alignment wrapText="1"/>
    </xf>
    <xf numFmtId="0" fontId="59"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9" fillId="2" borderId="65" xfId="0" applyFont="1" applyFill="1" applyBorder="1" applyAlignment="1" applyProtection="1">
      <alignment horizontal="center" vertical="center" wrapText="1"/>
    </xf>
    <xf numFmtId="0" fontId="79"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3"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76"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76"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73" fontId="5" fillId="4" borderId="9" xfId="0" applyNumberFormat="1" applyFont="1" applyFill="1" applyBorder="1" applyProtection="1"/>
    <xf numFmtId="3" fontId="5" fillId="4" borderId="9" xfId="0" applyNumberFormat="1" applyFont="1" applyFill="1" applyBorder="1" applyProtection="1"/>
    <xf numFmtId="174" fontId="5" fillId="4" borderId="9" xfId="0" applyNumberFormat="1" applyFont="1" applyFill="1" applyBorder="1" applyProtection="1"/>
    <xf numFmtId="177" fontId="5" fillId="4" borderId="9" xfId="0" applyNumberFormat="1" applyFont="1" applyFill="1" applyBorder="1" applyProtection="1"/>
    <xf numFmtId="4" fontId="53"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3"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1" fillId="4" borderId="67" xfId="0" applyFont="1" applyFill="1" applyBorder="1" applyAlignment="1" applyProtection="1">
      <alignment vertical="center"/>
    </xf>
    <xf numFmtId="4" fontId="5" fillId="3" borderId="9" xfId="0" quotePrefix="1" applyNumberFormat="1" applyFont="1" applyFill="1" applyBorder="1" applyProtection="1"/>
    <xf numFmtId="0" fontId="91" fillId="4" borderId="0" xfId="0" applyFont="1" applyFill="1" applyProtection="1"/>
    <xf numFmtId="0" fontId="10" fillId="4" borderId="37" xfId="0" applyFont="1" applyFill="1" applyBorder="1" applyAlignment="1" applyProtection="1">
      <alignment horizontal="left"/>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7"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0" fillId="4" borderId="24" xfId="0" applyFill="1" applyBorder="1" applyAlignment="1" applyProtection="1">
      <alignment horizontal="left"/>
      <protection locked="0"/>
    </xf>
    <xf numFmtId="0" fontId="2" fillId="4" borderId="37" xfId="2" applyFont="1" applyFill="1" applyBorder="1" applyAlignment="1" applyProtection="1">
      <alignment horizontal="left" wrapText="1"/>
      <protection locked="0"/>
    </xf>
    <xf numFmtId="0" fontId="5" fillId="4" borderId="72" xfId="0" applyFont="1" applyFill="1" applyBorder="1" applyAlignment="1" applyProtection="1">
      <alignment horizontal="left" vertical="top" wrapText="1"/>
      <protection locked="0"/>
    </xf>
    <xf numFmtId="0" fontId="0" fillId="4" borderId="73" xfId="0"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76" fontId="5" fillId="4" borderId="37" xfId="0" applyNumberFormat="1" applyFont="1" applyFill="1" applyBorder="1" applyAlignment="1" applyProtection="1">
      <alignment horizontal="left"/>
      <protection locked="0"/>
    </xf>
    <xf numFmtId="176"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2" fillId="2" borderId="37" xfId="0" applyFont="1" applyFill="1" applyBorder="1" applyAlignment="1" applyProtection="1">
      <alignment horizontal="center"/>
      <protection hidden="1"/>
    </xf>
    <xf numFmtId="0" fontId="52" fillId="2" borderId="38" xfId="0" applyFont="1" applyFill="1" applyBorder="1" applyAlignment="1" applyProtection="1">
      <alignment horizontal="center"/>
      <protection hidden="1"/>
    </xf>
    <xf numFmtId="0" fontId="5" fillId="2" borderId="0" xfId="0" quotePrefix="1" applyFont="1" applyFill="1" applyBorder="1" applyAlignment="1" applyProtection="1">
      <alignment horizontal="center"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176" fontId="5" fillId="4" borderId="38" xfId="0" applyNumberFormat="1" applyFont="1" applyFill="1" applyBorder="1" applyAlignment="1" applyProtection="1">
      <alignment horizontal="left"/>
      <protection locked="0"/>
    </xf>
    <xf numFmtId="2" fontId="49"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5" fillId="2" borderId="0" xfId="0" applyFont="1" applyFill="1" applyAlignment="1">
      <alignment vertical="center" wrapText="1"/>
    </xf>
    <xf numFmtId="0" fontId="0" fillId="0" borderId="0" xfId="0" applyAlignment="1">
      <alignment vertical="center" wrapText="1"/>
    </xf>
    <xf numFmtId="1" fontId="77" fillId="4" borderId="78" xfId="0" applyNumberFormat="1" applyFont="1" applyFill="1" applyBorder="1" applyAlignment="1" applyProtection="1">
      <alignment horizontal="center" vertical="center"/>
    </xf>
    <xf numFmtId="1" fontId="77" fillId="4" borderId="79" xfId="0" applyNumberFormat="1" applyFont="1" applyFill="1" applyBorder="1" applyAlignment="1" applyProtection="1">
      <alignment horizontal="center" vertical="center"/>
    </xf>
    <xf numFmtId="1" fontId="77"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74"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3"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8"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3" fillId="5" borderId="30" xfId="0" applyFont="1" applyFill="1" applyBorder="1" applyAlignment="1" applyProtection="1">
      <alignment vertical="top"/>
    </xf>
    <xf numFmtId="0" fontId="73" fillId="5" borderId="31" xfId="0" applyFont="1" applyFill="1" applyBorder="1" applyAlignment="1" applyProtection="1">
      <alignment vertical="top"/>
    </xf>
    <xf numFmtId="0" fontId="73" fillId="5" borderId="20" xfId="0" applyFont="1" applyFill="1" applyBorder="1" applyAlignment="1" applyProtection="1">
      <alignment vertical="top"/>
    </xf>
    <xf numFmtId="0" fontId="73" fillId="5" borderId="7" xfId="0" applyFont="1" applyFill="1" applyBorder="1" applyAlignment="1" applyProtection="1">
      <alignment vertical="top"/>
    </xf>
    <xf numFmtId="0" fontId="73"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94"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79" fillId="2" borderId="82" xfId="0" applyFont="1" applyFill="1" applyBorder="1" applyAlignment="1" applyProtection="1">
      <alignment horizontal="center" vertical="center" wrapText="1"/>
    </xf>
    <xf numFmtId="0" fontId="79" fillId="2" borderId="83" xfId="0" applyFont="1" applyFill="1" applyBorder="1" applyAlignment="1" applyProtection="1">
      <alignment horizontal="center" vertical="center" wrapText="1"/>
    </xf>
    <xf numFmtId="0" fontId="79" fillId="0" borderId="94" xfId="0" applyFont="1" applyBorder="1" applyAlignment="1" applyProtection="1">
      <alignment horizontal="center" vertical="center" wrapText="1"/>
    </xf>
    <xf numFmtId="0" fontId="79" fillId="0" borderId="58" xfId="0" applyFont="1" applyBorder="1" applyAlignment="1" applyProtection="1">
      <alignment horizontal="center" vertical="center" wrapText="1"/>
    </xf>
    <xf numFmtId="0" fontId="30" fillId="4" borderId="82" xfId="0" applyFont="1" applyFill="1" applyBorder="1" applyAlignment="1" applyProtection="1">
      <alignment horizontal="center" vertical="center" wrapText="1"/>
    </xf>
    <xf numFmtId="0" fontId="70" fillId="4" borderId="57" xfId="0" applyFont="1" applyFill="1" applyBorder="1" applyAlignment="1" applyProtection="1">
      <alignment horizontal="center" vertical="center" wrapText="1"/>
    </xf>
    <xf numFmtId="0" fontId="70" fillId="4" borderId="83" xfId="0" applyFont="1" applyFill="1" applyBorder="1" applyAlignment="1" applyProtection="1">
      <alignment horizontal="center" vertical="center" wrapText="1"/>
    </xf>
    <xf numFmtId="0" fontId="0" fillId="0" borderId="83" xfId="0" applyBorder="1" applyAlignment="1" applyProtection="1">
      <alignment horizontal="center" vertical="center"/>
    </xf>
    <xf numFmtId="0" fontId="30" fillId="2" borderId="83"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8" fillId="8" borderId="88" xfId="0" applyFont="1" applyFill="1" applyBorder="1" applyAlignment="1" applyProtection="1">
      <alignment horizontal="center" vertical="center" wrapText="1"/>
    </xf>
    <xf numFmtId="0" fontId="46" fillId="5" borderId="77"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8" fillId="4"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3" fillId="5" borderId="92"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34" fillId="5" borderId="93"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8" fillId="8" borderId="88" xfId="0" applyFont="1" applyFill="1" applyBorder="1" applyAlignment="1" applyProtection="1">
      <alignment horizontal="center" vertical="center"/>
    </xf>
    <xf numFmtId="0" fontId="79" fillId="2" borderId="84" xfId="0" applyFont="1" applyFill="1" applyBorder="1" applyAlignment="1" applyProtection="1">
      <alignment horizontal="center" vertical="center" wrapText="1"/>
    </xf>
    <xf numFmtId="0" fontId="79" fillId="2" borderId="85"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0" fillId="0" borderId="21"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90"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0" borderId="90"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10" fillId="4" borderId="90" xfId="0" applyFont="1" applyFill="1" applyBorder="1" applyAlignment="1">
      <alignment horizontal="left" vertical="center" wrapText="1"/>
    </xf>
    <xf numFmtId="0" fontId="26" fillId="4" borderId="21" xfId="0" applyFont="1" applyFill="1" applyBorder="1" applyAlignment="1">
      <alignment horizontal="left" vertical="center"/>
    </xf>
    <xf numFmtId="0" fontId="26" fillId="4" borderId="89" xfId="0" applyFont="1" applyFill="1" applyBorder="1" applyAlignment="1">
      <alignment horizontal="left" vertical="center"/>
    </xf>
    <xf numFmtId="0" fontId="26" fillId="4" borderId="90"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90" xfId="0" quotePrefix="1" applyFont="1" applyBorder="1" applyAlignment="1">
      <alignment horizontal="left" vertical="top" wrapText="1"/>
    </xf>
    <xf numFmtId="0" fontId="40" fillId="4" borderId="82"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28" fillId="5" borderId="77" xfId="0" applyFont="1" applyFill="1" applyBorder="1" applyAlignment="1">
      <alignment horizontal="center" vertical="top"/>
    </xf>
    <xf numFmtId="0" fontId="28" fillId="5" borderId="17" xfId="0" applyFont="1" applyFill="1" applyBorder="1" applyAlignment="1">
      <alignment horizontal="center" vertical="top"/>
    </xf>
    <xf numFmtId="0" fontId="12" fillId="0" borderId="21" xfId="0" applyFont="1" applyBorder="1" applyAlignment="1">
      <alignment horizontal="center" wrapText="1"/>
    </xf>
    <xf numFmtId="0" fontId="12" fillId="0" borderId="89" xfId="0" applyFont="1" applyBorder="1" applyAlignment="1">
      <alignment horizontal="center" wrapText="1"/>
    </xf>
    <xf numFmtId="0" fontId="12" fillId="0" borderId="90" xfId="0" applyFont="1" applyBorder="1" applyAlignment="1">
      <alignment horizontal="center" wrapText="1"/>
    </xf>
    <xf numFmtId="0" fontId="10" fillId="4" borderId="21" xfId="0" applyFont="1" applyFill="1" applyBorder="1" applyAlignment="1">
      <alignment horizontal="left" vertical="top" wrapText="1"/>
    </xf>
    <xf numFmtId="0" fontId="10" fillId="4" borderId="89" xfId="0" applyFont="1" applyFill="1" applyBorder="1" applyAlignment="1">
      <alignment horizontal="left" vertical="top" wrapText="1"/>
    </xf>
    <xf numFmtId="0" fontId="10" fillId="4" borderId="90" xfId="0" applyFont="1" applyFill="1" applyBorder="1" applyAlignment="1">
      <alignment horizontal="left" vertical="top" wrapText="1"/>
    </xf>
    <xf numFmtId="0" fontId="10" fillId="0" borderId="21" xfId="0" applyFont="1" applyBorder="1" applyAlignment="1">
      <alignment horizontal="left" vertical="center" wrapText="1"/>
    </xf>
    <xf numFmtId="0" fontId="10" fillId="0" borderId="89" xfId="0" applyFont="1" applyBorder="1" applyAlignment="1">
      <alignment horizontal="left" vertical="center" wrapText="1"/>
    </xf>
    <xf numFmtId="0" fontId="10" fillId="0" borderId="90" xfId="0" applyFont="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10" fillId="4" borderId="90" xfId="0" quotePrefix="1" applyFont="1" applyFill="1" applyBorder="1" applyAlignment="1">
      <alignment horizontal="left" vertical="center" wrapText="1"/>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0" fillId="0" borderId="21" xfId="0" applyBorder="1" applyAlignment="1">
      <alignment horizontal="left" vertical="top" wrapText="1"/>
    </xf>
    <xf numFmtId="0" fontId="0" fillId="0" borderId="89" xfId="0" applyBorder="1" applyAlignment="1">
      <alignment horizontal="left" vertical="top" wrapText="1"/>
    </xf>
    <xf numFmtId="0" fontId="0" fillId="0" borderId="90" xfId="0"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3" xfId="0" applyFont="1" applyFill="1" applyBorder="1" applyAlignment="1">
      <alignment horizontal="left" vertical="top" wrapText="1"/>
    </xf>
    <xf numFmtId="0" fontId="5" fillId="4" borderId="118" xfId="0" applyFont="1" applyFill="1" applyBorder="1" applyAlignment="1">
      <alignment horizontal="left" vertical="top" wrapText="1"/>
    </xf>
    <xf numFmtId="0" fontId="5" fillId="4" borderId="119" xfId="0" applyFont="1" applyFill="1" applyBorder="1" applyAlignment="1">
      <alignment horizontal="left" vertical="top" wrapText="1"/>
    </xf>
    <xf numFmtId="0" fontId="5" fillId="4" borderId="85" xfId="0" applyFont="1" applyFill="1" applyBorder="1" applyAlignment="1">
      <alignment horizontal="left" vertical="top" wrapText="1"/>
    </xf>
    <xf numFmtId="0" fontId="5" fillId="4" borderId="51" xfId="0" applyFont="1" applyFill="1" applyBorder="1" applyAlignment="1">
      <alignment horizontal="left" vertical="top" wrapText="1"/>
    </xf>
    <xf numFmtId="0" fontId="8" fillId="2" borderId="21" xfId="0" applyFont="1" applyFill="1" applyBorder="1" applyAlignment="1">
      <alignment horizontal="center" vertical="center"/>
    </xf>
    <xf numFmtId="0" fontId="8" fillId="2" borderId="89" xfId="0" applyFont="1" applyFill="1" applyBorder="1" applyAlignment="1">
      <alignment horizontal="center" vertical="center"/>
    </xf>
    <xf numFmtId="0" fontId="8" fillId="2" borderId="90" xfId="0" applyFont="1" applyFill="1" applyBorder="1" applyAlignment="1">
      <alignment horizontal="center" vertical="center"/>
    </xf>
    <xf numFmtId="0" fontId="5" fillId="4" borderId="116" xfId="0" applyFont="1" applyFill="1" applyBorder="1" applyAlignment="1">
      <alignment horizontal="left" vertical="top" wrapText="1"/>
    </xf>
    <xf numFmtId="0" fontId="5" fillId="4" borderId="87" xfId="0" applyFont="1" applyFill="1" applyBorder="1" applyAlignment="1">
      <alignment horizontal="left" vertical="top" wrapText="1"/>
    </xf>
    <xf numFmtId="0" fontId="5" fillId="4" borderId="117" xfId="0" applyFont="1" applyFill="1" applyBorder="1" applyAlignment="1">
      <alignment horizontal="left" vertical="top" wrapText="1"/>
    </xf>
    <xf numFmtId="0" fontId="5" fillId="4" borderId="88" xfId="0" applyFont="1" applyFill="1" applyBorder="1" applyAlignment="1">
      <alignment horizontal="left" vertical="top" wrapText="1"/>
    </xf>
    <xf numFmtId="0" fontId="33" fillId="5" borderId="21"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33" fillId="5" borderId="90" xfId="0" applyFont="1" applyFill="1" applyBorder="1" applyAlignment="1">
      <alignment horizontal="center" vertical="center" wrapText="1"/>
    </xf>
    <xf numFmtId="0" fontId="25" fillId="17" borderId="110" xfId="0" applyFont="1" applyFill="1" applyBorder="1" applyAlignment="1">
      <alignment horizontal="center" vertical="center" wrapText="1"/>
    </xf>
    <xf numFmtId="0" fontId="25" fillId="17" borderId="111" xfId="0" applyFont="1" applyFill="1" applyBorder="1" applyAlignment="1">
      <alignment horizontal="center" vertical="center" wrapText="1"/>
    </xf>
    <xf numFmtId="0" fontId="25" fillId="17" borderId="112" xfId="0" applyFont="1" applyFill="1" applyBorder="1" applyAlignment="1">
      <alignment horizontal="center" vertical="center" wrapText="1"/>
    </xf>
    <xf numFmtId="0" fontId="25" fillId="17" borderId="113" xfId="0" applyFont="1" applyFill="1" applyBorder="1" applyAlignment="1">
      <alignment horizontal="center" vertical="center" wrapText="1"/>
    </xf>
    <xf numFmtId="0" fontId="25" fillId="0" borderId="113" xfId="0" applyFont="1" applyBorder="1" applyAlignment="1">
      <alignment horizontal="center" vertical="center" wrapText="1"/>
    </xf>
    <xf numFmtId="0" fontId="25" fillId="0" borderId="111" xfId="0" applyFont="1" applyBorder="1" applyAlignment="1">
      <alignment horizontal="center" vertical="center" wrapText="1"/>
    </xf>
    <xf numFmtId="0" fontId="25" fillId="0" borderId="114" xfId="0" applyFont="1" applyBorder="1" applyAlignment="1">
      <alignment horizontal="center" vertical="center" wrapText="1"/>
    </xf>
    <xf numFmtId="0" fontId="12" fillId="4" borderId="21" xfId="0" applyFont="1" applyFill="1" applyBorder="1" applyAlignment="1">
      <alignment horizontal="left" wrapText="1"/>
    </xf>
    <xf numFmtId="0" fontId="12" fillId="4" borderId="89" xfId="0" applyFont="1" applyFill="1" applyBorder="1" applyAlignment="1">
      <alignment horizontal="left" wrapText="1"/>
    </xf>
    <xf numFmtId="0" fontId="12" fillId="4" borderId="90" xfId="0" applyFont="1" applyFill="1" applyBorder="1" applyAlignment="1">
      <alignment horizontal="left" wrapText="1"/>
    </xf>
    <xf numFmtId="0" fontId="69" fillId="0" borderId="115" xfId="0" applyFont="1" applyBorder="1" applyAlignment="1">
      <alignment horizontal="center" vertical="center"/>
    </xf>
    <xf numFmtId="0" fontId="69" fillId="0" borderId="92" xfId="0" applyFont="1" applyBorder="1" applyAlignment="1">
      <alignment horizontal="center" vertical="center"/>
    </xf>
    <xf numFmtId="0" fontId="69" fillId="0" borderId="93" xfId="0" applyFont="1" applyBorder="1" applyAlignment="1">
      <alignment horizontal="center" vertical="center"/>
    </xf>
    <xf numFmtId="0" fontId="67" fillId="2" borderId="106" xfId="0" applyFont="1" applyFill="1" applyBorder="1" applyAlignment="1">
      <alignment horizontal="center" vertical="center"/>
    </xf>
    <xf numFmtId="0" fontId="67" fillId="2" borderId="100" xfId="0" applyFont="1" applyFill="1" applyBorder="1" applyAlignment="1">
      <alignment horizontal="center" vertical="center"/>
    </xf>
    <xf numFmtId="0" fontId="67" fillId="2" borderId="101" xfId="0" applyFont="1" applyFill="1" applyBorder="1" applyAlignment="1">
      <alignment horizontal="center" vertical="center"/>
    </xf>
    <xf numFmtId="0" fontId="40" fillId="0" borderId="107" xfId="0" applyFont="1" applyBorder="1" applyAlignment="1">
      <alignment horizontal="center" vertical="center"/>
    </xf>
    <xf numFmtId="0" fontId="40" fillId="0" borderId="103" xfId="0" applyFont="1" applyBorder="1" applyAlignment="1">
      <alignment horizontal="center" vertical="center"/>
    </xf>
    <xf numFmtId="0" fontId="40" fillId="0" borderId="104" xfId="0" applyFont="1" applyBorder="1" applyAlignment="1">
      <alignment horizontal="center" vertical="center"/>
    </xf>
    <xf numFmtId="0" fontId="25" fillId="0" borderId="106" xfId="0" applyFont="1" applyBorder="1" applyAlignment="1">
      <alignment horizontal="center" vertical="center" wrapText="1"/>
    </xf>
    <xf numFmtId="0" fontId="25" fillId="0" borderId="10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40" fillId="0" borderId="102" xfId="0" applyFont="1" applyBorder="1" applyAlignment="1">
      <alignment horizontal="center" vertical="center"/>
    </xf>
    <xf numFmtId="0" fontId="40" fillId="0" borderId="109" xfId="0" applyFont="1" applyBorder="1" applyAlignment="1">
      <alignment horizontal="center" vertical="center"/>
    </xf>
    <xf numFmtId="0" fontId="25" fillId="0" borderId="99"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83" xfId="0" applyFont="1" applyBorder="1" applyAlignment="1">
      <alignment horizontal="center" vertical="center" wrapText="1"/>
    </xf>
    <xf numFmtId="0" fontId="25" fillId="17" borderId="105"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33" fillId="5" borderId="77" xfId="0" applyFont="1" applyFill="1" applyBorder="1" applyAlignment="1">
      <alignment horizontal="center" vertical="top"/>
    </xf>
    <xf numFmtId="0" fontId="33" fillId="5" borderId="17" xfId="0" applyFont="1" applyFill="1" applyBorder="1" applyAlignment="1">
      <alignment horizontal="center" vertical="top"/>
    </xf>
    <xf numFmtId="0" fontId="73" fillId="5" borderId="17" xfId="0" applyFont="1" applyFill="1" applyBorder="1" applyAlignment="1">
      <alignment horizontal="center" vertical="top"/>
    </xf>
    <xf numFmtId="0" fontId="74" fillId="0" borderId="17" xfId="0" applyFont="1" applyBorder="1" applyAlignment="1"/>
    <xf numFmtId="0" fontId="66" fillId="0" borderId="96" xfId="0" applyFont="1" applyBorder="1" applyAlignment="1">
      <alignment horizontal="center" vertical="center"/>
    </xf>
    <xf numFmtId="0" fontId="66" fillId="0" borderId="97" xfId="0" applyFont="1" applyBorder="1" applyAlignment="1">
      <alignment horizontal="center" vertical="center"/>
    </xf>
    <xf numFmtId="0" fontId="66" fillId="0" borderId="98" xfId="0" applyFont="1" applyBorder="1" applyAlignment="1">
      <alignment horizontal="center" vertical="center"/>
    </xf>
    <xf numFmtId="0" fontId="25" fillId="0" borderId="101" xfId="0" applyFont="1" applyBorder="1" applyAlignment="1">
      <alignment horizontal="center" vertical="center" wrapText="1"/>
    </xf>
    <xf numFmtId="174"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4" fontId="53"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2" fontId="37" fillId="2" borderId="0" xfId="0" applyNumberFormat="1" applyFont="1" applyFill="1" applyBorder="1" applyAlignment="1" applyProtection="1">
      <alignment horizontal="center" vertical="center"/>
    </xf>
    <xf numFmtId="176" fontId="5" fillId="4" borderId="37" xfId="0" applyNumberFormat="1" applyFont="1" applyFill="1" applyBorder="1" applyAlignment="1" applyProtection="1">
      <alignment horizontal="left"/>
    </xf>
    <xf numFmtId="176" fontId="5" fillId="4" borderId="38" xfId="0" applyNumberFormat="1" applyFont="1" applyFill="1" applyBorder="1" applyAlignment="1" applyProtection="1">
      <alignment horizontal="left"/>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176" fontId="0" fillId="0" borderId="38" xfId="0" applyNumberFormat="1" applyBorder="1" applyProtection="1"/>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2" fillId="2" borderId="37" xfId="0" applyFont="1" applyFill="1" applyBorder="1" applyAlignment="1" applyProtection="1">
      <alignment horizontal="center"/>
    </xf>
    <xf numFmtId="0" fontId="52" fillId="2" borderId="38" xfId="0" applyFont="1" applyFill="1" applyBorder="1" applyAlignment="1" applyProtection="1">
      <alignment horizontal="center"/>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57">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ill>
        <patternFill>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2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P$38"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26"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38"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26"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38"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1788893</xdr:colOff>
      <xdr:row>27</xdr:row>
      <xdr:rowOff>11430</xdr:rowOff>
    </xdr:to>
    <xdr:sp macro="" textlink="">
      <xdr:nvSpPr>
        <xdr:cNvPr id="8204" name="AutoShape 12">
          <a:hlinkClick xmlns:r="http://schemas.openxmlformats.org/officeDocument/2006/relationships" r:id="rId1"/>
          <a:extLst>
            <a:ext uri="{FF2B5EF4-FFF2-40B4-BE49-F238E27FC236}">
              <a16:creationId xmlns:a16="http://schemas.microsoft.com/office/drawing/2014/main" id="{00B205E3-ECEA-16A1-03FE-A08219CC3A54}"/>
            </a:ext>
          </a:extLst>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1788893</xdr:colOff>
      <xdr:row>29</xdr:row>
      <xdr:rowOff>0</xdr:rowOff>
    </xdr:to>
    <xdr:sp macro="" textlink="">
      <xdr:nvSpPr>
        <xdr:cNvPr id="8205" name="AutoShape 13">
          <a:hlinkClick xmlns:r="http://schemas.openxmlformats.org/officeDocument/2006/relationships" r:id="rId2"/>
          <a:extLst>
            <a:ext uri="{FF2B5EF4-FFF2-40B4-BE49-F238E27FC236}">
              <a16:creationId xmlns:a16="http://schemas.microsoft.com/office/drawing/2014/main" id="{CD2E31C7-A902-A7A2-1C94-5E87E81DEED7}"/>
            </a:ext>
          </a:extLst>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1779320</xdr:colOff>
      <xdr:row>39</xdr:row>
      <xdr:rowOff>0</xdr:rowOff>
    </xdr:to>
    <xdr:sp macro="" textlink="">
      <xdr:nvSpPr>
        <xdr:cNvPr id="8206" name="AutoShape 14">
          <a:hlinkClick xmlns:r="http://schemas.openxmlformats.org/officeDocument/2006/relationships" r:id="rId3"/>
          <a:extLst>
            <a:ext uri="{FF2B5EF4-FFF2-40B4-BE49-F238E27FC236}">
              <a16:creationId xmlns:a16="http://schemas.microsoft.com/office/drawing/2014/main" id="{46586F53-C362-5BE2-BC35-5E2EC40480C5}"/>
            </a:ext>
          </a:extLst>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1779176</xdr:colOff>
      <xdr:row>30</xdr:row>
      <xdr:rowOff>266700</xdr:rowOff>
    </xdr:to>
    <xdr:sp macro="" textlink="">
      <xdr:nvSpPr>
        <xdr:cNvPr id="8207" name="AutoShape 15">
          <a:hlinkClick xmlns:r="http://schemas.openxmlformats.org/officeDocument/2006/relationships" r:id="rId4"/>
          <a:extLst>
            <a:ext uri="{FF2B5EF4-FFF2-40B4-BE49-F238E27FC236}">
              <a16:creationId xmlns:a16="http://schemas.microsoft.com/office/drawing/2014/main" id="{ABDD17C4-3EF2-41EE-4B50-130D7CDD6A0C}"/>
            </a:ext>
          </a:extLst>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1779320</xdr:colOff>
      <xdr:row>36</xdr:row>
      <xdr:rowOff>276225</xdr:rowOff>
    </xdr:to>
    <xdr:sp macro="" textlink="">
      <xdr:nvSpPr>
        <xdr:cNvPr id="8208" name="AutoShape 16">
          <a:hlinkClick xmlns:r="http://schemas.openxmlformats.org/officeDocument/2006/relationships" r:id="rId5"/>
          <a:extLst>
            <a:ext uri="{FF2B5EF4-FFF2-40B4-BE49-F238E27FC236}">
              <a16:creationId xmlns:a16="http://schemas.microsoft.com/office/drawing/2014/main" id="{82531563-DF15-18EA-F895-4468AEAA4AA0}"/>
            </a:ext>
          </a:extLst>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440055</xdr:colOff>
      <xdr:row>1</xdr:row>
      <xdr:rowOff>312420</xdr:rowOff>
    </xdr:from>
    <xdr:to>
      <xdr:col>9</xdr:col>
      <xdr:colOff>666755</xdr:colOff>
      <xdr:row>1</xdr:row>
      <xdr:rowOff>472440</xdr:rowOff>
    </xdr:to>
    <xdr:sp macro="" textlink="">
      <xdr:nvSpPr>
        <xdr:cNvPr id="8312" name="Text Box 57">
          <a:extLst>
            <a:ext uri="{FF2B5EF4-FFF2-40B4-BE49-F238E27FC236}">
              <a16:creationId xmlns:a16="http://schemas.microsoft.com/office/drawing/2014/main" id="{F1CF2D07-4930-363C-AD50-50748B70EC0E}"/>
            </a:ext>
          </a:extLst>
        </xdr:cNvPr>
        <xdr:cNvSpPr txBox="1">
          <a:spLocks noChangeArrowheads="1"/>
        </xdr:cNvSpPr>
      </xdr:nvSpPr>
      <xdr:spPr bwMode="auto">
        <a:xfrm>
          <a:off x="3093720" y="411480"/>
          <a:ext cx="385572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321945</xdr:colOff>
      <xdr:row>1</xdr:row>
      <xdr:rowOff>333375</xdr:rowOff>
    </xdr:from>
    <xdr:to>
      <xdr:col>14</xdr:col>
      <xdr:colOff>85682</xdr:colOff>
      <xdr:row>1</xdr:row>
      <xdr:rowOff>485775</xdr:rowOff>
    </xdr:to>
    <xdr:sp macro="" textlink="">
      <xdr:nvSpPr>
        <xdr:cNvPr id="8254" name="Text Box 62">
          <a:extLst>
            <a:ext uri="{FF2B5EF4-FFF2-40B4-BE49-F238E27FC236}">
              <a16:creationId xmlns:a16="http://schemas.microsoft.com/office/drawing/2014/main" id="{DE537876-2FCB-3E05-FD6D-97295ABF1AD2}"/>
            </a:ext>
          </a:extLst>
        </xdr:cNvPr>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xdr:from>
      <xdr:col>7</xdr:col>
      <xdr:colOff>133350</xdr:colOff>
      <xdr:row>25</xdr:row>
      <xdr:rowOff>28575</xdr:rowOff>
    </xdr:from>
    <xdr:to>
      <xdr:col>8</xdr:col>
      <xdr:colOff>160288</xdr:colOff>
      <xdr:row>25</xdr:row>
      <xdr:rowOff>163930</xdr:rowOff>
    </xdr:to>
    <xdr:sp macro="" textlink="">
      <xdr:nvSpPr>
        <xdr:cNvPr id="8269" name="Text Box 77">
          <a:hlinkClick xmlns:r="http://schemas.openxmlformats.org/officeDocument/2006/relationships" r:id="rId6"/>
          <a:extLst>
            <a:ext uri="{FF2B5EF4-FFF2-40B4-BE49-F238E27FC236}">
              <a16:creationId xmlns:a16="http://schemas.microsoft.com/office/drawing/2014/main" id="{A6CE6E42-C5F8-B37E-FAC3-94140611D651}"/>
            </a:ext>
          </a:extLst>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1779176</xdr:colOff>
      <xdr:row>32</xdr:row>
      <xdr:rowOff>266700</xdr:rowOff>
    </xdr:to>
    <xdr:sp macro="" textlink="">
      <xdr:nvSpPr>
        <xdr:cNvPr id="8283" name="AutoShape 91">
          <a:hlinkClick xmlns:r="http://schemas.openxmlformats.org/officeDocument/2006/relationships" r:id="rId7"/>
          <a:extLst>
            <a:ext uri="{FF2B5EF4-FFF2-40B4-BE49-F238E27FC236}">
              <a16:creationId xmlns:a16="http://schemas.microsoft.com/office/drawing/2014/main" id="{329C17C9-40AD-849A-D783-4B8EC5D306F7}"/>
            </a:ext>
          </a:extLst>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1788896</xdr:colOff>
      <xdr:row>44</xdr:row>
      <xdr:rowOff>104775</xdr:rowOff>
    </xdr:to>
    <xdr:sp macro="" textlink="">
      <xdr:nvSpPr>
        <xdr:cNvPr id="8291" name="Text Box 99">
          <a:extLst>
            <a:ext uri="{FF2B5EF4-FFF2-40B4-BE49-F238E27FC236}">
              <a16:creationId xmlns:a16="http://schemas.microsoft.com/office/drawing/2014/main" id="{7BDF7F00-9248-CCEE-8F26-BCD759312A57}"/>
            </a:ext>
          </a:extLst>
        </xdr:cNvPr>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1779176</xdr:colOff>
      <xdr:row>34</xdr:row>
      <xdr:rowOff>266700</xdr:rowOff>
    </xdr:to>
    <xdr:sp macro="" textlink="">
      <xdr:nvSpPr>
        <xdr:cNvPr id="8299" name="AutoShape 107">
          <a:hlinkClick xmlns:r="http://schemas.openxmlformats.org/officeDocument/2006/relationships" r:id="rId8"/>
          <a:extLst>
            <a:ext uri="{FF2B5EF4-FFF2-40B4-BE49-F238E27FC236}">
              <a16:creationId xmlns:a16="http://schemas.microsoft.com/office/drawing/2014/main" id="{1499F756-85C5-60AE-6EDA-CCA275C94C84}"/>
            </a:ext>
          </a:extLst>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97501CD7-B691-6EC8-F8A9-2E90227B56FD}"/>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B51DB6C3-3350-8B96-0B5A-EC9FA854D2DD}"/>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861C860F-E77B-E1FD-D4DD-936AD85DBC81}"/>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ED31039F-8E22-66DF-2101-4A51D073C0A6}"/>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852D8CD2-1680-BF32-49DB-32EC3027AA27}"/>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9223" name="Text Box 7">
          <a:extLst>
            <a:ext uri="{FF2B5EF4-FFF2-40B4-BE49-F238E27FC236}">
              <a16:creationId xmlns:a16="http://schemas.microsoft.com/office/drawing/2014/main" id="{524DFF24-103B-CF0D-9039-C3C97C31C0AD}"/>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9224" name="Text Box 8">
          <a:extLst>
            <a:ext uri="{FF2B5EF4-FFF2-40B4-BE49-F238E27FC236}">
              <a16:creationId xmlns:a16="http://schemas.microsoft.com/office/drawing/2014/main" id="{87530DFB-B87B-DFA4-8F27-8884B88D5381}"/>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611E65C3-F072-395E-66D5-58FEF8199F7B}"/>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04F1B6F1-0902-0B59-E7BD-D8F735625F1A}"/>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79EDCB61-B67B-311A-853B-78E93F7FBC65}"/>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028E3571-D893-04CE-7CE1-0638E45DF9FB}"/>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29429928-ACF0-C34E-44C4-FF7B337B1406}"/>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B89048B7-F4C3-F3E0-20E6-2E2E5A77DE9C}"/>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9239" name="AutoShape 23">
          <a:hlinkClick xmlns:r="http://schemas.openxmlformats.org/officeDocument/2006/relationships" r:id="rId12"/>
          <a:extLst>
            <a:ext uri="{FF2B5EF4-FFF2-40B4-BE49-F238E27FC236}">
              <a16:creationId xmlns:a16="http://schemas.microsoft.com/office/drawing/2014/main" id="{D6886B7C-7EFF-BCA3-FC1A-11FEA60B97DF}"/>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a:extLst>
            <a:ext uri="{FF2B5EF4-FFF2-40B4-BE49-F238E27FC236}">
              <a16:creationId xmlns:a16="http://schemas.microsoft.com/office/drawing/2014/main" id="{82DAE646-B9D5-6E20-E0F2-56843C29C08C}"/>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9253" name="Text Box 37">
          <a:hlinkClick xmlns:r="http://schemas.openxmlformats.org/officeDocument/2006/relationships" r:id="rId13"/>
          <a:extLst>
            <a:ext uri="{FF2B5EF4-FFF2-40B4-BE49-F238E27FC236}">
              <a16:creationId xmlns:a16="http://schemas.microsoft.com/office/drawing/2014/main" id="{0F163600-501E-E904-A717-60CFCC59941F}"/>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9269" name="Text Box 53">
          <a:hlinkClick xmlns:r="http://schemas.openxmlformats.org/officeDocument/2006/relationships" r:id="rId14"/>
          <a:extLst>
            <a:ext uri="{FF2B5EF4-FFF2-40B4-BE49-F238E27FC236}">
              <a16:creationId xmlns:a16="http://schemas.microsoft.com/office/drawing/2014/main" id="{A39EAC5F-DA87-4E9B-E439-839B5268766B}"/>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9270" name="Text Box 54">
          <a:hlinkClick xmlns:r="http://schemas.openxmlformats.org/officeDocument/2006/relationships" r:id="rId15"/>
          <a:extLst>
            <a:ext uri="{FF2B5EF4-FFF2-40B4-BE49-F238E27FC236}">
              <a16:creationId xmlns:a16="http://schemas.microsoft.com/office/drawing/2014/main" id="{7D754D21-8012-93A2-CA86-88BFDCC7A799}"/>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9310" name="Text Box 94">
          <a:hlinkClick xmlns:r="http://schemas.openxmlformats.org/officeDocument/2006/relationships" r:id="rId16"/>
          <a:extLst>
            <a:ext uri="{FF2B5EF4-FFF2-40B4-BE49-F238E27FC236}">
              <a16:creationId xmlns:a16="http://schemas.microsoft.com/office/drawing/2014/main" id="{B698D8A9-67AD-3030-0DE3-EFF389B2E549}"/>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9311" name="Text Box 95">
          <a:hlinkClick xmlns:r="http://schemas.openxmlformats.org/officeDocument/2006/relationships" r:id="rId17"/>
          <a:extLst>
            <a:ext uri="{FF2B5EF4-FFF2-40B4-BE49-F238E27FC236}">
              <a16:creationId xmlns:a16="http://schemas.microsoft.com/office/drawing/2014/main" id="{65632208-5E6C-59B8-4671-5F03EF3FCFE4}"/>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9312" name="Text Box 96">
          <a:hlinkClick xmlns:r="http://schemas.openxmlformats.org/officeDocument/2006/relationships" r:id="rId18"/>
          <a:extLst>
            <a:ext uri="{FF2B5EF4-FFF2-40B4-BE49-F238E27FC236}">
              <a16:creationId xmlns:a16="http://schemas.microsoft.com/office/drawing/2014/main" id="{21425406-C665-0DA0-7083-3B0608E31182}"/>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9313" name="Text Box 97">
          <a:hlinkClick xmlns:r="http://schemas.openxmlformats.org/officeDocument/2006/relationships" r:id="rId19"/>
          <a:extLst>
            <a:ext uri="{FF2B5EF4-FFF2-40B4-BE49-F238E27FC236}">
              <a16:creationId xmlns:a16="http://schemas.microsoft.com/office/drawing/2014/main" id="{D065878D-354F-FF7B-8A61-238C461843F6}"/>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9315" name="Text Box 99">
          <a:hlinkClick xmlns:r="http://schemas.openxmlformats.org/officeDocument/2006/relationships" r:id="rId20"/>
          <a:extLst>
            <a:ext uri="{FF2B5EF4-FFF2-40B4-BE49-F238E27FC236}">
              <a16:creationId xmlns:a16="http://schemas.microsoft.com/office/drawing/2014/main" id="{81FE6992-10E6-4C2E-9BA3-BC5C55BA82D2}"/>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9316" name="Text Box 100">
          <a:hlinkClick xmlns:r="http://schemas.openxmlformats.org/officeDocument/2006/relationships" r:id="rId21"/>
          <a:extLst>
            <a:ext uri="{FF2B5EF4-FFF2-40B4-BE49-F238E27FC236}">
              <a16:creationId xmlns:a16="http://schemas.microsoft.com/office/drawing/2014/main" id="{BCDF9DAB-C666-ED05-D2D2-DB67F29887DA}"/>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9343" name="Rectangle 127">
          <a:extLst>
            <a:ext uri="{FF2B5EF4-FFF2-40B4-BE49-F238E27FC236}">
              <a16:creationId xmlns:a16="http://schemas.microsoft.com/office/drawing/2014/main" id="{98F5E973-0E3F-786A-501D-95B5CD9A4B6D}"/>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9442" name="Text Box 226">
          <a:extLst>
            <a:ext uri="{FF2B5EF4-FFF2-40B4-BE49-F238E27FC236}">
              <a16:creationId xmlns:a16="http://schemas.microsoft.com/office/drawing/2014/main" id="{705DB455-A108-2338-C50B-20D2A66088F1}"/>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10059" name="Line 227">
          <a:extLst>
            <a:ext uri="{FF2B5EF4-FFF2-40B4-BE49-F238E27FC236}">
              <a16:creationId xmlns:a16="http://schemas.microsoft.com/office/drawing/2014/main" id="{D2903D1A-4B12-3BF4-9BCD-326A7772B2F2}"/>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10060" name="Line 228">
          <a:extLst>
            <a:ext uri="{FF2B5EF4-FFF2-40B4-BE49-F238E27FC236}">
              <a16:creationId xmlns:a16="http://schemas.microsoft.com/office/drawing/2014/main" id="{D74846DD-9175-7705-BEB3-B304943F85B0}"/>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10061" name="Line 234">
          <a:extLst>
            <a:ext uri="{FF2B5EF4-FFF2-40B4-BE49-F238E27FC236}">
              <a16:creationId xmlns:a16="http://schemas.microsoft.com/office/drawing/2014/main" id="{9A8C6294-2642-A98C-EF3E-7EA74A9D941C}"/>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10062" name="Line 235">
          <a:extLst>
            <a:ext uri="{FF2B5EF4-FFF2-40B4-BE49-F238E27FC236}">
              <a16:creationId xmlns:a16="http://schemas.microsoft.com/office/drawing/2014/main" id="{53F49256-D7D0-B564-C306-CEBF802DAD7B}"/>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9456" name="Text Box 240">
          <a:hlinkClick xmlns:r="http://schemas.openxmlformats.org/officeDocument/2006/relationships" r:id="rId22" tooltip="Defaults"/>
          <a:extLst>
            <a:ext uri="{FF2B5EF4-FFF2-40B4-BE49-F238E27FC236}">
              <a16:creationId xmlns:a16="http://schemas.microsoft.com/office/drawing/2014/main" id="{FE094724-7B14-12F0-D384-C22A03ADC395}"/>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9457" name="Text Box 241">
          <a:extLst>
            <a:ext uri="{FF2B5EF4-FFF2-40B4-BE49-F238E27FC236}">
              <a16:creationId xmlns:a16="http://schemas.microsoft.com/office/drawing/2014/main" id="{D1C7ACFF-A748-8B3F-E286-EA98DCEF7A3F}"/>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9459" name="Text Box 243">
          <a:extLst>
            <a:ext uri="{FF2B5EF4-FFF2-40B4-BE49-F238E27FC236}">
              <a16:creationId xmlns:a16="http://schemas.microsoft.com/office/drawing/2014/main" id="{B83B0844-3AD8-FDC2-F0F5-478CA858878D}"/>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10066" name="Rectangle 405">
          <a:extLst>
            <a:ext uri="{FF2B5EF4-FFF2-40B4-BE49-F238E27FC236}">
              <a16:creationId xmlns:a16="http://schemas.microsoft.com/office/drawing/2014/main" id="{24904152-71CE-B3B5-D2C1-368E4E964AC4}"/>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9625" name="AutoShape 409">
          <a:hlinkClick xmlns:r="http://schemas.openxmlformats.org/officeDocument/2006/relationships" r:id="rId23"/>
          <a:extLst>
            <a:ext uri="{FF2B5EF4-FFF2-40B4-BE49-F238E27FC236}">
              <a16:creationId xmlns:a16="http://schemas.microsoft.com/office/drawing/2014/main" id="{4F0F0FA5-ED6C-2595-FBC8-9F64DDCED873}"/>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10068" name="Line 471">
          <a:extLst>
            <a:ext uri="{FF2B5EF4-FFF2-40B4-BE49-F238E27FC236}">
              <a16:creationId xmlns:a16="http://schemas.microsoft.com/office/drawing/2014/main" id="{CE5B535E-0928-F531-E67F-3B0DEC6F0E32}"/>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10069" name="Line 472">
          <a:extLst>
            <a:ext uri="{FF2B5EF4-FFF2-40B4-BE49-F238E27FC236}">
              <a16:creationId xmlns:a16="http://schemas.microsoft.com/office/drawing/2014/main" id="{996A2E7C-A33D-D23C-DFDA-FF0ECD3C28DE}"/>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a:extLst>
            <a:ext uri="{FF2B5EF4-FFF2-40B4-BE49-F238E27FC236}">
              <a16:creationId xmlns:a16="http://schemas.microsoft.com/office/drawing/2014/main" id="{9A72ADE6-FD4D-D109-D34E-0506E14A7156}"/>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274320</xdr:rowOff>
    </xdr:from>
    <xdr:to>
      <xdr:col>6</xdr:col>
      <xdr:colOff>862946</xdr:colOff>
      <xdr:row>1</xdr:row>
      <xdr:rowOff>449580</xdr:rowOff>
    </xdr:to>
    <xdr:sp macro="" textlink="">
      <xdr:nvSpPr>
        <xdr:cNvPr id="9966" name="Text Box 474">
          <a:extLst>
            <a:ext uri="{FF2B5EF4-FFF2-40B4-BE49-F238E27FC236}">
              <a16:creationId xmlns:a16="http://schemas.microsoft.com/office/drawing/2014/main" id="{E7CA8044-273B-E6F7-E16E-10A5E1A209B1}"/>
            </a:ext>
          </a:extLst>
        </xdr:cNvPr>
        <xdr:cNvSpPr txBox="1">
          <a:spLocks noChangeArrowheads="1"/>
        </xdr:cNvSpPr>
      </xdr:nvSpPr>
      <xdr:spPr bwMode="auto">
        <a:xfrm>
          <a:off x="1813560" y="35814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9704" name="Text Box 488">
          <a:hlinkClick xmlns:r="http://schemas.openxmlformats.org/officeDocument/2006/relationships" r:id="rId24"/>
          <a:extLst>
            <a:ext uri="{FF2B5EF4-FFF2-40B4-BE49-F238E27FC236}">
              <a16:creationId xmlns:a16="http://schemas.microsoft.com/office/drawing/2014/main" id="{5F313942-27BA-4AD3-A5C9-293411D8CE02}"/>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9705" name="Text Box 489">
          <a:hlinkClick xmlns:r="http://schemas.openxmlformats.org/officeDocument/2006/relationships" r:id="rId25"/>
          <a:extLst>
            <a:ext uri="{FF2B5EF4-FFF2-40B4-BE49-F238E27FC236}">
              <a16:creationId xmlns:a16="http://schemas.microsoft.com/office/drawing/2014/main" id="{1B2D5297-E70D-AF03-6E07-526FB99191F1}"/>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9706" name="Text Box 490">
          <a:hlinkClick xmlns:r="http://schemas.openxmlformats.org/officeDocument/2006/relationships" r:id="rId26"/>
          <a:extLst>
            <a:ext uri="{FF2B5EF4-FFF2-40B4-BE49-F238E27FC236}">
              <a16:creationId xmlns:a16="http://schemas.microsoft.com/office/drawing/2014/main" id="{10D412C6-15EE-227C-08C2-5D5EF0435D40}"/>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9710" name="Text Box 494">
          <a:hlinkClick xmlns:r="http://schemas.openxmlformats.org/officeDocument/2006/relationships" r:id="rId27"/>
          <a:extLst>
            <a:ext uri="{FF2B5EF4-FFF2-40B4-BE49-F238E27FC236}">
              <a16:creationId xmlns:a16="http://schemas.microsoft.com/office/drawing/2014/main" id="{19316A6F-0717-F1CE-F8A8-DA9E0A81B8E9}"/>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9922" name="Text Box 706">
          <a:extLst>
            <a:ext uri="{FF2B5EF4-FFF2-40B4-BE49-F238E27FC236}">
              <a16:creationId xmlns:a16="http://schemas.microsoft.com/office/drawing/2014/main" id="{ACCB815F-0DBD-AA92-1E98-3C5D38A53823}"/>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10077" name="Group 189">
              <a:extLst>
                <a:ext uri="{FF2B5EF4-FFF2-40B4-BE49-F238E27FC236}">
                  <a16:creationId xmlns:a16="http://schemas.microsoft.com/office/drawing/2014/main" id="{0BA2EBF7-CCAA-355A-B5A2-44EA851CB276}"/>
                </a:ext>
              </a:extLst>
            </xdr:cNvPr>
            <xdr:cNvGrpSpPr>
              <a:grpSpLocks/>
            </xdr:cNvGrpSpPr>
          </xdr:nvGrpSpPr>
          <xdr:grpSpPr bwMode="auto">
            <a:xfrm>
              <a:off x="7829550" y="5124450"/>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A3009805-0543-6777-6E74-05527D8D7550}"/>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6A14C58E-0370-72F5-449F-9E079B7DA1FA}"/>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3B05359D-333E-F7E0-E3EE-87AC6C8B5085}"/>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10078" name="Group 198">
              <a:extLst>
                <a:ext uri="{FF2B5EF4-FFF2-40B4-BE49-F238E27FC236}">
                  <a16:creationId xmlns:a16="http://schemas.microsoft.com/office/drawing/2014/main" id="{F2A082CC-2B13-64D7-0320-89A91886A03F}"/>
                </a:ext>
              </a:extLst>
            </xdr:cNvPr>
            <xdr:cNvGrpSpPr>
              <a:grpSpLocks/>
            </xdr:cNvGrpSpPr>
          </xdr:nvGrpSpPr>
          <xdr:grpSpPr bwMode="auto">
            <a:xfrm>
              <a:off x="7829550" y="5562600"/>
              <a:ext cx="58102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F75400DF-E8F9-3FA3-1395-695568FF0A75}"/>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5DE84F54-0B56-F1C9-7DBA-4EF7A6E42227}"/>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8333FB66-9782-8392-622C-00760A875846}"/>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10079" name="Group 203">
              <a:extLst>
                <a:ext uri="{FF2B5EF4-FFF2-40B4-BE49-F238E27FC236}">
                  <a16:creationId xmlns:a16="http://schemas.microsoft.com/office/drawing/2014/main" id="{C70B8AD1-1AB8-BC4F-45DE-06F76242E965}"/>
                </a:ext>
              </a:extLst>
            </xdr:cNvPr>
            <xdr:cNvGrpSpPr>
              <a:grpSpLocks/>
            </xdr:cNvGrpSpPr>
          </xdr:nvGrpSpPr>
          <xdr:grpSpPr bwMode="auto">
            <a:xfrm>
              <a:off x="7829550" y="37338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CFE6A33D-37F9-35FE-962B-D130638618CD}"/>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19792117-79AC-E708-B455-74DDC0B81605}"/>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7B871153-1D2D-2E9C-5FCB-F950A8FD5145}"/>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923925</xdr:colOff>
      <xdr:row>2</xdr:row>
      <xdr:rowOff>76200</xdr:rowOff>
    </xdr:from>
    <xdr:to>
      <xdr:col>4</xdr:col>
      <xdr:colOff>1188725</xdr:colOff>
      <xdr:row>2</xdr:row>
      <xdr:rowOff>251460</xdr:rowOff>
    </xdr:to>
    <xdr:sp macro="" textlink="">
      <xdr:nvSpPr>
        <xdr:cNvPr id="7203" name="Text Box 31">
          <a:extLst>
            <a:ext uri="{FF2B5EF4-FFF2-40B4-BE49-F238E27FC236}">
              <a16:creationId xmlns:a16="http://schemas.microsoft.com/office/drawing/2014/main" id="{78D9F895-121A-F3A5-EA2A-F1ADFF2DBD58}"/>
            </a:ext>
          </a:extLst>
        </xdr:cNvPr>
        <xdr:cNvSpPr txBox="1">
          <a:spLocks noChangeArrowheads="1"/>
        </xdr:cNvSpPr>
      </xdr:nvSpPr>
      <xdr:spPr bwMode="auto">
        <a:xfrm>
          <a:off x="1013460" y="312420"/>
          <a:ext cx="391668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1615440</xdr:colOff>
      <xdr:row>2</xdr:row>
      <xdr:rowOff>104775</xdr:rowOff>
    </xdr:from>
    <xdr:to>
      <xdr:col>4</xdr:col>
      <xdr:colOff>2211395</xdr:colOff>
      <xdr:row>2</xdr:row>
      <xdr:rowOff>228600</xdr:rowOff>
    </xdr:to>
    <xdr:sp macro="" textlink="">
      <xdr:nvSpPr>
        <xdr:cNvPr id="7202" name="Text Box 34">
          <a:extLst>
            <a:ext uri="{FF2B5EF4-FFF2-40B4-BE49-F238E27FC236}">
              <a16:creationId xmlns:a16="http://schemas.microsoft.com/office/drawing/2014/main" id="{ACF77391-EFB6-88AB-41C1-B6DE5A815029}"/>
            </a:ext>
          </a:extLst>
        </xdr:cNvPr>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1144905</xdr:colOff>
      <xdr:row>26</xdr:row>
      <xdr:rowOff>57150</xdr:rowOff>
    </xdr:from>
    <xdr:to>
      <xdr:col>8</xdr:col>
      <xdr:colOff>255266</xdr:colOff>
      <xdr:row>29</xdr:row>
      <xdr:rowOff>66675</xdr:rowOff>
    </xdr:to>
    <xdr:sp macro="" textlink="">
      <xdr:nvSpPr>
        <xdr:cNvPr id="17420" name="Text Box 12">
          <a:extLst>
            <a:ext uri="{FF2B5EF4-FFF2-40B4-BE49-F238E27FC236}">
              <a16:creationId xmlns:a16="http://schemas.microsoft.com/office/drawing/2014/main" id="{FE340669-5D59-D7A1-2D85-1EA0061A63F3}"/>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a:extLst>
            <a:ext uri="{FF2B5EF4-FFF2-40B4-BE49-F238E27FC236}">
              <a16:creationId xmlns:a16="http://schemas.microsoft.com/office/drawing/2014/main" id="{6FFB3D18-23EB-ACCA-944C-CA9D91712925}"/>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558165</xdr:colOff>
      <xdr:row>1</xdr:row>
      <xdr:rowOff>295275</xdr:rowOff>
    </xdr:from>
    <xdr:to>
      <xdr:col>9</xdr:col>
      <xdr:colOff>1247760</xdr:colOff>
      <xdr:row>2</xdr:row>
      <xdr:rowOff>11506</xdr:rowOff>
    </xdr:to>
    <xdr:sp macro="" textlink="">
      <xdr:nvSpPr>
        <xdr:cNvPr id="27650" name="Text Box 2">
          <a:extLst>
            <a:ext uri="{FF2B5EF4-FFF2-40B4-BE49-F238E27FC236}">
              <a16:creationId xmlns:a16="http://schemas.microsoft.com/office/drawing/2014/main" id="{A369B31C-905B-8EF9-3E9D-27E70630E555}"/>
            </a:ext>
          </a:extLst>
        </xdr:cNvPr>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861060</xdr:colOff>
      <xdr:row>1</xdr:row>
      <xdr:rowOff>276225</xdr:rowOff>
    </xdr:from>
    <xdr:to>
      <xdr:col>11</xdr:col>
      <xdr:colOff>1447757</xdr:colOff>
      <xdr:row>1</xdr:row>
      <xdr:rowOff>419100</xdr:rowOff>
    </xdr:to>
    <xdr:sp macro="" textlink="">
      <xdr:nvSpPr>
        <xdr:cNvPr id="27652" name="Text Box 4">
          <a:extLst>
            <a:ext uri="{FF2B5EF4-FFF2-40B4-BE49-F238E27FC236}">
              <a16:creationId xmlns:a16="http://schemas.microsoft.com/office/drawing/2014/main" id="{7159D848-ABF8-7CBA-FA8A-9DBD029C4CB4}"/>
            </a:ext>
          </a:extLst>
        </xdr:cNvPr>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4.2</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a:extLst>
            <a:ext uri="{FF2B5EF4-FFF2-40B4-BE49-F238E27FC236}">
              <a16:creationId xmlns:a16="http://schemas.microsoft.com/office/drawing/2014/main" id="{832E3BA5-42DB-8452-A336-A2598CEA451B}"/>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302900</xdr:colOff>
      <xdr:row>2</xdr:row>
      <xdr:rowOff>449580</xdr:rowOff>
    </xdr:to>
    <xdr:sp macro="" textlink="">
      <xdr:nvSpPr>
        <xdr:cNvPr id="28708" name="Text Box 19">
          <a:extLst>
            <a:ext uri="{FF2B5EF4-FFF2-40B4-BE49-F238E27FC236}">
              <a16:creationId xmlns:a16="http://schemas.microsoft.com/office/drawing/2014/main" id="{9C85A2D6-8FDB-8130-846D-62F6072A3A2E}"/>
            </a:ext>
          </a:extLst>
        </xdr:cNvPr>
        <xdr:cNvSpPr txBox="1">
          <a:spLocks noChangeArrowheads="1"/>
        </xdr:cNvSpPr>
      </xdr:nvSpPr>
      <xdr:spPr bwMode="auto">
        <a:xfrm>
          <a:off x="99060" y="525780"/>
          <a:ext cx="391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1703070</xdr:colOff>
      <xdr:row>2</xdr:row>
      <xdr:rowOff>304800</xdr:rowOff>
    </xdr:from>
    <xdr:to>
      <xdr:col>4</xdr:col>
      <xdr:colOff>2299110</xdr:colOff>
      <xdr:row>2</xdr:row>
      <xdr:rowOff>428625</xdr:rowOff>
    </xdr:to>
    <xdr:sp macro="" textlink="">
      <xdr:nvSpPr>
        <xdr:cNvPr id="28693" name="Text Box 21">
          <a:extLst>
            <a:ext uri="{FF2B5EF4-FFF2-40B4-BE49-F238E27FC236}">
              <a16:creationId xmlns:a16="http://schemas.microsoft.com/office/drawing/2014/main" id="{A0B41028-3568-5608-D523-3E9A557BD246}"/>
            </a:ext>
          </a:extLst>
        </xdr:cNvPr>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editAs="oneCell">
    <xdr:from>
      <xdr:col>2</xdr:col>
      <xdr:colOff>752475</xdr:colOff>
      <xdr:row>3</xdr:row>
      <xdr:rowOff>38100</xdr:rowOff>
    </xdr:from>
    <xdr:to>
      <xdr:col>4</xdr:col>
      <xdr:colOff>3743325</xdr:colOff>
      <xdr:row>9</xdr:row>
      <xdr:rowOff>209550</xdr:rowOff>
    </xdr:to>
    <xdr:pic>
      <xdr:nvPicPr>
        <xdr:cNvPr id="28734" name="Picture 22" descr="Meter-at-curb-stop">
          <a:extLst>
            <a:ext uri="{FF2B5EF4-FFF2-40B4-BE49-F238E27FC236}">
              <a16:creationId xmlns:a16="http://schemas.microsoft.com/office/drawing/2014/main" id="{C2A14916-FB56-7DA4-42C5-A0E5D40CA1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7620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28735" name="Picture 23" descr="Meter-Inside-Property">
          <a:extLst>
            <a:ext uri="{FF2B5EF4-FFF2-40B4-BE49-F238E27FC236}">
              <a16:creationId xmlns:a16="http://schemas.microsoft.com/office/drawing/2014/main" id="{8082651F-AD9D-084D-620B-21450D165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7528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28736" name="Picture 24" descr="Unmetered">
          <a:extLst>
            <a:ext uri="{FF2B5EF4-FFF2-40B4-BE49-F238E27FC236}">
              <a16:creationId xmlns:a16="http://schemas.microsoft.com/office/drawing/2014/main" id="{6925D2E7-84C9-093F-A8A7-3FD374CC37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8389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2478405</xdr:colOff>
      <xdr:row>2</xdr:row>
      <xdr:rowOff>152400</xdr:rowOff>
    </xdr:from>
    <xdr:to>
      <xdr:col>4</xdr:col>
      <xdr:colOff>3981362</xdr:colOff>
      <xdr:row>2</xdr:row>
      <xdr:rowOff>400050</xdr:rowOff>
    </xdr:to>
    <xdr:sp macro="" textlink="">
      <xdr:nvSpPr>
        <xdr:cNvPr id="28697" name="AutoShape 25">
          <a:hlinkClick xmlns:r="http://schemas.openxmlformats.org/officeDocument/2006/relationships" r:id="rId4"/>
          <a:extLst>
            <a:ext uri="{FF2B5EF4-FFF2-40B4-BE49-F238E27FC236}">
              <a16:creationId xmlns:a16="http://schemas.microsoft.com/office/drawing/2014/main" id="{4D3FD03C-4B0B-B6C6-206B-7B1D4B3F37B6}"/>
            </a:ext>
          </a:extLst>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628670</xdr:colOff>
      <xdr:row>20</xdr:row>
      <xdr:rowOff>106680</xdr:rowOff>
    </xdr:to>
    <xdr:sp macro="" textlink="">
      <xdr:nvSpPr>
        <xdr:cNvPr id="28714" name="Text Box 26">
          <a:extLst>
            <a:ext uri="{FF2B5EF4-FFF2-40B4-BE49-F238E27FC236}">
              <a16:creationId xmlns:a16="http://schemas.microsoft.com/office/drawing/2014/main" id="{D7ED5141-0E00-5B5E-8D4B-D6509D7B31DA}"/>
            </a:ext>
          </a:extLst>
        </xdr:cNvPr>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150495</xdr:colOff>
      <xdr:row>3</xdr:row>
      <xdr:rowOff>161925</xdr:rowOff>
    </xdr:from>
    <xdr:to>
      <xdr:col>2</xdr:col>
      <xdr:colOff>558167</xdr:colOff>
      <xdr:row>4</xdr:row>
      <xdr:rowOff>0</xdr:rowOff>
    </xdr:to>
    <xdr:sp macro="" textlink="">
      <xdr:nvSpPr>
        <xdr:cNvPr id="28702" name="Text Box 30">
          <a:hlinkClick xmlns:r="http://schemas.openxmlformats.org/officeDocument/2006/relationships" r:id="rId5"/>
          <a:extLst>
            <a:ext uri="{FF2B5EF4-FFF2-40B4-BE49-F238E27FC236}">
              <a16:creationId xmlns:a16="http://schemas.microsoft.com/office/drawing/2014/main" id="{BFF05A9A-66D7-B712-64F8-06B45EDFDD09}"/>
            </a:ext>
          </a:extLst>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822960</xdr:colOff>
      <xdr:row>8</xdr:row>
      <xdr:rowOff>295275</xdr:rowOff>
    </xdr:from>
    <xdr:to>
      <xdr:col>3</xdr:col>
      <xdr:colOff>481988</xdr:colOff>
      <xdr:row>9</xdr:row>
      <xdr:rowOff>125778</xdr:rowOff>
    </xdr:to>
    <xdr:sp macro="" textlink="">
      <xdr:nvSpPr>
        <xdr:cNvPr id="28703" name="Text Box 31">
          <a:extLst>
            <a:ext uri="{FF2B5EF4-FFF2-40B4-BE49-F238E27FC236}">
              <a16:creationId xmlns:a16="http://schemas.microsoft.com/office/drawing/2014/main" id="{E039AF29-D7F4-9FB2-7B9D-E20E7A3ED925}"/>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851535</xdr:colOff>
      <xdr:row>15</xdr:row>
      <xdr:rowOff>76200</xdr:rowOff>
    </xdr:from>
    <xdr:to>
      <xdr:col>3</xdr:col>
      <xdr:colOff>512538</xdr:colOff>
      <xdr:row>15</xdr:row>
      <xdr:rowOff>381000</xdr:rowOff>
    </xdr:to>
    <xdr:sp macro="" textlink="">
      <xdr:nvSpPr>
        <xdr:cNvPr id="28704" name="Text Box 32">
          <a:extLst>
            <a:ext uri="{FF2B5EF4-FFF2-40B4-BE49-F238E27FC236}">
              <a16:creationId xmlns:a16="http://schemas.microsoft.com/office/drawing/2014/main" id="{24AAD827-F740-D93C-81F3-B41916D4C8FA}"/>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889635</xdr:colOff>
      <xdr:row>21</xdr:row>
      <xdr:rowOff>457200</xdr:rowOff>
    </xdr:from>
    <xdr:to>
      <xdr:col>3</xdr:col>
      <xdr:colOff>548663</xdr:colOff>
      <xdr:row>22</xdr:row>
      <xdr:rowOff>295275</xdr:rowOff>
    </xdr:to>
    <xdr:sp macro="" textlink="">
      <xdr:nvSpPr>
        <xdr:cNvPr id="28705" name="Text Box 33">
          <a:extLst>
            <a:ext uri="{FF2B5EF4-FFF2-40B4-BE49-F238E27FC236}">
              <a16:creationId xmlns:a16="http://schemas.microsoft.com/office/drawing/2014/main" id="{1D3004F0-38DC-A3F9-C081-8CF9FA4A3C64}"/>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514350</xdr:colOff>
      <xdr:row>20</xdr:row>
      <xdr:rowOff>188595</xdr:rowOff>
    </xdr:from>
    <xdr:to>
      <xdr:col>2</xdr:col>
      <xdr:colOff>154321</xdr:colOff>
      <xdr:row>21</xdr:row>
      <xdr:rowOff>142875</xdr:rowOff>
    </xdr:to>
    <xdr:sp macro="" textlink="">
      <xdr:nvSpPr>
        <xdr:cNvPr id="28707" name="Text Box 35">
          <a:hlinkClick xmlns:r="http://schemas.openxmlformats.org/officeDocument/2006/relationships" r:id="rId6"/>
          <a:extLst>
            <a:ext uri="{FF2B5EF4-FFF2-40B4-BE49-F238E27FC236}">
              <a16:creationId xmlns:a16="http://schemas.microsoft.com/office/drawing/2014/main" id="{20B328BA-C7DB-D731-3FF5-8534D809925A}"/>
            </a:ext>
          </a:extLst>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350578</xdr:colOff>
      <xdr:row>15</xdr:row>
      <xdr:rowOff>762000</xdr:rowOff>
    </xdr:to>
    <xdr:sp macro="" textlink="">
      <xdr:nvSpPr>
        <xdr:cNvPr id="10248" name="Text Box 8">
          <a:hlinkClick xmlns:r="http://schemas.openxmlformats.org/officeDocument/2006/relationships" r:id="rId1"/>
          <a:extLst>
            <a:ext uri="{FF2B5EF4-FFF2-40B4-BE49-F238E27FC236}">
              <a16:creationId xmlns:a16="http://schemas.microsoft.com/office/drawing/2014/main" id="{D42EA3A1-6664-961C-FAB2-8306AF3D03E3}"/>
            </a:ext>
          </a:extLst>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350578</xdr:colOff>
      <xdr:row>50</xdr:row>
      <xdr:rowOff>381000</xdr:rowOff>
    </xdr:to>
    <xdr:sp macro="" textlink="">
      <xdr:nvSpPr>
        <xdr:cNvPr id="10251" name="Text Box 11">
          <a:hlinkClick xmlns:r="http://schemas.openxmlformats.org/officeDocument/2006/relationships" r:id="rId2"/>
          <a:extLst>
            <a:ext uri="{FF2B5EF4-FFF2-40B4-BE49-F238E27FC236}">
              <a16:creationId xmlns:a16="http://schemas.microsoft.com/office/drawing/2014/main" id="{D5CDEE51-1B67-C4B1-DA89-E186923B0E0B}"/>
            </a:ext>
          </a:extLst>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360103</xdr:colOff>
      <xdr:row>39</xdr:row>
      <xdr:rowOff>247650</xdr:rowOff>
    </xdr:to>
    <xdr:sp macro="" textlink="">
      <xdr:nvSpPr>
        <xdr:cNvPr id="10263" name="Text Box 23">
          <a:hlinkClick xmlns:r="http://schemas.openxmlformats.org/officeDocument/2006/relationships" r:id="rId3"/>
          <a:extLst>
            <a:ext uri="{FF2B5EF4-FFF2-40B4-BE49-F238E27FC236}">
              <a16:creationId xmlns:a16="http://schemas.microsoft.com/office/drawing/2014/main" id="{8EC52207-89E2-C64F-DBCA-B465B7024A2C}"/>
            </a:ext>
          </a:extLst>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360103</xdr:colOff>
      <xdr:row>33</xdr:row>
      <xdr:rowOff>409575</xdr:rowOff>
    </xdr:to>
    <xdr:sp macro="" textlink="">
      <xdr:nvSpPr>
        <xdr:cNvPr id="10265" name="Text Box 25">
          <a:hlinkClick xmlns:r="http://schemas.openxmlformats.org/officeDocument/2006/relationships" r:id="rId4"/>
          <a:extLst>
            <a:ext uri="{FF2B5EF4-FFF2-40B4-BE49-F238E27FC236}">
              <a16:creationId xmlns:a16="http://schemas.microsoft.com/office/drawing/2014/main" id="{A5AD46F2-920F-5A4E-69E4-595450E07741}"/>
            </a:ext>
          </a:extLst>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360103</xdr:colOff>
      <xdr:row>60</xdr:row>
      <xdr:rowOff>1428750</xdr:rowOff>
    </xdr:to>
    <xdr:sp macro="" textlink="">
      <xdr:nvSpPr>
        <xdr:cNvPr id="10269" name="Text Box 29">
          <a:hlinkClick xmlns:r="http://schemas.openxmlformats.org/officeDocument/2006/relationships" r:id="rId5"/>
          <a:extLst>
            <a:ext uri="{FF2B5EF4-FFF2-40B4-BE49-F238E27FC236}">
              <a16:creationId xmlns:a16="http://schemas.microsoft.com/office/drawing/2014/main" id="{84B7776C-ADA1-C101-B4F3-38893DDB9297}"/>
            </a:ext>
          </a:extLst>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a:extLst>
            <a:ext uri="{FF2B5EF4-FFF2-40B4-BE49-F238E27FC236}">
              <a16:creationId xmlns:a16="http://schemas.microsoft.com/office/drawing/2014/main" id="{63DADDF8-C3A3-312B-4505-BBB7A5021889}"/>
            </a:ext>
          </a:extLst>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306705</xdr:rowOff>
    </xdr:from>
    <xdr:to>
      <xdr:col>3</xdr:col>
      <xdr:colOff>360103</xdr:colOff>
      <xdr:row>46</xdr:row>
      <xdr:rowOff>442060</xdr:rowOff>
    </xdr:to>
    <xdr:sp macro="" textlink="">
      <xdr:nvSpPr>
        <xdr:cNvPr id="10273" name="Text Box 33">
          <a:hlinkClick xmlns:r="http://schemas.openxmlformats.org/officeDocument/2006/relationships" r:id="rId7"/>
          <a:extLst>
            <a:ext uri="{FF2B5EF4-FFF2-40B4-BE49-F238E27FC236}">
              <a16:creationId xmlns:a16="http://schemas.microsoft.com/office/drawing/2014/main" id="{DE064BC3-0525-AD8D-7CAB-9940F10F750C}"/>
            </a:ext>
          </a:extLst>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360103</xdr:colOff>
      <xdr:row>64</xdr:row>
      <xdr:rowOff>180975</xdr:rowOff>
    </xdr:to>
    <xdr:sp macro="" textlink="">
      <xdr:nvSpPr>
        <xdr:cNvPr id="10275" name="Text Box 35">
          <a:hlinkClick xmlns:r="http://schemas.openxmlformats.org/officeDocument/2006/relationships" r:id="rId8"/>
          <a:extLst>
            <a:ext uri="{FF2B5EF4-FFF2-40B4-BE49-F238E27FC236}">
              <a16:creationId xmlns:a16="http://schemas.microsoft.com/office/drawing/2014/main" id="{10C867F8-F7BA-B0A4-FEFC-0BD8BC7C5BCB}"/>
            </a:ext>
          </a:extLst>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360103</xdr:colOff>
      <xdr:row>68</xdr:row>
      <xdr:rowOff>323850</xdr:rowOff>
    </xdr:to>
    <xdr:sp macro="" textlink="">
      <xdr:nvSpPr>
        <xdr:cNvPr id="10276" name="Text Box 36">
          <a:hlinkClick xmlns:r="http://schemas.openxmlformats.org/officeDocument/2006/relationships" r:id="rId9"/>
          <a:extLst>
            <a:ext uri="{FF2B5EF4-FFF2-40B4-BE49-F238E27FC236}">
              <a16:creationId xmlns:a16="http://schemas.microsoft.com/office/drawing/2014/main" id="{D3929095-2B4C-FFFD-36AF-DA348496D25A}"/>
            </a:ext>
          </a:extLst>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369628</xdr:colOff>
      <xdr:row>66</xdr:row>
      <xdr:rowOff>295275</xdr:rowOff>
    </xdr:to>
    <xdr:sp macro="" textlink="">
      <xdr:nvSpPr>
        <xdr:cNvPr id="10278" name="Text Box 38">
          <a:hlinkClick xmlns:r="http://schemas.openxmlformats.org/officeDocument/2006/relationships" r:id="rId10"/>
          <a:extLst>
            <a:ext uri="{FF2B5EF4-FFF2-40B4-BE49-F238E27FC236}">
              <a16:creationId xmlns:a16="http://schemas.microsoft.com/office/drawing/2014/main" id="{2FD804E7-44CD-F456-884F-97E311E3A4CB}"/>
            </a:ext>
          </a:extLst>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360103</xdr:colOff>
      <xdr:row>62</xdr:row>
      <xdr:rowOff>419100</xdr:rowOff>
    </xdr:to>
    <xdr:sp macro="" textlink="">
      <xdr:nvSpPr>
        <xdr:cNvPr id="10281" name="Text Box 41">
          <a:hlinkClick xmlns:r="http://schemas.openxmlformats.org/officeDocument/2006/relationships" r:id="rId11"/>
          <a:extLst>
            <a:ext uri="{FF2B5EF4-FFF2-40B4-BE49-F238E27FC236}">
              <a16:creationId xmlns:a16="http://schemas.microsoft.com/office/drawing/2014/main" id="{2398F2D7-8B7F-0F6F-684E-6B684F7638D1}"/>
            </a:ext>
          </a:extLst>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1470660</xdr:colOff>
      <xdr:row>1</xdr:row>
      <xdr:rowOff>312420</xdr:rowOff>
    </xdr:from>
    <xdr:to>
      <xdr:col>6</xdr:col>
      <xdr:colOff>1796432</xdr:colOff>
      <xdr:row>1</xdr:row>
      <xdr:rowOff>472440</xdr:rowOff>
    </xdr:to>
    <xdr:sp macro="" textlink="">
      <xdr:nvSpPr>
        <xdr:cNvPr id="10344" name="Text Box 44">
          <a:extLst>
            <a:ext uri="{FF2B5EF4-FFF2-40B4-BE49-F238E27FC236}">
              <a16:creationId xmlns:a16="http://schemas.microsoft.com/office/drawing/2014/main" id="{43326BB6-F6F3-4F56-7FBC-0B8CE12937DE}"/>
            </a:ext>
          </a:extLst>
        </xdr:cNvPr>
        <xdr:cNvSpPr txBox="1">
          <a:spLocks noChangeArrowheads="1"/>
        </xdr:cNvSpPr>
      </xdr:nvSpPr>
      <xdr:spPr bwMode="auto">
        <a:xfrm>
          <a:off x="1691640" y="388620"/>
          <a:ext cx="43357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68580</xdr:rowOff>
    </xdr:from>
    <xdr:to>
      <xdr:col>6</xdr:col>
      <xdr:colOff>1192593</xdr:colOff>
      <xdr:row>60</xdr:row>
      <xdr:rowOff>421005</xdr:rowOff>
    </xdr:to>
    <xdr:sp macro="" textlink="">
      <xdr:nvSpPr>
        <xdr:cNvPr id="10288" name="Text Box 48">
          <a:extLst>
            <a:ext uri="{FF2B5EF4-FFF2-40B4-BE49-F238E27FC236}">
              <a16:creationId xmlns:a16="http://schemas.microsoft.com/office/drawing/2014/main" id="{EBED081D-C0AB-FF79-F674-032C112D884B}"/>
            </a:ext>
          </a:extLst>
        </xdr:cNvPr>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1590675</xdr:colOff>
      <xdr:row>60</xdr:row>
      <xdr:rowOff>87630</xdr:rowOff>
    </xdr:from>
    <xdr:to>
      <xdr:col>9</xdr:col>
      <xdr:colOff>1939299</xdr:colOff>
      <xdr:row>60</xdr:row>
      <xdr:rowOff>457281</xdr:rowOff>
    </xdr:to>
    <xdr:sp macro="" textlink="">
      <xdr:nvSpPr>
        <xdr:cNvPr id="10291" name="Text Box 51">
          <a:extLst>
            <a:ext uri="{FF2B5EF4-FFF2-40B4-BE49-F238E27FC236}">
              <a16:creationId xmlns:a16="http://schemas.microsoft.com/office/drawing/2014/main" id="{134947F8-FF55-A880-304C-8497CD442DF8}"/>
            </a:ext>
          </a:extLst>
        </xdr:cNvPr>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142875</xdr:colOff>
      <xdr:row>60</xdr:row>
      <xdr:rowOff>666750</xdr:rowOff>
    </xdr:from>
    <xdr:to>
      <xdr:col>8</xdr:col>
      <xdr:colOff>361950</xdr:colOff>
      <xdr:row>60</xdr:row>
      <xdr:rowOff>1171575</xdr:rowOff>
    </xdr:to>
    <xdr:pic>
      <xdr:nvPicPr>
        <xdr:cNvPr id="10432" name="Picture 57">
          <a:extLst>
            <a:ext uri="{FF2B5EF4-FFF2-40B4-BE49-F238E27FC236}">
              <a16:creationId xmlns:a16="http://schemas.microsoft.com/office/drawing/2014/main" id="{4A143319-27E7-A23A-E179-CB054A3E13B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200525" y="37280850"/>
          <a:ext cx="24098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1363980</xdr:rowOff>
    </xdr:from>
    <xdr:to>
      <xdr:col>11</xdr:col>
      <xdr:colOff>83826</xdr:colOff>
      <xdr:row>60</xdr:row>
      <xdr:rowOff>2219350</xdr:rowOff>
    </xdr:to>
    <xdr:sp macro="" textlink="">
      <xdr:nvSpPr>
        <xdr:cNvPr id="10294" name="Text Box 54">
          <a:extLst>
            <a:ext uri="{FF2B5EF4-FFF2-40B4-BE49-F238E27FC236}">
              <a16:creationId xmlns:a16="http://schemas.microsoft.com/office/drawing/2014/main" id="{7B6CDEC1-3737-EA6D-A6AE-5BD85DF0A158}"/>
            </a:ext>
          </a:extLst>
        </xdr:cNvPr>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1066800</xdr:colOff>
      <xdr:row>60</xdr:row>
      <xdr:rowOff>333375</xdr:rowOff>
    </xdr:from>
    <xdr:to>
      <xdr:col>6</xdr:col>
      <xdr:colOff>1543050</xdr:colOff>
      <xdr:row>60</xdr:row>
      <xdr:rowOff>800100</xdr:rowOff>
    </xdr:to>
    <xdr:sp macro="" textlink="">
      <xdr:nvSpPr>
        <xdr:cNvPr id="10434" name="Line 55">
          <a:extLst>
            <a:ext uri="{FF2B5EF4-FFF2-40B4-BE49-F238E27FC236}">
              <a16:creationId xmlns:a16="http://schemas.microsoft.com/office/drawing/2014/main" id="{0B3A2A09-FFC2-3FFA-E1B8-7BE47D9ACD8D}"/>
            </a:ext>
          </a:extLst>
        </xdr:cNvPr>
        <xdr:cNvSpPr>
          <a:spLocks noChangeShapeType="1"/>
        </xdr:cNvSpPr>
      </xdr:nvSpPr>
      <xdr:spPr bwMode="auto">
        <a:xfrm flipH="1">
          <a:off x="5124450" y="36947475"/>
          <a:ext cx="47625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60</xdr:row>
      <xdr:rowOff>419100</xdr:rowOff>
    </xdr:from>
    <xdr:to>
      <xdr:col>6</xdr:col>
      <xdr:colOff>809625</xdr:colOff>
      <xdr:row>60</xdr:row>
      <xdr:rowOff>809625</xdr:rowOff>
    </xdr:to>
    <xdr:sp macro="" textlink="">
      <xdr:nvSpPr>
        <xdr:cNvPr id="10435" name="Line 49">
          <a:extLst>
            <a:ext uri="{FF2B5EF4-FFF2-40B4-BE49-F238E27FC236}">
              <a16:creationId xmlns:a16="http://schemas.microsoft.com/office/drawing/2014/main" id="{CF6C5FAF-9F5B-206A-40EB-4BC673B75F5D}"/>
            </a:ext>
          </a:extLst>
        </xdr:cNvPr>
        <xdr:cNvSpPr>
          <a:spLocks noChangeShapeType="1"/>
        </xdr:cNvSpPr>
      </xdr:nvSpPr>
      <xdr:spPr bwMode="auto">
        <a:xfrm>
          <a:off x="4505325" y="37033200"/>
          <a:ext cx="361950" cy="3905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409575</xdr:rowOff>
    </xdr:from>
    <xdr:to>
      <xdr:col>9</xdr:col>
      <xdr:colOff>876300</xdr:colOff>
      <xdr:row>60</xdr:row>
      <xdr:rowOff>971550</xdr:rowOff>
    </xdr:to>
    <xdr:sp macro="" textlink="">
      <xdr:nvSpPr>
        <xdr:cNvPr id="10436" name="Line 52">
          <a:extLst>
            <a:ext uri="{FF2B5EF4-FFF2-40B4-BE49-F238E27FC236}">
              <a16:creationId xmlns:a16="http://schemas.microsoft.com/office/drawing/2014/main" id="{D3C32221-B61E-188C-B33B-8D015373FA71}"/>
            </a:ext>
          </a:extLst>
        </xdr:cNvPr>
        <xdr:cNvSpPr>
          <a:spLocks noChangeShapeType="1"/>
        </xdr:cNvSpPr>
      </xdr:nvSpPr>
      <xdr:spPr bwMode="auto">
        <a:xfrm flipH="1">
          <a:off x="6191250" y="37023675"/>
          <a:ext cx="1514475" cy="5619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2245995</xdr:rowOff>
    </xdr:from>
    <xdr:to>
      <xdr:col>11</xdr:col>
      <xdr:colOff>104775</xdr:colOff>
      <xdr:row>60</xdr:row>
      <xdr:rowOff>2588895</xdr:rowOff>
    </xdr:to>
    <xdr:sp macro="" textlink="">
      <xdr:nvSpPr>
        <xdr:cNvPr id="10298" name="Text Box 58">
          <a:extLst>
            <a:ext uri="{FF2B5EF4-FFF2-40B4-BE49-F238E27FC236}">
              <a16:creationId xmlns:a16="http://schemas.microsoft.com/office/drawing/2014/main" id="{84CACBCC-4D11-4997-3F42-6B7FAABCB697}"/>
            </a:ext>
          </a:extLst>
        </xdr:cNvPr>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360103</xdr:colOff>
      <xdr:row>54</xdr:row>
      <xdr:rowOff>1143000</xdr:rowOff>
    </xdr:to>
    <xdr:sp macro="" textlink="">
      <xdr:nvSpPr>
        <xdr:cNvPr id="10306" name="Text Box 66">
          <a:hlinkClick xmlns:r="http://schemas.openxmlformats.org/officeDocument/2006/relationships" r:id="rId13"/>
          <a:extLst>
            <a:ext uri="{FF2B5EF4-FFF2-40B4-BE49-F238E27FC236}">
              <a16:creationId xmlns:a16="http://schemas.microsoft.com/office/drawing/2014/main" id="{C6B37E3C-037A-8B14-2B02-6DBF9D4FE1CA}"/>
            </a:ext>
          </a:extLst>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198120</xdr:colOff>
      <xdr:row>1</xdr:row>
      <xdr:rowOff>333375</xdr:rowOff>
    </xdr:from>
    <xdr:to>
      <xdr:col>9</xdr:col>
      <xdr:colOff>56</xdr:colOff>
      <xdr:row>1</xdr:row>
      <xdr:rowOff>495300</xdr:rowOff>
    </xdr:to>
    <xdr:sp macro="" textlink="">
      <xdr:nvSpPr>
        <xdr:cNvPr id="10310" name="Text Box 70">
          <a:extLst>
            <a:ext uri="{FF2B5EF4-FFF2-40B4-BE49-F238E27FC236}">
              <a16:creationId xmlns:a16="http://schemas.microsoft.com/office/drawing/2014/main" id="{43F95458-D501-01F3-F74E-3B6C4F202FF5}"/>
            </a:ext>
          </a:extLst>
        </xdr:cNvPr>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 </a:t>
          </a:r>
        </a:p>
      </xdr:txBody>
    </xdr:sp>
    <xdr:clientData/>
  </xdr:twoCellAnchor>
  <xdr:twoCellAnchor editAs="oneCell">
    <xdr:from>
      <xdr:col>3</xdr:col>
      <xdr:colOff>47625</xdr:colOff>
      <xdr:row>11</xdr:row>
      <xdr:rowOff>504825</xdr:rowOff>
    </xdr:from>
    <xdr:to>
      <xdr:col>3</xdr:col>
      <xdr:colOff>350578</xdr:colOff>
      <xdr:row>11</xdr:row>
      <xdr:rowOff>647700</xdr:rowOff>
    </xdr:to>
    <xdr:sp macro="" textlink="">
      <xdr:nvSpPr>
        <xdr:cNvPr id="10311" name="Text Box 71">
          <a:hlinkClick xmlns:r="http://schemas.openxmlformats.org/officeDocument/2006/relationships" r:id="rId14"/>
          <a:extLst>
            <a:ext uri="{FF2B5EF4-FFF2-40B4-BE49-F238E27FC236}">
              <a16:creationId xmlns:a16="http://schemas.microsoft.com/office/drawing/2014/main" id="{C5C537EA-0313-6A83-E703-CE194ACFEB72}"/>
            </a:ext>
          </a:extLst>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360103</xdr:colOff>
      <xdr:row>31</xdr:row>
      <xdr:rowOff>228600</xdr:rowOff>
    </xdr:to>
    <xdr:sp macro="" textlink="">
      <xdr:nvSpPr>
        <xdr:cNvPr id="10312" name="Text Box 72">
          <a:hlinkClick xmlns:r="http://schemas.openxmlformats.org/officeDocument/2006/relationships" r:id="rId15"/>
          <a:extLst>
            <a:ext uri="{FF2B5EF4-FFF2-40B4-BE49-F238E27FC236}">
              <a16:creationId xmlns:a16="http://schemas.microsoft.com/office/drawing/2014/main" id="{A05C08F4-2492-2793-821B-B8B089F555EC}"/>
            </a:ext>
          </a:extLst>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360103</xdr:colOff>
      <xdr:row>41</xdr:row>
      <xdr:rowOff>590550</xdr:rowOff>
    </xdr:to>
    <xdr:sp macro="" textlink="">
      <xdr:nvSpPr>
        <xdr:cNvPr id="10314" name="Text Box 74">
          <a:hlinkClick xmlns:r="http://schemas.openxmlformats.org/officeDocument/2006/relationships" r:id="rId16"/>
          <a:extLst>
            <a:ext uri="{FF2B5EF4-FFF2-40B4-BE49-F238E27FC236}">
              <a16:creationId xmlns:a16="http://schemas.microsoft.com/office/drawing/2014/main" id="{A7568B2B-83DD-C196-D18E-A51054E9F079}"/>
            </a:ext>
          </a:extLst>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1297305</xdr:rowOff>
    </xdr:from>
    <xdr:to>
      <xdr:col>3</xdr:col>
      <xdr:colOff>350578</xdr:colOff>
      <xdr:row>9</xdr:row>
      <xdr:rowOff>1455219</xdr:rowOff>
    </xdr:to>
    <xdr:sp macro="" textlink="">
      <xdr:nvSpPr>
        <xdr:cNvPr id="10315" name="Text Box 75">
          <a:hlinkClick xmlns:r="http://schemas.openxmlformats.org/officeDocument/2006/relationships" r:id="rId17"/>
          <a:extLst>
            <a:ext uri="{FF2B5EF4-FFF2-40B4-BE49-F238E27FC236}">
              <a16:creationId xmlns:a16="http://schemas.microsoft.com/office/drawing/2014/main" id="{AAB865CD-7A1E-5465-320C-E755FF998A0F}"/>
            </a:ext>
          </a:extLst>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360103</xdr:colOff>
      <xdr:row>5</xdr:row>
      <xdr:rowOff>617637</xdr:rowOff>
    </xdr:to>
    <xdr:sp macro="" textlink="">
      <xdr:nvSpPr>
        <xdr:cNvPr id="10316" name="Text Box 76">
          <a:hlinkClick xmlns:r="http://schemas.openxmlformats.org/officeDocument/2006/relationships" r:id="rId18"/>
          <a:extLst>
            <a:ext uri="{FF2B5EF4-FFF2-40B4-BE49-F238E27FC236}">
              <a16:creationId xmlns:a16="http://schemas.microsoft.com/office/drawing/2014/main" id="{D80CD132-D2F0-EF3F-43BA-FBB47843C090}"/>
            </a:ext>
          </a:extLst>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350578</xdr:colOff>
      <xdr:row>70</xdr:row>
      <xdr:rowOff>571500</xdr:rowOff>
    </xdr:to>
    <xdr:sp macro="" textlink="">
      <xdr:nvSpPr>
        <xdr:cNvPr id="10319" name="Text Box 79">
          <a:hlinkClick xmlns:r="http://schemas.openxmlformats.org/officeDocument/2006/relationships" r:id="rId19"/>
          <a:extLst>
            <a:ext uri="{FF2B5EF4-FFF2-40B4-BE49-F238E27FC236}">
              <a16:creationId xmlns:a16="http://schemas.microsoft.com/office/drawing/2014/main" id="{EBEFA4A8-621A-7AD0-F723-E77CA080081E}"/>
            </a:ext>
          </a:extLst>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369628</xdr:colOff>
      <xdr:row>7</xdr:row>
      <xdr:rowOff>866775</xdr:rowOff>
    </xdr:to>
    <xdr:sp macro="" textlink="">
      <xdr:nvSpPr>
        <xdr:cNvPr id="10320" name="Text Box 80">
          <a:hlinkClick xmlns:r="http://schemas.openxmlformats.org/officeDocument/2006/relationships" r:id="rId20"/>
          <a:extLst>
            <a:ext uri="{FF2B5EF4-FFF2-40B4-BE49-F238E27FC236}">
              <a16:creationId xmlns:a16="http://schemas.microsoft.com/office/drawing/2014/main" id="{4C65F5EC-911B-2A26-7642-0956863BED64}"/>
            </a:ext>
          </a:extLst>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350578</xdr:colOff>
      <xdr:row>17</xdr:row>
      <xdr:rowOff>600075</xdr:rowOff>
    </xdr:to>
    <xdr:sp macro="" textlink="">
      <xdr:nvSpPr>
        <xdr:cNvPr id="10321" name="Text Box 81">
          <a:hlinkClick xmlns:r="http://schemas.openxmlformats.org/officeDocument/2006/relationships" r:id="rId21"/>
          <a:extLst>
            <a:ext uri="{FF2B5EF4-FFF2-40B4-BE49-F238E27FC236}">
              <a16:creationId xmlns:a16="http://schemas.microsoft.com/office/drawing/2014/main" id="{193AAE6D-92BD-ED70-1D75-26CF9482E6D0}"/>
            </a:ext>
          </a:extLst>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360103</xdr:colOff>
      <xdr:row>21</xdr:row>
      <xdr:rowOff>1123950</xdr:rowOff>
    </xdr:to>
    <xdr:sp macro="" textlink="">
      <xdr:nvSpPr>
        <xdr:cNvPr id="10322" name="Text Box 82">
          <a:hlinkClick xmlns:r="http://schemas.openxmlformats.org/officeDocument/2006/relationships" r:id="rId22"/>
          <a:extLst>
            <a:ext uri="{FF2B5EF4-FFF2-40B4-BE49-F238E27FC236}">
              <a16:creationId xmlns:a16="http://schemas.microsoft.com/office/drawing/2014/main" id="{1463D39E-4A29-5DC4-5205-64E8338E1F89}"/>
            </a:ext>
          </a:extLst>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360103</xdr:colOff>
      <xdr:row>23</xdr:row>
      <xdr:rowOff>1141431</xdr:rowOff>
    </xdr:to>
    <xdr:sp macro="" textlink="">
      <xdr:nvSpPr>
        <xdr:cNvPr id="10323" name="Text Box 83">
          <a:hlinkClick xmlns:r="http://schemas.openxmlformats.org/officeDocument/2006/relationships" r:id="rId23"/>
          <a:extLst>
            <a:ext uri="{FF2B5EF4-FFF2-40B4-BE49-F238E27FC236}">
              <a16:creationId xmlns:a16="http://schemas.microsoft.com/office/drawing/2014/main" id="{DE1B7FA0-F580-A228-F3F1-5C48CFE7F2CF}"/>
            </a:ext>
          </a:extLst>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360103</xdr:colOff>
      <xdr:row>25</xdr:row>
      <xdr:rowOff>312837</xdr:rowOff>
    </xdr:to>
    <xdr:sp macro="" textlink="">
      <xdr:nvSpPr>
        <xdr:cNvPr id="10324" name="Text Box 84">
          <a:hlinkClick xmlns:r="http://schemas.openxmlformats.org/officeDocument/2006/relationships" r:id="rId24"/>
          <a:extLst>
            <a:ext uri="{FF2B5EF4-FFF2-40B4-BE49-F238E27FC236}">
              <a16:creationId xmlns:a16="http://schemas.microsoft.com/office/drawing/2014/main" id="{EA126B5B-8453-B4F6-A37F-7A3B0B179921}"/>
            </a:ext>
          </a:extLst>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350578</xdr:colOff>
      <xdr:row>27</xdr:row>
      <xdr:rowOff>1341537</xdr:rowOff>
    </xdr:to>
    <xdr:sp macro="" textlink="">
      <xdr:nvSpPr>
        <xdr:cNvPr id="10325" name="Text Box 85">
          <a:hlinkClick xmlns:r="http://schemas.openxmlformats.org/officeDocument/2006/relationships" r:id="rId25"/>
          <a:extLst>
            <a:ext uri="{FF2B5EF4-FFF2-40B4-BE49-F238E27FC236}">
              <a16:creationId xmlns:a16="http://schemas.microsoft.com/office/drawing/2014/main" id="{7A2C88AC-5896-041E-8A26-840DF1A8E8DA}"/>
            </a:ext>
          </a:extLst>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360103</xdr:colOff>
      <xdr:row>29</xdr:row>
      <xdr:rowOff>390843</xdr:rowOff>
    </xdr:to>
    <xdr:sp macro="" textlink="">
      <xdr:nvSpPr>
        <xdr:cNvPr id="10326" name="Text Box 86">
          <a:hlinkClick xmlns:r="http://schemas.openxmlformats.org/officeDocument/2006/relationships" r:id="rId26"/>
          <a:extLst>
            <a:ext uri="{FF2B5EF4-FFF2-40B4-BE49-F238E27FC236}">
              <a16:creationId xmlns:a16="http://schemas.microsoft.com/office/drawing/2014/main" id="{7EC49C83-4837-7794-42A2-159E878D2FAD}"/>
            </a:ext>
          </a:extLst>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360103</xdr:colOff>
      <xdr:row>35</xdr:row>
      <xdr:rowOff>609600</xdr:rowOff>
    </xdr:to>
    <xdr:sp macro="" textlink="">
      <xdr:nvSpPr>
        <xdr:cNvPr id="10327" name="Text Box 87">
          <a:hlinkClick xmlns:r="http://schemas.openxmlformats.org/officeDocument/2006/relationships" r:id="rId27"/>
          <a:extLst>
            <a:ext uri="{FF2B5EF4-FFF2-40B4-BE49-F238E27FC236}">
              <a16:creationId xmlns:a16="http://schemas.microsoft.com/office/drawing/2014/main" id="{3E12F739-B00C-8596-731F-C7BEB0DD6E0E}"/>
            </a:ext>
          </a:extLst>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350578</xdr:colOff>
      <xdr:row>43</xdr:row>
      <xdr:rowOff>859255</xdr:rowOff>
    </xdr:to>
    <xdr:sp macro="" textlink="">
      <xdr:nvSpPr>
        <xdr:cNvPr id="10328" name="Text Box 88">
          <a:hlinkClick xmlns:r="http://schemas.openxmlformats.org/officeDocument/2006/relationships" r:id="rId28"/>
          <a:extLst>
            <a:ext uri="{FF2B5EF4-FFF2-40B4-BE49-F238E27FC236}">
              <a16:creationId xmlns:a16="http://schemas.microsoft.com/office/drawing/2014/main" id="{D4E35995-BC05-7C7C-59A1-4BB1E3DE86E1}"/>
            </a:ext>
          </a:extLst>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369628</xdr:colOff>
      <xdr:row>52</xdr:row>
      <xdr:rowOff>1238250</xdr:rowOff>
    </xdr:to>
    <xdr:sp macro="" textlink="">
      <xdr:nvSpPr>
        <xdr:cNvPr id="10329" name="Text Box 89">
          <a:hlinkClick xmlns:r="http://schemas.openxmlformats.org/officeDocument/2006/relationships" r:id="rId29"/>
          <a:extLst>
            <a:ext uri="{FF2B5EF4-FFF2-40B4-BE49-F238E27FC236}">
              <a16:creationId xmlns:a16="http://schemas.microsoft.com/office/drawing/2014/main" id="{67728E4B-4AB7-6E5A-5CDB-2B41A94056CE}"/>
            </a:ext>
          </a:extLst>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150495</xdr:colOff>
      <xdr:row>45</xdr:row>
      <xdr:rowOff>1466850</xdr:rowOff>
    </xdr:from>
    <xdr:to>
      <xdr:col>11</xdr:col>
      <xdr:colOff>28591</xdr:colOff>
      <xdr:row>45</xdr:row>
      <xdr:rowOff>1611630</xdr:rowOff>
    </xdr:to>
    <xdr:sp macro="" textlink="">
      <xdr:nvSpPr>
        <xdr:cNvPr id="10330" name="Text Box 90">
          <a:hlinkClick xmlns:r="http://schemas.openxmlformats.org/officeDocument/2006/relationships" r:id="rId30"/>
          <a:extLst>
            <a:ext uri="{FF2B5EF4-FFF2-40B4-BE49-F238E27FC236}">
              <a16:creationId xmlns:a16="http://schemas.microsoft.com/office/drawing/2014/main" id="{95CCF814-15A7-C8F6-2446-B879F232EB84}"/>
            </a:ext>
          </a:extLst>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234315</xdr:colOff>
      <xdr:row>9</xdr:row>
      <xdr:rowOff>3497580</xdr:rowOff>
    </xdr:from>
    <xdr:to>
      <xdr:col>11</xdr:col>
      <xdr:colOff>110490</xdr:colOff>
      <xdr:row>9</xdr:row>
      <xdr:rowOff>3657600</xdr:rowOff>
    </xdr:to>
    <xdr:sp macro="" textlink="">
      <xdr:nvSpPr>
        <xdr:cNvPr id="10332" name="Text Box 92">
          <a:hlinkClick xmlns:r="http://schemas.openxmlformats.org/officeDocument/2006/relationships" r:id="rId30"/>
          <a:extLst>
            <a:ext uri="{FF2B5EF4-FFF2-40B4-BE49-F238E27FC236}">
              <a16:creationId xmlns:a16="http://schemas.microsoft.com/office/drawing/2014/main" id="{C3D76020-B550-494A-E883-41A1D0787CC8}"/>
            </a:ext>
          </a:extLst>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120021</xdr:colOff>
      <xdr:row>9</xdr:row>
      <xdr:rowOff>3482340</xdr:rowOff>
    </xdr:to>
    <xdr:sp macro="" textlink="">
      <xdr:nvSpPr>
        <xdr:cNvPr id="10374" name="Text Box 134">
          <a:extLst>
            <a:ext uri="{FF2B5EF4-FFF2-40B4-BE49-F238E27FC236}">
              <a16:creationId xmlns:a16="http://schemas.microsoft.com/office/drawing/2014/main" id="{52EB1416-757A-A77A-CCDA-D2AA37265C0D}"/>
            </a:ext>
          </a:extLst>
        </xdr:cNvPr>
        <xdr:cNvSpPr txBox="1">
          <a:spLocks noChangeArrowheads="1"/>
        </xdr:cNvSpPr>
      </xdr:nvSpPr>
      <xdr:spPr bwMode="auto">
        <a:xfrm>
          <a:off x="3497580" y="3916680"/>
          <a:ext cx="5890260" cy="3421380"/>
        </a:xfrm>
        <a:prstGeom prst="rect">
          <a:avLst/>
        </a:prstGeom>
        <a:noFill/>
        <a:ln>
          <a:noFill/>
        </a:ln>
        <a:effectLst/>
        <a:extLst>
          <a:ext uri="{909E8E84-426E-40DD-AFC4-6F175D3DCCD1}">
            <a14:hiddenFill xmlns:a14="http://schemas.microsoft.com/office/drawing/2010/main">
              <a:solidFill>
                <a:srgbClr xmlns:mc="http://schemas.openxmlformats.org/markup-compatibility/2006" val="3366FF" mc:Ignorable="a14" a14:legacySpreadsheetColorIndex="48"/>
              </a:solidFill>
            </a14:hiddenFill>
          </a:ext>
          <a:ext uri="{91240B29-F687-4F45-9708-019B960494DF}">
            <a14:hiddenLine xmlns:a14="http://schemas.microsoft.com/office/drawing/2010/main" w="12700"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a:extLst>
            <a:ext uri="{FF2B5EF4-FFF2-40B4-BE49-F238E27FC236}">
              <a16:creationId xmlns:a16="http://schemas.microsoft.com/office/drawing/2014/main" id="{34FFBC7A-1FC2-7A20-9607-DCB447580EEE}"/>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a:extLst>
            <a:ext uri="{FF2B5EF4-FFF2-40B4-BE49-F238E27FC236}">
              <a16:creationId xmlns:a16="http://schemas.microsoft.com/office/drawing/2014/main" id="{6E0DB6D4-5DE0-21CC-6DC9-C8968A4D641C}"/>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19463" name="Text Box 7">
          <a:extLst>
            <a:ext uri="{FF2B5EF4-FFF2-40B4-BE49-F238E27FC236}">
              <a16:creationId xmlns:a16="http://schemas.microsoft.com/office/drawing/2014/main" id="{2E2BD8CA-D7F2-9F05-0E52-A9E9C36264E9}"/>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2769" name="Text Box 1">
          <a:hlinkClick xmlns:r="http://schemas.openxmlformats.org/officeDocument/2006/relationships" r:id="rId1"/>
          <a:extLst>
            <a:ext uri="{FF2B5EF4-FFF2-40B4-BE49-F238E27FC236}">
              <a16:creationId xmlns:a16="http://schemas.microsoft.com/office/drawing/2014/main" id="{344C3CB5-9C92-84D5-2E50-799B9855F66F}"/>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2770" name="Text Box 2">
          <a:hlinkClick xmlns:r="http://schemas.openxmlformats.org/officeDocument/2006/relationships" r:id="rId2"/>
          <a:extLst>
            <a:ext uri="{FF2B5EF4-FFF2-40B4-BE49-F238E27FC236}">
              <a16:creationId xmlns:a16="http://schemas.microsoft.com/office/drawing/2014/main" id="{42E12C4D-1D3C-51C1-1BBA-AB470F2FB499}"/>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2771" name="Text Box 3">
          <a:hlinkClick xmlns:r="http://schemas.openxmlformats.org/officeDocument/2006/relationships" r:id="rId3"/>
          <a:extLst>
            <a:ext uri="{FF2B5EF4-FFF2-40B4-BE49-F238E27FC236}">
              <a16:creationId xmlns:a16="http://schemas.microsoft.com/office/drawing/2014/main" id="{F067DFAF-C677-1FE0-48F2-0CA244971D88}"/>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2772" name="Text Box 4">
          <a:hlinkClick xmlns:r="http://schemas.openxmlformats.org/officeDocument/2006/relationships" r:id="rId4"/>
          <a:extLst>
            <a:ext uri="{FF2B5EF4-FFF2-40B4-BE49-F238E27FC236}">
              <a16:creationId xmlns:a16="http://schemas.microsoft.com/office/drawing/2014/main" id="{E0D028C9-C907-E7E7-366E-80771977D77C}"/>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2773" name="Text Box 5">
          <a:hlinkClick xmlns:r="http://schemas.openxmlformats.org/officeDocument/2006/relationships" r:id="rId5"/>
          <a:extLst>
            <a:ext uri="{FF2B5EF4-FFF2-40B4-BE49-F238E27FC236}">
              <a16:creationId xmlns:a16="http://schemas.microsoft.com/office/drawing/2014/main" id="{E725406B-12E3-3D60-4FBA-908529D58475}"/>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2774" name="Text Box 6">
          <a:extLst>
            <a:ext uri="{FF2B5EF4-FFF2-40B4-BE49-F238E27FC236}">
              <a16:creationId xmlns:a16="http://schemas.microsoft.com/office/drawing/2014/main" id="{06BC7FD6-6D49-0901-E084-3CAD8FA6B8A6}"/>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2775" name="Text Box 7">
          <a:extLst>
            <a:ext uri="{FF2B5EF4-FFF2-40B4-BE49-F238E27FC236}">
              <a16:creationId xmlns:a16="http://schemas.microsoft.com/office/drawing/2014/main" id="{A04A892F-CECC-029A-16ED-E897D725BF07}"/>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2776" name="Text Box 8">
          <a:hlinkClick xmlns:r="http://schemas.openxmlformats.org/officeDocument/2006/relationships" r:id="rId6"/>
          <a:extLst>
            <a:ext uri="{FF2B5EF4-FFF2-40B4-BE49-F238E27FC236}">
              <a16:creationId xmlns:a16="http://schemas.microsoft.com/office/drawing/2014/main" id="{75CA9A3C-BB8E-76DA-4A77-129956A22839}"/>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2777" name="Text Box 9">
          <a:hlinkClick xmlns:r="http://schemas.openxmlformats.org/officeDocument/2006/relationships" r:id="rId7"/>
          <a:extLst>
            <a:ext uri="{FF2B5EF4-FFF2-40B4-BE49-F238E27FC236}">
              <a16:creationId xmlns:a16="http://schemas.microsoft.com/office/drawing/2014/main" id="{C21B4641-CC7B-B4A5-A44C-E8D30BE16712}"/>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2778" name="Text Box 10">
          <a:hlinkClick xmlns:r="http://schemas.openxmlformats.org/officeDocument/2006/relationships" r:id="rId8"/>
          <a:extLst>
            <a:ext uri="{FF2B5EF4-FFF2-40B4-BE49-F238E27FC236}">
              <a16:creationId xmlns:a16="http://schemas.microsoft.com/office/drawing/2014/main" id="{43C2A2FC-6B3A-D82D-3ABD-F2CC767C9A61}"/>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2779" name="Text Box 11">
          <a:hlinkClick xmlns:r="http://schemas.openxmlformats.org/officeDocument/2006/relationships" r:id="rId9"/>
          <a:extLst>
            <a:ext uri="{FF2B5EF4-FFF2-40B4-BE49-F238E27FC236}">
              <a16:creationId xmlns:a16="http://schemas.microsoft.com/office/drawing/2014/main" id="{A2519727-24F6-EF97-5DD8-99A7668D0C64}"/>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2780" name="Text Box 12">
          <a:hlinkClick xmlns:r="http://schemas.openxmlformats.org/officeDocument/2006/relationships" r:id="rId10"/>
          <a:extLst>
            <a:ext uri="{FF2B5EF4-FFF2-40B4-BE49-F238E27FC236}">
              <a16:creationId xmlns:a16="http://schemas.microsoft.com/office/drawing/2014/main" id="{FBDB6FC1-BE48-FBAB-2C20-AC4BABF844F9}"/>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2781" name="Text Box 13">
          <a:hlinkClick xmlns:r="http://schemas.openxmlformats.org/officeDocument/2006/relationships" r:id="rId11"/>
          <a:extLst>
            <a:ext uri="{FF2B5EF4-FFF2-40B4-BE49-F238E27FC236}">
              <a16:creationId xmlns:a16="http://schemas.microsoft.com/office/drawing/2014/main" id="{2B3D9606-7A82-81B2-DF9D-94F434C39F46}"/>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2782" name="AutoShape 14">
          <a:hlinkClick xmlns:r="http://schemas.openxmlformats.org/officeDocument/2006/relationships" r:id="rId12"/>
          <a:extLst>
            <a:ext uri="{FF2B5EF4-FFF2-40B4-BE49-F238E27FC236}">
              <a16:creationId xmlns:a16="http://schemas.microsoft.com/office/drawing/2014/main" id="{E23E0BD9-89A1-4319-DE01-339E201BAD00}"/>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a:extLst>
            <a:ext uri="{FF2B5EF4-FFF2-40B4-BE49-F238E27FC236}">
              <a16:creationId xmlns:a16="http://schemas.microsoft.com/office/drawing/2014/main" id="{7669CF1E-45E0-0B2A-51C9-6D47245B9FD9}"/>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2784" name="Text Box 16">
          <a:hlinkClick xmlns:r="http://schemas.openxmlformats.org/officeDocument/2006/relationships" r:id="rId13"/>
          <a:extLst>
            <a:ext uri="{FF2B5EF4-FFF2-40B4-BE49-F238E27FC236}">
              <a16:creationId xmlns:a16="http://schemas.microsoft.com/office/drawing/2014/main" id="{27E015A4-1C13-EE4D-9108-FF27457A2F7E}"/>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2785" name="Text Box 17">
          <a:hlinkClick xmlns:r="http://schemas.openxmlformats.org/officeDocument/2006/relationships" r:id="rId14"/>
          <a:extLst>
            <a:ext uri="{FF2B5EF4-FFF2-40B4-BE49-F238E27FC236}">
              <a16:creationId xmlns:a16="http://schemas.microsoft.com/office/drawing/2014/main" id="{8B349BE9-F291-E478-874E-FBC699A8DCA0}"/>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2786" name="Text Box 18">
          <a:hlinkClick xmlns:r="http://schemas.openxmlformats.org/officeDocument/2006/relationships" r:id="rId15"/>
          <a:extLst>
            <a:ext uri="{FF2B5EF4-FFF2-40B4-BE49-F238E27FC236}">
              <a16:creationId xmlns:a16="http://schemas.microsoft.com/office/drawing/2014/main" id="{182AA211-B5D7-E196-0428-0501388F785C}"/>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2787" name="Text Box 19">
          <a:hlinkClick xmlns:r="http://schemas.openxmlformats.org/officeDocument/2006/relationships" r:id="rId16"/>
          <a:extLst>
            <a:ext uri="{FF2B5EF4-FFF2-40B4-BE49-F238E27FC236}">
              <a16:creationId xmlns:a16="http://schemas.microsoft.com/office/drawing/2014/main" id="{4FE537A2-514C-BFA9-4CA4-2874CA90A42C}"/>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2788" name="Text Box 20">
          <a:hlinkClick xmlns:r="http://schemas.openxmlformats.org/officeDocument/2006/relationships" r:id="rId17"/>
          <a:extLst>
            <a:ext uri="{FF2B5EF4-FFF2-40B4-BE49-F238E27FC236}">
              <a16:creationId xmlns:a16="http://schemas.microsoft.com/office/drawing/2014/main" id="{582719CB-5B14-DE04-29C2-3B467A2B326E}"/>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2789" name="Text Box 21">
          <a:hlinkClick xmlns:r="http://schemas.openxmlformats.org/officeDocument/2006/relationships" r:id="rId18"/>
          <a:extLst>
            <a:ext uri="{FF2B5EF4-FFF2-40B4-BE49-F238E27FC236}">
              <a16:creationId xmlns:a16="http://schemas.microsoft.com/office/drawing/2014/main" id="{A057F87C-2B4D-783B-A366-B7B27F2A9C61}"/>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2790" name="Text Box 22">
          <a:hlinkClick xmlns:r="http://schemas.openxmlformats.org/officeDocument/2006/relationships" r:id="rId19"/>
          <a:extLst>
            <a:ext uri="{FF2B5EF4-FFF2-40B4-BE49-F238E27FC236}">
              <a16:creationId xmlns:a16="http://schemas.microsoft.com/office/drawing/2014/main" id="{E574799E-A459-C6B5-7FD9-C070833B204A}"/>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2791" name="Text Box 23">
          <a:hlinkClick xmlns:r="http://schemas.openxmlformats.org/officeDocument/2006/relationships" r:id="rId20"/>
          <a:extLst>
            <a:ext uri="{FF2B5EF4-FFF2-40B4-BE49-F238E27FC236}">
              <a16:creationId xmlns:a16="http://schemas.microsoft.com/office/drawing/2014/main" id="{4F41E4DC-488E-D763-D91D-09E4363CFB20}"/>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2792" name="Text Box 24">
          <a:hlinkClick xmlns:r="http://schemas.openxmlformats.org/officeDocument/2006/relationships" r:id="rId21"/>
          <a:extLst>
            <a:ext uri="{FF2B5EF4-FFF2-40B4-BE49-F238E27FC236}">
              <a16:creationId xmlns:a16="http://schemas.microsoft.com/office/drawing/2014/main" id="{D675CF4A-5D4A-E3A6-B09E-76DD29602123}"/>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2793" name="Rectangle 25">
          <a:extLst>
            <a:ext uri="{FF2B5EF4-FFF2-40B4-BE49-F238E27FC236}">
              <a16:creationId xmlns:a16="http://schemas.microsoft.com/office/drawing/2014/main" id="{B834EB9A-0C62-37AC-A6EE-A9D72EECA90D}"/>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2806" name="Text Box 38">
          <a:extLst>
            <a:ext uri="{FF2B5EF4-FFF2-40B4-BE49-F238E27FC236}">
              <a16:creationId xmlns:a16="http://schemas.microsoft.com/office/drawing/2014/main" id="{132242FA-0782-7354-65A2-61E725767547}"/>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2964" name="Line 39">
          <a:extLst>
            <a:ext uri="{FF2B5EF4-FFF2-40B4-BE49-F238E27FC236}">
              <a16:creationId xmlns:a16="http://schemas.microsoft.com/office/drawing/2014/main" id="{754E3B31-EF0B-8153-80F4-3E54047C2926}"/>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2965" name="Line 40">
          <a:extLst>
            <a:ext uri="{FF2B5EF4-FFF2-40B4-BE49-F238E27FC236}">
              <a16:creationId xmlns:a16="http://schemas.microsoft.com/office/drawing/2014/main" id="{9B0AB82F-6443-8CB6-C649-82D6F95EDEAD}"/>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2966" name="Line 41">
          <a:extLst>
            <a:ext uri="{FF2B5EF4-FFF2-40B4-BE49-F238E27FC236}">
              <a16:creationId xmlns:a16="http://schemas.microsoft.com/office/drawing/2014/main" id="{E7E2B49B-6352-CFC9-1EB1-33854EEAA3F6}"/>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2967" name="Line 42">
          <a:extLst>
            <a:ext uri="{FF2B5EF4-FFF2-40B4-BE49-F238E27FC236}">
              <a16:creationId xmlns:a16="http://schemas.microsoft.com/office/drawing/2014/main" id="{DAF9F3DA-41CA-D893-5A71-20D234DAECA3}"/>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2811" name="Text Box 43">
          <a:hlinkClick xmlns:r="http://schemas.openxmlformats.org/officeDocument/2006/relationships" r:id="rId22" tooltip="Defaults"/>
          <a:extLst>
            <a:ext uri="{FF2B5EF4-FFF2-40B4-BE49-F238E27FC236}">
              <a16:creationId xmlns:a16="http://schemas.microsoft.com/office/drawing/2014/main" id="{45D6442F-85CA-20D5-3E97-63A3416EDF49}"/>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2812" name="Text Box 44">
          <a:extLst>
            <a:ext uri="{FF2B5EF4-FFF2-40B4-BE49-F238E27FC236}">
              <a16:creationId xmlns:a16="http://schemas.microsoft.com/office/drawing/2014/main" id="{8396FDE2-2442-4E11-DA80-AE1B3237EF09}"/>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2813" name="Text Box 45">
          <a:extLst>
            <a:ext uri="{FF2B5EF4-FFF2-40B4-BE49-F238E27FC236}">
              <a16:creationId xmlns:a16="http://schemas.microsoft.com/office/drawing/2014/main" id="{799D830B-ADAA-7850-4C0D-CB698805E56E}"/>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2971" name="Rectangle 46">
          <a:extLst>
            <a:ext uri="{FF2B5EF4-FFF2-40B4-BE49-F238E27FC236}">
              <a16:creationId xmlns:a16="http://schemas.microsoft.com/office/drawing/2014/main" id="{861EB4B4-7BD1-58E2-2074-930499D3D736}"/>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2815" name="AutoShape 47">
          <a:hlinkClick xmlns:r="http://schemas.openxmlformats.org/officeDocument/2006/relationships" r:id="rId23"/>
          <a:extLst>
            <a:ext uri="{FF2B5EF4-FFF2-40B4-BE49-F238E27FC236}">
              <a16:creationId xmlns:a16="http://schemas.microsoft.com/office/drawing/2014/main" id="{09103997-4465-30C8-1F47-9265CC555359}"/>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2973" name="Line 51">
          <a:extLst>
            <a:ext uri="{FF2B5EF4-FFF2-40B4-BE49-F238E27FC236}">
              <a16:creationId xmlns:a16="http://schemas.microsoft.com/office/drawing/2014/main" id="{EAD28D30-D972-AC4B-1551-2916A0E54EA0}"/>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2974" name="Line 52">
          <a:extLst>
            <a:ext uri="{FF2B5EF4-FFF2-40B4-BE49-F238E27FC236}">
              <a16:creationId xmlns:a16="http://schemas.microsoft.com/office/drawing/2014/main" id="{45836BE6-B735-316C-73C5-75FBA5A16465}"/>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a:extLst>
            <a:ext uri="{FF2B5EF4-FFF2-40B4-BE49-F238E27FC236}">
              <a16:creationId xmlns:a16="http://schemas.microsoft.com/office/drawing/2014/main" id="{610E4000-2C1D-EDF4-D887-C970F5FF864D}"/>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297180</xdr:rowOff>
    </xdr:from>
    <xdr:to>
      <xdr:col>6</xdr:col>
      <xdr:colOff>862946</xdr:colOff>
      <xdr:row>2</xdr:row>
      <xdr:rowOff>0</xdr:rowOff>
    </xdr:to>
    <xdr:sp macro="" textlink="">
      <xdr:nvSpPr>
        <xdr:cNvPr id="32885" name="Text Box 54">
          <a:extLst>
            <a:ext uri="{FF2B5EF4-FFF2-40B4-BE49-F238E27FC236}">
              <a16:creationId xmlns:a16="http://schemas.microsoft.com/office/drawing/2014/main" id="{1725D023-8868-A99C-2AE3-DACCADC897DA}"/>
            </a:ext>
          </a:extLst>
        </xdr:cNvPr>
        <xdr:cNvSpPr txBox="1">
          <a:spLocks noChangeArrowheads="1"/>
        </xdr:cNvSpPr>
      </xdr:nvSpPr>
      <xdr:spPr bwMode="auto">
        <a:xfrm>
          <a:off x="1813560" y="38100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2823" name="Text Box 55">
          <a:hlinkClick xmlns:r="http://schemas.openxmlformats.org/officeDocument/2006/relationships" r:id="rId24"/>
          <a:extLst>
            <a:ext uri="{FF2B5EF4-FFF2-40B4-BE49-F238E27FC236}">
              <a16:creationId xmlns:a16="http://schemas.microsoft.com/office/drawing/2014/main" id="{81E63D38-490E-91A7-731A-73C39A4AB1E9}"/>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2824" name="Text Box 56">
          <a:hlinkClick xmlns:r="http://schemas.openxmlformats.org/officeDocument/2006/relationships" r:id="rId25"/>
          <a:extLst>
            <a:ext uri="{FF2B5EF4-FFF2-40B4-BE49-F238E27FC236}">
              <a16:creationId xmlns:a16="http://schemas.microsoft.com/office/drawing/2014/main" id="{62DEB15C-1923-3FCA-5F2B-1FF15979FDDC}"/>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2825" name="Text Box 57">
          <a:hlinkClick xmlns:r="http://schemas.openxmlformats.org/officeDocument/2006/relationships" r:id="rId26"/>
          <a:extLst>
            <a:ext uri="{FF2B5EF4-FFF2-40B4-BE49-F238E27FC236}">
              <a16:creationId xmlns:a16="http://schemas.microsoft.com/office/drawing/2014/main" id="{5FF3E1D1-B7AD-50FA-E006-307B5238C242}"/>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2826" name="Text Box 58">
          <a:hlinkClick xmlns:r="http://schemas.openxmlformats.org/officeDocument/2006/relationships" r:id="rId27"/>
          <a:extLst>
            <a:ext uri="{FF2B5EF4-FFF2-40B4-BE49-F238E27FC236}">
              <a16:creationId xmlns:a16="http://schemas.microsoft.com/office/drawing/2014/main" id="{9D68A52C-108D-2F01-BEB1-B41B5806C1E1}"/>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2845" name="Text Box 77">
          <a:extLst>
            <a:ext uri="{FF2B5EF4-FFF2-40B4-BE49-F238E27FC236}">
              <a16:creationId xmlns:a16="http://schemas.microsoft.com/office/drawing/2014/main" id="{250CBE6C-64FE-1BD2-0F18-7D622AE672BD}"/>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2982" name="Group 26">
              <a:extLst>
                <a:ext uri="{FF2B5EF4-FFF2-40B4-BE49-F238E27FC236}">
                  <a16:creationId xmlns:a16="http://schemas.microsoft.com/office/drawing/2014/main" id="{030F89C1-1114-BFA4-E536-B588DE83BE04}"/>
                </a:ext>
              </a:extLst>
            </xdr:cNvPr>
            <xdr:cNvGrpSpPr>
              <a:grpSpLocks/>
            </xdr:cNvGrpSpPr>
          </xdr:nvGrpSpPr>
          <xdr:grpSpPr bwMode="auto">
            <a:xfrm>
              <a:off x="7829550" y="5124450"/>
              <a:ext cx="581025" cy="190500"/>
              <a:chOff x="1005" y="345"/>
              <a:chExt cx="64" cy="29"/>
            </a:xfrm>
          </xdr:grpSpPr>
          <xdr:sp macro="" textlink="">
            <xdr:nvSpPr>
              <xdr:cNvPr id="32795" name="Group Box 27" hidden="1">
                <a:extLst>
                  <a:ext uri="{63B3BB69-23CF-44E3-9099-C40C66FF867C}">
                    <a14:compatExt spid="_x0000_s32795"/>
                  </a:ext>
                  <a:ext uri="{FF2B5EF4-FFF2-40B4-BE49-F238E27FC236}">
                    <a16:creationId xmlns:a16="http://schemas.microsoft.com/office/drawing/2014/main" id="{8ABA3286-B59E-934B-2851-3397B7035C6E}"/>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796" name="Option Button 28" hidden="1">
                <a:extLst>
                  <a:ext uri="{63B3BB69-23CF-44E3-9099-C40C66FF867C}">
                    <a14:compatExt spid="_x0000_s32796"/>
                  </a:ext>
                  <a:ext uri="{FF2B5EF4-FFF2-40B4-BE49-F238E27FC236}">
                    <a16:creationId xmlns:a16="http://schemas.microsoft.com/office/drawing/2014/main" id="{46656A5D-43A8-8222-67EB-F110A8C1F7C0}"/>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797" name="Option Button 29" hidden="1">
                <a:extLst>
                  <a:ext uri="{63B3BB69-23CF-44E3-9099-C40C66FF867C}">
                    <a14:compatExt spid="_x0000_s32797"/>
                  </a:ext>
                  <a:ext uri="{FF2B5EF4-FFF2-40B4-BE49-F238E27FC236}">
                    <a16:creationId xmlns:a16="http://schemas.microsoft.com/office/drawing/2014/main" id="{231C6F2E-BADA-3256-DC75-C2AA14F8B317}"/>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2983" name="Group 30">
              <a:extLst>
                <a:ext uri="{FF2B5EF4-FFF2-40B4-BE49-F238E27FC236}">
                  <a16:creationId xmlns:a16="http://schemas.microsoft.com/office/drawing/2014/main" id="{745D66A0-787C-084D-879F-B7F3D76D1817}"/>
                </a:ext>
              </a:extLst>
            </xdr:cNvPr>
            <xdr:cNvGrpSpPr>
              <a:grpSpLocks/>
            </xdr:cNvGrpSpPr>
          </xdr:nvGrpSpPr>
          <xdr:grpSpPr bwMode="auto">
            <a:xfrm>
              <a:off x="7829550" y="5562600"/>
              <a:ext cx="581025" cy="190500"/>
              <a:chOff x="762" y="543"/>
              <a:chExt cx="61" cy="29"/>
            </a:xfrm>
          </xdr:grpSpPr>
          <xdr:sp macro="" textlink="">
            <xdr:nvSpPr>
              <xdr:cNvPr id="32799" name="Group Box 31" hidden="1">
                <a:extLst>
                  <a:ext uri="{63B3BB69-23CF-44E3-9099-C40C66FF867C}">
                    <a14:compatExt spid="_x0000_s32799"/>
                  </a:ext>
                  <a:ext uri="{FF2B5EF4-FFF2-40B4-BE49-F238E27FC236}">
                    <a16:creationId xmlns:a16="http://schemas.microsoft.com/office/drawing/2014/main" id="{48E93CD6-24CA-EC2C-2DFA-E9A43701ED88}"/>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0" name="Option Button 32" hidden="1">
                <a:extLst>
                  <a:ext uri="{63B3BB69-23CF-44E3-9099-C40C66FF867C}">
                    <a14:compatExt spid="_x0000_s32800"/>
                  </a:ext>
                  <a:ext uri="{FF2B5EF4-FFF2-40B4-BE49-F238E27FC236}">
                    <a16:creationId xmlns:a16="http://schemas.microsoft.com/office/drawing/2014/main" id="{9AE261D5-34BD-5B5B-DCCF-344D6219EB61}"/>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801" name="Option Button 33" hidden="1">
                <a:extLst>
                  <a:ext uri="{63B3BB69-23CF-44E3-9099-C40C66FF867C}">
                    <a14:compatExt spid="_x0000_s32801"/>
                  </a:ext>
                  <a:ext uri="{FF2B5EF4-FFF2-40B4-BE49-F238E27FC236}">
                    <a16:creationId xmlns:a16="http://schemas.microsoft.com/office/drawing/2014/main" id="{D2317F07-307C-FAD9-E420-BF9B081EF1D2}"/>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2984" name="Group 34">
              <a:extLst>
                <a:ext uri="{FF2B5EF4-FFF2-40B4-BE49-F238E27FC236}">
                  <a16:creationId xmlns:a16="http://schemas.microsoft.com/office/drawing/2014/main" id="{34C1C223-AED4-8B49-5F5C-AB983C96CD38}"/>
                </a:ext>
              </a:extLst>
            </xdr:cNvPr>
            <xdr:cNvGrpSpPr>
              <a:grpSpLocks/>
            </xdr:cNvGrpSpPr>
          </xdr:nvGrpSpPr>
          <xdr:grpSpPr bwMode="auto">
            <a:xfrm>
              <a:off x="7829550" y="3733800"/>
              <a:ext cx="581025" cy="190500"/>
              <a:chOff x="758" y="403"/>
              <a:chExt cx="61" cy="29"/>
            </a:xfrm>
          </xdr:grpSpPr>
          <xdr:sp macro="" textlink="">
            <xdr:nvSpPr>
              <xdr:cNvPr id="32803" name="Group Box 35" hidden="1">
                <a:extLst>
                  <a:ext uri="{63B3BB69-23CF-44E3-9099-C40C66FF867C}">
                    <a14:compatExt spid="_x0000_s32803"/>
                  </a:ext>
                  <a:ext uri="{FF2B5EF4-FFF2-40B4-BE49-F238E27FC236}">
                    <a16:creationId xmlns:a16="http://schemas.microsoft.com/office/drawing/2014/main" id="{E1C23657-B2D3-6CEF-815B-D083B527BC6A}"/>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4" name="Option Button 36" hidden="1">
                <a:extLst>
                  <a:ext uri="{63B3BB69-23CF-44E3-9099-C40C66FF867C}">
                    <a14:compatExt spid="_x0000_s32804"/>
                  </a:ext>
                  <a:ext uri="{FF2B5EF4-FFF2-40B4-BE49-F238E27FC236}">
                    <a16:creationId xmlns:a16="http://schemas.microsoft.com/office/drawing/2014/main" id="{9056F7B5-CE7E-2504-F3B4-860DE585775A}"/>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2805" name="Option Button 37" hidden="1">
                <a:extLst>
                  <a:ext uri="{63B3BB69-23CF-44E3-9099-C40C66FF867C}">
                    <a14:compatExt spid="_x0000_s32805"/>
                  </a:ext>
                  <a:ext uri="{FF2B5EF4-FFF2-40B4-BE49-F238E27FC236}">
                    <a16:creationId xmlns:a16="http://schemas.microsoft.com/office/drawing/2014/main" id="{4CD66BB1-0125-7680-3575-2894319E6939}"/>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6C5E7700-EC14-298C-C232-19B82269BB76}"/>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69C5B581-CA03-D348-1F31-2F130DE30FCF}"/>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E5CEF595-E97A-D42D-1867-7CCCB733598D}"/>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70CE0B94-00C8-C2A0-6475-A4B8753880A8}"/>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40D15D36-F540-C124-5A24-86E2939D2231}"/>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3798" name="Text Box 6">
          <a:extLst>
            <a:ext uri="{FF2B5EF4-FFF2-40B4-BE49-F238E27FC236}">
              <a16:creationId xmlns:a16="http://schemas.microsoft.com/office/drawing/2014/main" id="{01C26CA0-CFE8-BF86-E467-5DACEC9ECC55}"/>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3799" name="Text Box 7">
          <a:extLst>
            <a:ext uri="{FF2B5EF4-FFF2-40B4-BE49-F238E27FC236}">
              <a16:creationId xmlns:a16="http://schemas.microsoft.com/office/drawing/2014/main" id="{B93C6B25-34C2-FD2C-637F-7FA751F42F12}"/>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70031813-46FE-7A11-3083-299F115728A8}"/>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ED377071-DA4B-4B48-3B6F-801132E56A2F}"/>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3D7496C0-1428-C7FE-2D14-B9FE860DF5D6}"/>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129C038A-A0EF-4F28-7043-3AF088AB485F}"/>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F83EB8D7-6F3A-3EA2-7B74-693BDC557358}"/>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6CBABF57-89E9-1DC3-D021-731365AEE21E}"/>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0881122A-588A-A448-C5EC-C9F3D62D3E37}"/>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a:extLst>
            <a:ext uri="{FF2B5EF4-FFF2-40B4-BE49-F238E27FC236}">
              <a16:creationId xmlns:a16="http://schemas.microsoft.com/office/drawing/2014/main" id="{6D44C67C-A5AA-26C0-E3A5-8888FB3E23BE}"/>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2E7A9182-F7FD-2C3F-209B-BF5515B5651F}"/>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8B32A28C-BBFF-17FD-5F84-C5CA8E25566A}"/>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075D9C88-693E-D19C-7832-5B6B65AED89C}"/>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D449055F-D8EE-0BEF-DA97-35740AF52F44}"/>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CB83B781-1C6C-C224-C8EF-8CF5191090A6}"/>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E546F101-3617-548B-42BD-87706FFA0056}"/>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3D6B5FAC-0456-A370-D7B5-B01F975C1D3D}"/>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8B2F45B0-D67E-3C68-E96C-1048446F9359}"/>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2E890DA1-71D0-5662-7F3B-6428EAE2F157}"/>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3817" name="Rectangle 25">
          <a:extLst>
            <a:ext uri="{FF2B5EF4-FFF2-40B4-BE49-F238E27FC236}">
              <a16:creationId xmlns:a16="http://schemas.microsoft.com/office/drawing/2014/main" id="{EFA3E67E-8D9D-DAD7-C737-BBB213D13A7B}"/>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3830" name="Text Box 38">
          <a:extLst>
            <a:ext uri="{FF2B5EF4-FFF2-40B4-BE49-F238E27FC236}">
              <a16:creationId xmlns:a16="http://schemas.microsoft.com/office/drawing/2014/main" id="{D002A059-9236-8483-960A-0D350F4A39C1}"/>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3988" name="Line 39">
          <a:extLst>
            <a:ext uri="{FF2B5EF4-FFF2-40B4-BE49-F238E27FC236}">
              <a16:creationId xmlns:a16="http://schemas.microsoft.com/office/drawing/2014/main" id="{465948F2-E75E-7973-CB9B-4B4C9F1F0CF1}"/>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3989" name="Line 40">
          <a:extLst>
            <a:ext uri="{FF2B5EF4-FFF2-40B4-BE49-F238E27FC236}">
              <a16:creationId xmlns:a16="http://schemas.microsoft.com/office/drawing/2014/main" id="{EB8B830D-F343-89B3-FD32-39814BAE1E7B}"/>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3990" name="Line 41">
          <a:extLst>
            <a:ext uri="{FF2B5EF4-FFF2-40B4-BE49-F238E27FC236}">
              <a16:creationId xmlns:a16="http://schemas.microsoft.com/office/drawing/2014/main" id="{56097530-F630-0B0F-DA2D-C1C7630339E8}"/>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3991" name="Line 42">
          <a:extLst>
            <a:ext uri="{FF2B5EF4-FFF2-40B4-BE49-F238E27FC236}">
              <a16:creationId xmlns:a16="http://schemas.microsoft.com/office/drawing/2014/main" id="{2829FEC9-372F-5C3C-5927-62A2076BE0C8}"/>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B40D8042-0634-ED8B-D11F-53D78599F002}"/>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3836" name="Text Box 44">
          <a:extLst>
            <a:ext uri="{FF2B5EF4-FFF2-40B4-BE49-F238E27FC236}">
              <a16:creationId xmlns:a16="http://schemas.microsoft.com/office/drawing/2014/main" id="{5C88ADC9-1233-2FF1-3CE7-AA2261EAF266}"/>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3837" name="Text Box 45">
          <a:extLst>
            <a:ext uri="{FF2B5EF4-FFF2-40B4-BE49-F238E27FC236}">
              <a16:creationId xmlns:a16="http://schemas.microsoft.com/office/drawing/2014/main" id="{B0232195-12A9-6AAD-C5E6-0F80525FF3E7}"/>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3995" name="Rectangle 46">
          <a:extLst>
            <a:ext uri="{FF2B5EF4-FFF2-40B4-BE49-F238E27FC236}">
              <a16:creationId xmlns:a16="http://schemas.microsoft.com/office/drawing/2014/main" id="{2FEDD98C-FA53-5A7E-58A0-BFD857E5CBF7}"/>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9896D26C-2416-5E66-97C8-263D501BAA3F}"/>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3997" name="Line 51">
          <a:extLst>
            <a:ext uri="{FF2B5EF4-FFF2-40B4-BE49-F238E27FC236}">
              <a16:creationId xmlns:a16="http://schemas.microsoft.com/office/drawing/2014/main" id="{BC3858F3-B1B7-4C92-AEF7-C739AE4B4A6F}"/>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3998" name="Line 52">
          <a:extLst>
            <a:ext uri="{FF2B5EF4-FFF2-40B4-BE49-F238E27FC236}">
              <a16:creationId xmlns:a16="http://schemas.microsoft.com/office/drawing/2014/main" id="{00E9639F-E724-A717-AE7B-C374AE3D77A4}"/>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F63C44A3-546F-38C7-6F48-57747BD5E195}"/>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304800</xdr:rowOff>
    </xdr:from>
    <xdr:to>
      <xdr:col>6</xdr:col>
      <xdr:colOff>862946</xdr:colOff>
      <xdr:row>1</xdr:row>
      <xdr:rowOff>464820</xdr:rowOff>
    </xdr:to>
    <xdr:sp macro="" textlink="">
      <xdr:nvSpPr>
        <xdr:cNvPr id="33909" name="Text Box 54">
          <a:extLst>
            <a:ext uri="{FF2B5EF4-FFF2-40B4-BE49-F238E27FC236}">
              <a16:creationId xmlns:a16="http://schemas.microsoft.com/office/drawing/2014/main" id="{3CD07F18-5FF6-4AD8-7777-05942701D764}"/>
            </a:ext>
          </a:extLst>
        </xdr:cNvPr>
        <xdr:cNvSpPr txBox="1">
          <a:spLocks noChangeArrowheads="1"/>
        </xdr:cNvSpPr>
      </xdr:nvSpPr>
      <xdr:spPr bwMode="auto">
        <a:xfrm>
          <a:off x="1813560" y="388620"/>
          <a:ext cx="39471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03CEF233-A029-47B1-0BB0-9E2D91868E45}"/>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AB8D3EB9-B039-8E0B-86D7-F55DB9474B7B}"/>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E1BB7B72-44B0-E9D6-8B81-1B7065A8B35E}"/>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F50496D7-9C65-5CE8-DE43-CD9EA67D6C63}"/>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3869" name="Text Box 77">
          <a:extLst>
            <a:ext uri="{FF2B5EF4-FFF2-40B4-BE49-F238E27FC236}">
              <a16:creationId xmlns:a16="http://schemas.microsoft.com/office/drawing/2014/main" id="{14E8ED59-5681-CCEF-225E-C66B377A4F5C}"/>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4006" name="Group 26">
              <a:extLst>
                <a:ext uri="{FF2B5EF4-FFF2-40B4-BE49-F238E27FC236}">
                  <a16:creationId xmlns:a16="http://schemas.microsoft.com/office/drawing/2014/main" id="{DA95D9B2-2C5A-59B6-5C2B-6A09D0A653B9}"/>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4F8AF0A7-7E29-C6D4-B0E1-CA030826DFA4}"/>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ABB22E7E-9225-F361-2C2F-C883894C6D72}"/>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10042A3F-A57B-B890-173A-E6FB525EF2AC}"/>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4007" name="Group 30">
              <a:extLst>
                <a:ext uri="{FF2B5EF4-FFF2-40B4-BE49-F238E27FC236}">
                  <a16:creationId xmlns:a16="http://schemas.microsoft.com/office/drawing/2014/main" id="{8AE61F8F-C7F5-D71C-FB77-F04FBAC46739}"/>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5298EABE-D4D3-E20E-7AEA-1DAB3A218665}"/>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22DBD0D4-C0DF-4DA5-82E7-37A31B5A12EA}"/>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F3026E6D-39A0-5354-8626-634B8E7BBCF5}"/>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4008" name="Group 34">
              <a:extLst>
                <a:ext uri="{FF2B5EF4-FFF2-40B4-BE49-F238E27FC236}">
                  <a16:creationId xmlns:a16="http://schemas.microsoft.com/office/drawing/2014/main" id="{1263AA9D-AB73-17B4-8EB1-77E3ECB29D18}"/>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AE8735E5-C567-451B-3448-854B655B7D9F}"/>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BF66D489-8747-A044-C45B-F4FA599F3E1C}"/>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A9DFB2B3-D4EF-46F4-F669-8107D78E6013}"/>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a:extLst>
            <a:ext uri="{FF2B5EF4-FFF2-40B4-BE49-F238E27FC236}">
              <a16:creationId xmlns:a16="http://schemas.microsoft.com/office/drawing/2014/main" id="{2024E2A9-DF53-EAF5-A5FA-274FC0F9530C}"/>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a:extLst>
            <a:ext uri="{FF2B5EF4-FFF2-40B4-BE49-F238E27FC236}">
              <a16:creationId xmlns:a16="http://schemas.microsoft.com/office/drawing/2014/main" id="{605BC2B3-6675-D7C6-BD26-CEEE14FF2B04}"/>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29699" name="Text Box 3">
          <a:extLst>
            <a:ext uri="{FF2B5EF4-FFF2-40B4-BE49-F238E27FC236}">
              <a16:creationId xmlns:a16="http://schemas.microsoft.com/office/drawing/2014/main" id="{B86C508D-9F40-3A07-182A-8C96652C0C56}"/>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A200-C91B-4D99-8744-1AFD26ACA38F}">
  <sheetPr codeName="Sheet1"/>
  <dimension ref="IU65534"/>
  <sheetViews>
    <sheetView topLeftCell="ID65493" workbookViewId="0">
      <selection activeCell="IU65534" sqref="IU65534"/>
    </sheetView>
  </sheetViews>
  <sheetFormatPr defaultRowHeight="12.75" x14ac:dyDescent="0.2"/>
  <cols>
    <col min="255" max="255" width="10.28515625" bestFit="1" customWidth="1"/>
  </cols>
  <sheetData>
    <row r="65534" spans="255:255" x14ac:dyDescent="0.2">
      <c r="IU65534" t="s">
        <v>107</v>
      </c>
    </row>
  </sheetData>
  <sheetProtection password="E218" sheet="1" objects="1" scenarios="1"/>
  <phoneticPr fontId="59"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B9C0-9BC3-4E9D-A1CD-247C9E7F4267}">
  <sheetPr codeName="Sheet2"/>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31E92-266F-43F0-9EBE-E14CC6C60E03}">
  <sheetPr codeName="Sheet3"/>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003B-8BD1-4FB8-9A64-2668A607B0B4}">
  <sheetPr codeName="Sheet4">
    <tabColor indexed="48"/>
    <pageSetUpPr fitToPage="1"/>
  </sheetPr>
  <dimension ref="A1:IT52"/>
  <sheetViews>
    <sheetView showRowColHeaders="0" topLeftCell="A3" workbookViewId="0">
      <selection activeCell="F34" sqref="F34"/>
    </sheetView>
  </sheetViews>
  <sheetFormatPr defaultColWidth="0" defaultRowHeight="13.5" zeroHeight="1" x14ac:dyDescent="0.25"/>
  <cols>
    <col min="1" max="1" width="1.7109375" style="162" customWidth="1"/>
    <col min="2" max="2" width="0.42578125" style="162" customWidth="1"/>
    <col min="3" max="3" width="28.140625" style="162" customWidth="1"/>
    <col min="4" max="4" width="8.28515625" style="162" customWidth="1"/>
    <col min="5" max="5" width="16.7109375" style="162" customWidth="1"/>
    <col min="6" max="6" width="11.7109375" style="162" customWidth="1"/>
    <col min="7" max="7" width="11.42578125" style="162" customWidth="1"/>
    <col min="8" max="8" width="2.85546875" style="162" customWidth="1"/>
    <col min="9" max="9" width="10.140625" style="162" customWidth="1"/>
    <col min="10" max="10" width="13.28515625" style="162" customWidth="1"/>
    <col min="11" max="11" width="11.42578125" style="162" customWidth="1"/>
    <col min="12" max="12" width="7.140625" style="162" customWidth="1"/>
    <col min="13" max="13" width="7.85546875" style="162" customWidth="1"/>
    <col min="14" max="14" width="12.140625" style="162" customWidth="1"/>
    <col min="15" max="15" width="1.7109375" style="162" customWidth="1"/>
    <col min="16" max="16" width="1.42578125" style="162" customWidth="1"/>
    <col min="17" max="254" width="9.140625" style="162" hidden="1" customWidth="1"/>
    <col min="255" max="16384" width="0" style="162" hidden="1"/>
  </cols>
  <sheetData>
    <row r="1" spans="1:16" s="104" customFormat="1" ht="8.25" customHeight="1" thickBot="1" x14ac:dyDescent="0.3">
      <c r="A1" s="478">
        <v>4.2</v>
      </c>
      <c r="B1" s="133"/>
      <c r="C1" s="133"/>
      <c r="D1" s="133"/>
      <c r="E1" s="133"/>
      <c r="F1" s="133"/>
      <c r="G1" s="133"/>
      <c r="H1" s="133"/>
      <c r="I1" s="133"/>
      <c r="J1" s="133"/>
      <c r="K1" s="133"/>
      <c r="L1" s="133"/>
      <c r="M1" s="133"/>
      <c r="N1" s="133"/>
      <c r="O1" s="133"/>
      <c r="P1" s="133"/>
    </row>
    <row r="2" spans="1:16" s="135" customFormat="1" ht="40.5" customHeight="1" thickTop="1" thickBot="1" x14ac:dyDescent="0.25">
      <c r="A2" s="134"/>
      <c r="B2" s="482" t="s">
        <v>185</v>
      </c>
      <c r="C2" s="483"/>
      <c r="D2" s="483"/>
      <c r="E2" s="483"/>
      <c r="F2" s="483"/>
      <c r="G2" s="483"/>
      <c r="H2" s="483"/>
      <c r="I2" s="483"/>
      <c r="J2" s="483"/>
      <c r="K2" s="483"/>
      <c r="L2" s="483"/>
      <c r="M2" s="483"/>
      <c r="N2" s="483"/>
      <c r="O2" s="484"/>
      <c r="P2" s="134"/>
    </row>
    <row r="3" spans="1:16" s="104" customFormat="1" ht="5.25" customHeight="1" thickTop="1" x14ac:dyDescent="0.25">
      <c r="A3" s="133"/>
      <c r="B3" s="136"/>
      <c r="C3" s="4"/>
      <c r="D3" s="4"/>
      <c r="E3" s="4"/>
      <c r="F3" s="4"/>
      <c r="G3" s="4"/>
      <c r="H3" s="4"/>
      <c r="I3" s="4"/>
      <c r="J3" s="4"/>
      <c r="K3" s="4"/>
      <c r="L3" s="4"/>
      <c r="M3" s="4"/>
      <c r="N3" s="4"/>
      <c r="O3" s="137"/>
      <c r="P3" s="133"/>
    </row>
    <row r="4" spans="1:16" s="104" customFormat="1" x14ac:dyDescent="0.25">
      <c r="A4" s="133"/>
      <c r="B4" s="138"/>
      <c r="C4" s="488" t="s">
        <v>543</v>
      </c>
      <c r="D4" s="489"/>
      <c r="E4" s="489"/>
      <c r="F4" s="489"/>
      <c r="G4" s="489"/>
      <c r="H4" s="489"/>
      <c r="I4" s="489"/>
      <c r="J4" s="489"/>
      <c r="K4" s="489"/>
      <c r="L4" s="489"/>
      <c r="M4" s="489"/>
      <c r="N4" s="487"/>
      <c r="O4" s="139"/>
      <c r="P4" s="133"/>
    </row>
    <row r="5" spans="1:16" s="104" customFormat="1" ht="24.75" customHeight="1" x14ac:dyDescent="0.25">
      <c r="A5" s="133"/>
      <c r="B5" s="140"/>
      <c r="C5" s="489"/>
      <c r="D5" s="489"/>
      <c r="E5" s="489"/>
      <c r="F5" s="489"/>
      <c r="G5" s="489"/>
      <c r="H5" s="489"/>
      <c r="I5" s="489"/>
      <c r="J5" s="489"/>
      <c r="K5" s="489"/>
      <c r="L5" s="489"/>
      <c r="M5" s="489"/>
      <c r="N5" s="487"/>
      <c r="O5" s="139"/>
      <c r="P5" s="133"/>
    </row>
    <row r="6" spans="1:16" s="104" customFormat="1" ht="3" customHeight="1" x14ac:dyDescent="0.25">
      <c r="A6" s="133"/>
      <c r="B6" s="136"/>
      <c r="C6" s="4"/>
      <c r="D6" s="4"/>
      <c r="E6" s="4"/>
      <c r="F6" s="4"/>
      <c r="G6" s="4"/>
      <c r="H6" s="4"/>
      <c r="I6" s="4"/>
      <c r="J6" s="4"/>
      <c r="K6" s="4"/>
      <c r="L6" s="4"/>
      <c r="M6" s="4"/>
      <c r="N6" s="4"/>
      <c r="O6" s="137"/>
      <c r="P6" s="133"/>
    </row>
    <row r="7" spans="1:16" s="104" customFormat="1" ht="7.5" customHeight="1" x14ac:dyDescent="0.25">
      <c r="A7" s="133"/>
      <c r="B7" s="138"/>
      <c r="C7" s="485" t="s">
        <v>285</v>
      </c>
      <c r="D7" s="486"/>
      <c r="E7" s="486"/>
      <c r="F7" s="486"/>
      <c r="G7" s="486"/>
      <c r="H7" s="486"/>
      <c r="I7" s="486"/>
      <c r="J7" s="486"/>
      <c r="K7" s="486"/>
      <c r="L7" s="486"/>
      <c r="M7" s="486"/>
      <c r="N7" s="487"/>
      <c r="O7" s="141"/>
      <c r="P7" s="133"/>
    </row>
    <row r="8" spans="1:16" s="104" customFormat="1" ht="22.5" customHeight="1" x14ac:dyDescent="0.25">
      <c r="A8" s="133"/>
      <c r="B8" s="142"/>
      <c r="C8" s="486"/>
      <c r="D8" s="486"/>
      <c r="E8" s="486"/>
      <c r="F8" s="486"/>
      <c r="G8" s="486"/>
      <c r="H8" s="486"/>
      <c r="I8" s="486"/>
      <c r="J8" s="486"/>
      <c r="K8" s="486"/>
      <c r="L8" s="486"/>
      <c r="M8" s="486"/>
      <c r="N8" s="487"/>
      <c r="O8" s="141"/>
      <c r="P8" s="133"/>
    </row>
    <row r="9" spans="1:16" s="104" customFormat="1" ht="6" customHeight="1" x14ac:dyDescent="0.25">
      <c r="A9" s="133"/>
      <c r="B9" s="136"/>
      <c r="C9" s="4"/>
      <c r="D9" s="4"/>
      <c r="E9" s="4"/>
      <c r="F9" s="4"/>
      <c r="G9" s="4"/>
      <c r="H9" s="4"/>
      <c r="I9" s="4"/>
      <c r="J9" s="4"/>
      <c r="K9" s="4"/>
      <c r="L9" s="4"/>
      <c r="M9" s="4"/>
      <c r="N9" s="4"/>
      <c r="O9" s="137"/>
      <c r="P9" s="133"/>
    </row>
    <row r="10" spans="1:16" s="104" customFormat="1" x14ac:dyDescent="0.25">
      <c r="A10" s="133"/>
      <c r="B10" s="136"/>
      <c r="C10" s="143" t="s">
        <v>269</v>
      </c>
      <c r="D10" s="4"/>
      <c r="E10" s="4"/>
      <c r="F10" s="144"/>
      <c r="G10" s="4" t="s">
        <v>544</v>
      </c>
      <c r="H10" s="4"/>
      <c r="I10" s="4"/>
      <c r="J10" s="4"/>
      <c r="K10" s="4"/>
      <c r="L10" s="4"/>
      <c r="M10" s="4"/>
      <c r="N10" s="4"/>
      <c r="O10" s="137"/>
      <c r="P10" s="133"/>
    </row>
    <row r="11" spans="1:16" s="104" customFormat="1" ht="3" customHeight="1" x14ac:dyDescent="0.25">
      <c r="A11" s="133"/>
      <c r="B11" s="136"/>
      <c r="C11" s="145"/>
      <c r="D11" s="4"/>
      <c r="E11" s="4"/>
      <c r="F11" s="146"/>
      <c r="G11" s="4"/>
      <c r="H11" s="4"/>
      <c r="I11" s="4"/>
      <c r="J11" s="4"/>
      <c r="K11" s="4"/>
      <c r="L11" s="4"/>
      <c r="M11" s="4"/>
      <c r="N11" s="4"/>
      <c r="O11" s="137"/>
      <c r="P11" s="133"/>
    </row>
    <row r="12" spans="1:16" s="104" customFormat="1" x14ac:dyDescent="0.25">
      <c r="A12" s="133"/>
      <c r="B12" s="136"/>
      <c r="C12" s="4"/>
      <c r="D12" s="4"/>
      <c r="E12" s="4"/>
      <c r="F12" s="147"/>
      <c r="G12" s="4" t="s">
        <v>530</v>
      </c>
      <c r="H12" s="4"/>
      <c r="I12" s="4"/>
      <c r="J12" s="4"/>
      <c r="K12" s="4"/>
      <c r="L12" s="4"/>
      <c r="M12" s="4"/>
      <c r="N12" s="4"/>
      <c r="O12" s="137"/>
      <c r="P12" s="133"/>
    </row>
    <row r="13" spans="1:16" s="104" customFormat="1" ht="3" customHeight="1" x14ac:dyDescent="0.25">
      <c r="A13" s="133"/>
      <c r="B13" s="136"/>
      <c r="C13" s="4"/>
      <c r="D13" s="4"/>
      <c r="E13" s="4"/>
      <c r="F13" s="4"/>
      <c r="G13" s="4"/>
      <c r="H13" s="4"/>
      <c r="I13" s="4"/>
      <c r="J13" s="4"/>
      <c r="K13" s="4"/>
      <c r="L13" s="4"/>
      <c r="M13" s="4"/>
      <c r="N13" s="4"/>
      <c r="O13" s="137"/>
      <c r="P13" s="133"/>
    </row>
    <row r="14" spans="1:16" s="104" customFormat="1" ht="13.5" customHeight="1" x14ac:dyDescent="0.25">
      <c r="A14" s="133"/>
      <c r="B14" s="136"/>
      <c r="C14" s="4"/>
      <c r="D14" s="4"/>
      <c r="E14" s="4"/>
      <c r="F14" s="252"/>
      <c r="G14" s="4" t="s">
        <v>619</v>
      </c>
      <c r="H14" s="4"/>
      <c r="I14" s="4"/>
      <c r="J14" s="4"/>
      <c r="K14" s="4"/>
      <c r="L14" s="4"/>
      <c r="M14" s="4"/>
      <c r="N14" s="4"/>
      <c r="O14" s="137"/>
      <c r="P14" s="133"/>
    </row>
    <row r="15" spans="1:16" s="104" customFormat="1" ht="5.25" customHeight="1" x14ac:dyDescent="0.25">
      <c r="A15" s="133"/>
      <c r="B15" s="136"/>
      <c r="C15" s="4"/>
      <c r="D15" s="4"/>
      <c r="E15" s="4"/>
      <c r="F15" s="4"/>
      <c r="G15" s="4"/>
      <c r="H15" s="4"/>
      <c r="I15" s="4"/>
      <c r="J15" s="4"/>
      <c r="K15" s="4"/>
      <c r="L15" s="4"/>
      <c r="M15" s="4"/>
      <c r="N15" s="4"/>
      <c r="O15" s="137"/>
      <c r="P15" s="133"/>
    </row>
    <row r="16" spans="1:16" s="104" customFormat="1" ht="14.25" customHeight="1" x14ac:dyDescent="0.25">
      <c r="A16" s="133"/>
      <c r="B16" s="136"/>
      <c r="C16" s="148" t="s">
        <v>326</v>
      </c>
      <c r="D16" s="4"/>
      <c r="E16" s="4"/>
      <c r="F16" s="4"/>
      <c r="G16" s="4"/>
      <c r="H16" s="4"/>
      <c r="I16" s="4"/>
      <c r="J16" s="4"/>
      <c r="K16" s="4"/>
      <c r="L16" s="4"/>
      <c r="M16" s="4"/>
      <c r="N16" s="4"/>
      <c r="O16" s="137"/>
      <c r="P16" s="133"/>
    </row>
    <row r="17" spans="1:16" s="104" customFormat="1" ht="8.25" customHeight="1" x14ac:dyDescent="0.25">
      <c r="A17" s="133"/>
      <c r="B17" s="136"/>
      <c r="C17" s="4"/>
      <c r="D17" s="4"/>
      <c r="E17" s="4"/>
      <c r="F17" s="4"/>
      <c r="G17" s="4"/>
      <c r="H17" s="4"/>
      <c r="I17" s="4"/>
      <c r="J17" s="4"/>
      <c r="K17" s="4"/>
      <c r="L17" s="4"/>
      <c r="M17" s="4"/>
      <c r="N17" s="4"/>
      <c r="O17" s="137"/>
      <c r="P17" s="133"/>
    </row>
    <row r="18" spans="1:16" s="104" customFormat="1" ht="15.75" customHeight="1" x14ac:dyDescent="0.25">
      <c r="A18" s="133"/>
      <c r="B18" s="136"/>
      <c r="C18" s="149" t="s">
        <v>332</v>
      </c>
      <c r="D18" s="479" t="s">
        <v>436</v>
      </c>
      <c r="E18" s="480"/>
      <c r="F18" s="480"/>
      <c r="G18" s="481"/>
      <c r="H18" s="4"/>
      <c r="I18" s="150" t="s">
        <v>531</v>
      </c>
      <c r="J18" s="490" t="s">
        <v>519</v>
      </c>
      <c r="K18" s="491"/>
      <c r="L18" s="492"/>
      <c r="M18" s="493"/>
      <c r="N18" s="4"/>
      <c r="O18" s="137"/>
      <c r="P18" s="133"/>
    </row>
    <row r="19" spans="1:16" s="104" customFormat="1" ht="6" customHeight="1" x14ac:dyDescent="0.25">
      <c r="A19" s="133"/>
      <c r="B19" s="136"/>
      <c r="C19" s="151"/>
      <c r="D19" s="4"/>
      <c r="E19" s="4"/>
      <c r="F19" s="4"/>
      <c r="G19" s="4"/>
      <c r="H19" s="4"/>
      <c r="I19" s="150"/>
      <c r="J19" s="150"/>
      <c r="K19" s="4"/>
      <c r="L19" s="149"/>
      <c r="M19" s="152"/>
      <c r="N19" s="4"/>
      <c r="O19" s="137"/>
      <c r="P19" s="133"/>
    </row>
    <row r="20" spans="1:16" s="104" customFormat="1" ht="15.75" customHeight="1" x14ac:dyDescent="0.25">
      <c r="A20" s="133"/>
      <c r="B20" s="136"/>
      <c r="C20" s="149" t="s">
        <v>534</v>
      </c>
      <c r="D20" s="194">
        <v>2013</v>
      </c>
      <c r="E20" s="4"/>
      <c r="F20" s="149" t="s">
        <v>270</v>
      </c>
      <c r="G20" s="369">
        <v>41275</v>
      </c>
      <c r="H20" s="4"/>
      <c r="I20" s="150" t="s">
        <v>271</v>
      </c>
      <c r="J20" s="149"/>
      <c r="K20" s="369">
        <v>41609</v>
      </c>
      <c r="L20" s="149"/>
      <c r="M20" s="4"/>
      <c r="N20" s="4"/>
      <c r="O20" s="137"/>
      <c r="P20" s="133"/>
    </row>
    <row r="21" spans="1:16" s="104" customFormat="1" ht="6" customHeight="1" x14ac:dyDescent="0.25">
      <c r="A21" s="133"/>
      <c r="B21" s="136"/>
      <c r="C21" s="153"/>
      <c r="D21" s="4"/>
      <c r="E21" s="4"/>
      <c r="F21" s="4"/>
      <c r="G21" s="4"/>
      <c r="H21" s="4"/>
      <c r="I21" s="150"/>
      <c r="J21" s="150"/>
      <c r="K21" s="4"/>
      <c r="L21" s="150"/>
      <c r="M21" s="150"/>
      <c r="N21" s="4"/>
      <c r="O21" s="137"/>
      <c r="P21" s="133"/>
    </row>
    <row r="22" spans="1:16" s="104" customFormat="1" ht="15.75" customHeight="1" x14ac:dyDescent="0.25">
      <c r="A22" s="133"/>
      <c r="B22" s="136"/>
      <c r="C22" s="149" t="s">
        <v>327</v>
      </c>
      <c r="D22" s="479" t="s">
        <v>520</v>
      </c>
      <c r="E22" s="504"/>
      <c r="F22" s="154" t="s">
        <v>328</v>
      </c>
      <c r="G22" s="505" t="s">
        <v>521</v>
      </c>
      <c r="H22" s="491"/>
      <c r="I22" s="492"/>
      <c r="J22" s="493"/>
      <c r="K22" s="499" t="s">
        <v>330</v>
      </c>
      <c r="L22" s="500"/>
      <c r="M22" s="497" t="s">
        <v>522</v>
      </c>
      <c r="N22" s="498"/>
      <c r="O22" s="137"/>
      <c r="P22" s="133"/>
    </row>
    <row r="23" spans="1:16" s="104" customFormat="1" ht="12.75" customHeight="1" x14ac:dyDescent="0.25">
      <c r="A23" s="133"/>
      <c r="B23" s="136"/>
      <c r="C23" s="151"/>
      <c r="D23" s="4"/>
      <c r="E23" s="4"/>
      <c r="F23" s="4"/>
      <c r="G23" s="4"/>
      <c r="H23" s="4"/>
      <c r="I23" s="150"/>
      <c r="J23" s="150"/>
      <c r="K23" s="4"/>
      <c r="L23" s="149" t="s">
        <v>329</v>
      </c>
      <c r="M23" s="375"/>
      <c r="N23" s="4"/>
      <c r="O23" s="137"/>
      <c r="P23" s="133"/>
    </row>
    <row r="24" spans="1:16" s="104" customFormat="1" ht="13.5" customHeight="1" x14ac:dyDescent="0.25">
      <c r="A24" s="133"/>
      <c r="B24" s="136"/>
      <c r="C24" s="145" t="s">
        <v>9</v>
      </c>
      <c r="D24" s="4"/>
      <c r="E24" s="4"/>
      <c r="F24" s="4"/>
      <c r="G24" s="501" t="s">
        <v>215</v>
      </c>
      <c r="H24" s="502"/>
      <c r="I24" s="502"/>
      <c r="J24" s="503"/>
      <c r="K24" s="4"/>
      <c r="L24" s="149"/>
      <c r="M24" s="152"/>
      <c r="N24" s="4"/>
      <c r="O24" s="137"/>
      <c r="P24" s="133"/>
    </row>
    <row r="25" spans="1:16" s="104" customFormat="1" ht="4.5" customHeight="1" x14ac:dyDescent="0.25">
      <c r="A25" s="133"/>
      <c r="B25" s="136"/>
      <c r="C25" s="151"/>
      <c r="D25" s="4"/>
      <c r="E25" s="4"/>
      <c r="F25" s="4"/>
      <c r="G25" s="4"/>
      <c r="H25" s="4"/>
      <c r="I25" s="150"/>
      <c r="J25" s="150"/>
      <c r="K25" s="4"/>
      <c r="L25" s="149"/>
      <c r="M25" s="152"/>
      <c r="N25" s="4"/>
      <c r="O25" s="137"/>
      <c r="P25" s="133"/>
    </row>
    <row r="26" spans="1:16" s="104" customFormat="1" ht="16.5" customHeight="1" x14ac:dyDescent="0.25">
      <c r="A26" s="133"/>
      <c r="B26" s="155"/>
      <c r="C26" s="156" t="s">
        <v>316</v>
      </c>
      <c r="D26" s="4"/>
      <c r="E26" s="4"/>
      <c r="F26" s="4"/>
      <c r="G26" s="244" t="s">
        <v>212</v>
      </c>
      <c r="H26" s="4"/>
      <c r="I26" s="4"/>
      <c r="J26" s="4"/>
      <c r="K26" s="4"/>
      <c r="L26" s="4"/>
      <c r="M26" s="4"/>
      <c r="N26" s="4"/>
      <c r="O26" s="137"/>
      <c r="P26" s="133"/>
    </row>
    <row r="27" spans="1:16" s="104" customFormat="1" ht="22.5" customHeight="1" x14ac:dyDescent="0.25">
      <c r="A27" s="133"/>
      <c r="B27" s="157"/>
      <c r="C27" s="158"/>
      <c r="D27" s="494" t="s">
        <v>526</v>
      </c>
      <c r="E27" s="495"/>
      <c r="F27" s="495"/>
      <c r="G27" s="495"/>
      <c r="H27" s="495"/>
      <c r="I27" s="495"/>
      <c r="J27" s="495"/>
      <c r="K27" s="495"/>
      <c r="L27" s="495"/>
      <c r="M27" s="495"/>
      <c r="N27" s="496"/>
      <c r="O27" s="137"/>
      <c r="P27" s="133"/>
    </row>
    <row r="28" spans="1:16" s="104" customFormat="1" ht="3.75" customHeight="1" x14ac:dyDescent="0.25">
      <c r="A28" s="133"/>
      <c r="B28" s="157"/>
      <c r="C28" s="158"/>
      <c r="D28" s="4"/>
      <c r="E28" s="4"/>
      <c r="F28" s="4"/>
      <c r="G28" s="4"/>
      <c r="H28" s="4"/>
      <c r="I28" s="4"/>
      <c r="J28" s="4"/>
      <c r="K28" s="4"/>
      <c r="L28" s="4"/>
      <c r="M28" s="4"/>
      <c r="N28" s="4"/>
      <c r="O28" s="137"/>
      <c r="P28" s="133"/>
    </row>
    <row r="29" spans="1:16" s="104" customFormat="1" ht="22.5" customHeight="1" x14ac:dyDescent="0.25">
      <c r="A29" s="133"/>
      <c r="B29" s="157"/>
      <c r="C29" s="158"/>
      <c r="D29" s="494" t="s">
        <v>527</v>
      </c>
      <c r="E29" s="495"/>
      <c r="F29" s="495"/>
      <c r="G29" s="495"/>
      <c r="H29" s="495"/>
      <c r="I29" s="495"/>
      <c r="J29" s="495"/>
      <c r="K29" s="495"/>
      <c r="L29" s="495"/>
      <c r="M29" s="495"/>
      <c r="N29" s="496"/>
      <c r="O29" s="137"/>
      <c r="P29" s="133"/>
    </row>
    <row r="30" spans="1:16" s="104" customFormat="1" ht="3.75" customHeight="1" x14ac:dyDescent="0.25">
      <c r="A30" s="133"/>
      <c r="B30" s="157"/>
      <c r="C30" s="158"/>
      <c r="D30" s="4"/>
      <c r="E30" s="4"/>
      <c r="F30" s="4"/>
      <c r="G30" s="4"/>
      <c r="H30" s="4"/>
      <c r="I30" s="4"/>
      <c r="J30" s="4"/>
      <c r="K30" s="4"/>
      <c r="L30" s="4"/>
      <c r="M30" s="4"/>
      <c r="N30" s="4"/>
      <c r="O30" s="137"/>
      <c r="P30" s="133"/>
    </row>
    <row r="31" spans="1:16" s="104" customFormat="1" ht="22.5" customHeight="1" x14ac:dyDescent="0.25">
      <c r="A31" s="133"/>
      <c r="B31" s="157"/>
      <c r="C31" s="158"/>
      <c r="D31" s="494" t="s">
        <v>528</v>
      </c>
      <c r="E31" s="495"/>
      <c r="F31" s="495"/>
      <c r="G31" s="495"/>
      <c r="H31" s="495"/>
      <c r="I31" s="495"/>
      <c r="J31" s="495"/>
      <c r="K31" s="495"/>
      <c r="L31" s="495"/>
      <c r="M31" s="495"/>
      <c r="N31" s="496"/>
      <c r="O31" s="137"/>
      <c r="P31" s="133"/>
    </row>
    <row r="32" spans="1:16" s="104" customFormat="1" ht="3.75" customHeight="1" x14ac:dyDescent="0.25">
      <c r="A32" s="133"/>
      <c r="B32" s="157"/>
      <c r="C32" s="158"/>
      <c r="D32" s="4"/>
      <c r="E32" s="4"/>
      <c r="F32" s="4"/>
      <c r="G32" s="4"/>
      <c r="H32" s="4"/>
      <c r="I32" s="4"/>
      <c r="J32" s="4"/>
      <c r="K32" s="4"/>
      <c r="L32" s="4"/>
      <c r="M32" s="4"/>
      <c r="N32" s="4"/>
      <c r="O32" s="137"/>
      <c r="P32" s="133"/>
    </row>
    <row r="33" spans="1:16" s="104" customFormat="1" ht="22.5" customHeight="1" x14ac:dyDescent="0.25">
      <c r="A33" s="133"/>
      <c r="B33" s="157"/>
      <c r="C33" s="158"/>
      <c r="D33" s="494" t="s">
        <v>592</v>
      </c>
      <c r="E33" s="495"/>
      <c r="F33" s="495"/>
      <c r="G33" s="495"/>
      <c r="H33" s="495"/>
      <c r="I33" s="495"/>
      <c r="J33" s="495"/>
      <c r="K33" s="495"/>
      <c r="L33" s="495"/>
      <c r="M33" s="495"/>
      <c r="N33" s="496"/>
      <c r="O33" s="137"/>
      <c r="P33" s="133"/>
    </row>
    <row r="34" spans="1:16" s="104" customFormat="1" ht="3.75" customHeight="1" x14ac:dyDescent="0.25">
      <c r="A34" s="133"/>
      <c r="B34" s="157"/>
      <c r="C34" s="158"/>
      <c r="D34" s="243"/>
      <c r="E34" s="243"/>
      <c r="F34" s="243"/>
      <c r="G34" s="243"/>
      <c r="H34" s="243"/>
      <c r="I34" s="243"/>
      <c r="J34" s="243"/>
      <c r="K34" s="243"/>
      <c r="L34" s="243"/>
      <c r="M34" s="243"/>
      <c r="N34" s="243"/>
      <c r="O34" s="137"/>
      <c r="P34" s="133"/>
    </row>
    <row r="35" spans="1:16" s="104" customFormat="1" ht="22.5" customHeight="1" x14ac:dyDescent="0.25">
      <c r="A35" s="133"/>
      <c r="B35" s="157"/>
      <c r="C35" s="158"/>
      <c r="D35" s="494" t="s">
        <v>321</v>
      </c>
      <c r="E35" s="495"/>
      <c r="F35" s="495"/>
      <c r="G35" s="495"/>
      <c r="H35" s="495"/>
      <c r="I35" s="495"/>
      <c r="J35" s="495"/>
      <c r="K35" s="495"/>
      <c r="L35" s="495"/>
      <c r="M35" s="495"/>
      <c r="N35" s="496"/>
      <c r="O35" s="137"/>
      <c r="P35" s="133"/>
    </row>
    <row r="36" spans="1:16" s="104" customFormat="1" ht="3.75" customHeight="1" x14ac:dyDescent="0.25">
      <c r="A36" s="133"/>
      <c r="B36" s="157"/>
      <c r="C36" s="158"/>
      <c r="D36" s="4"/>
      <c r="E36" s="4"/>
      <c r="F36" s="4"/>
      <c r="G36" s="4"/>
      <c r="H36" s="4"/>
      <c r="I36" s="4"/>
      <c r="J36" s="4"/>
      <c r="K36" s="4"/>
      <c r="L36" s="4"/>
      <c r="M36" s="4"/>
      <c r="N36" s="4"/>
      <c r="O36" s="137"/>
      <c r="P36" s="133"/>
    </row>
    <row r="37" spans="1:16" s="104" customFormat="1" ht="22.5" customHeight="1" x14ac:dyDescent="0.25">
      <c r="A37" s="133"/>
      <c r="B37" s="157"/>
      <c r="C37" s="158"/>
      <c r="D37" s="494" t="s">
        <v>529</v>
      </c>
      <c r="E37" s="495"/>
      <c r="F37" s="495"/>
      <c r="G37" s="495"/>
      <c r="H37" s="495"/>
      <c r="I37" s="495"/>
      <c r="J37" s="495"/>
      <c r="K37" s="495"/>
      <c r="L37" s="495"/>
      <c r="M37" s="495"/>
      <c r="N37" s="496"/>
      <c r="O37" s="137"/>
      <c r="P37" s="133"/>
    </row>
    <row r="38" spans="1:16" s="104" customFormat="1" ht="3.75" customHeight="1" x14ac:dyDescent="0.25">
      <c r="A38" s="133"/>
      <c r="B38" s="157"/>
      <c r="C38" s="158"/>
      <c r="D38" s="4"/>
      <c r="E38" s="4"/>
      <c r="F38" s="4"/>
      <c r="G38" s="4"/>
      <c r="H38" s="4"/>
      <c r="I38" s="4"/>
      <c r="J38" s="4"/>
      <c r="K38" s="4"/>
      <c r="L38" s="4"/>
      <c r="M38" s="4"/>
      <c r="N38" s="4"/>
      <c r="O38" s="137"/>
      <c r="P38" s="133"/>
    </row>
    <row r="39" spans="1:16" s="104" customFormat="1" ht="22.5" customHeight="1" x14ac:dyDescent="0.25">
      <c r="A39" s="133"/>
      <c r="B39" s="157"/>
      <c r="C39" s="158"/>
      <c r="D39" s="494" t="s">
        <v>468</v>
      </c>
      <c r="E39" s="495"/>
      <c r="F39" s="495"/>
      <c r="G39" s="495"/>
      <c r="H39" s="495"/>
      <c r="I39" s="495"/>
      <c r="J39" s="495"/>
      <c r="K39" s="495"/>
      <c r="L39" s="495"/>
      <c r="M39" s="495"/>
      <c r="N39" s="496"/>
      <c r="O39" s="137"/>
      <c r="P39" s="133"/>
    </row>
    <row r="40" spans="1:16" s="104" customFormat="1" ht="8.25" customHeight="1" x14ac:dyDescent="0.25">
      <c r="A40" s="133"/>
      <c r="B40" s="157"/>
      <c r="C40" s="158"/>
      <c r="D40" s="243"/>
      <c r="E40" s="243"/>
      <c r="F40" s="243"/>
      <c r="G40" s="243"/>
      <c r="H40" s="243"/>
      <c r="I40" s="243"/>
      <c r="J40" s="243"/>
      <c r="K40" s="243"/>
      <c r="L40" s="243"/>
      <c r="M40" s="243"/>
      <c r="N40" s="243"/>
      <c r="O40" s="137"/>
      <c r="P40" s="133"/>
    </row>
    <row r="41" spans="1:16" s="104" customFormat="1" ht="27" customHeight="1" x14ac:dyDescent="0.25">
      <c r="A41" s="133"/>
      <c r="B41" s="157"/>
      <c r="C41" s="373" t="s">
        <v>509</v>
      </c>
      <c r="D41" s="506" t="s">
        <v>420</v>
      </c>
      <c r="E41" s="507"/>
      <c r="F41" s="507"/>
      <c r="G41" s="507"/>
      <c r="H41" s="507"/>
      <c r="I41" s="507"/>
      <c r="J41" s="507"/>
      <c r="K41" s="507"/>
      <c r="L41" s="507"/>
      <c r="M41" s="507"/>
      <c r="N41" s="508"/>
      <c r="O41" s="137"/>
      <c r="P41" s="133"/>
    </row>
    <row r="42" spans="1:16" s="104" customFormat="1" ht="22.5" customHeight="1" x14ac:dyDescent="0.25">
      <c r="A42" s="133"/>
      <c r="B42" s="157"/>
      <c r="C42" s="158"/>
      <c r="D42" s="509"/>
      <c r="E42" s="510"/>
      <c r="F42" s="510"/>
      <c r="G42" s="510"/>
      <c r="H42" s="510"/>
      <c r="I42" s="510"/>
      <c r="J42" s="510"/>
      <c r="K42" s="510"/>
      <c r="L42" s="510"/>
      <c r="M42" s="510"/>
      <c r="N42" s="511"/>
      <c r="O42" s="137"/>
      <c r="P42" s="133"/>
    </row>
    <row r="43" spans="1:16" s="104" customFormat="1" ht="10.5" customHeight="1" x14ac:dyDescent="0.25">
      <c r="A43" s="133"/>
      <c r="B43" s="157"/>
      <c r="C43" s="158"/>
      <c r="D43" s="509"/>
      <c r="E43" s="510"/>
      <c r="F43" s="510"/>
      <c r="G43" s="510"/>
      <c r="H43" s="510"/>
      <c r="I43" s="510"/>
      <c r="J43" s="510"/>
      <c r="K43" s="510"/>
      <c r="L43" s="510"/>
      <c r="M43" s="510"/>
      <c r="N43" s="511"/>
      <c r="O43" s="137"/>
      <c r="P43" s="133"/>
    </row>
    <row r="44" spans="1:16" s="104" customFormat="1" ht="21" customHeight="1" x14ac:dyDescent="0.25">
      <c r="A44" s="133"/>
      <c r="B44" s="157"/>
      <c r="C44" s="158"/>
      <c r="D44" s="512"/>
      <c r="E44" s="513"/>
      <c r="F44" s="513"/>
      <c r="G44" s="513"/>
      <c r="H44" s="513"/>
      <c r="I44" s="513"/>
      <c r="J44" s="513"/>
      <c r="K44" s="513"/>
      <c r="L44" s="513"/>
      <c r="M44" s="513"/>
      <c r="N44" s="514"/>
      <c r="O44" s="137"/>
      <c r="P44" s="133"/>
    </row>
    <row r="45" spans="1:16" s="104" customFormat="1" ht="22.5" customHeight="1" x14ac:dyDescent="0.25">
      <c r="A45" s="133"/>
      <c r="B45" s="157"/>
      <c r="C45" s="242"/>
      <c r="D45" s="158"/>
      <c r="E45" s="243"/>
      <c r="F45" s="243"/>
      <c r="G45" s="243"/>
      <c r="H45" s="243"/>
      <c r="I45" s="243"/>
      <c r="J45" s="243"/>
      <c r="K45" s="242" t="s">
        <v>608</v>
      </c>
      <c r="L45" s="245" t="s">
        <v>607</v>
      </c>
      <c r="M45" s="243"/>
      <c r="N45" s="243"/>
      <c r="O45" s="137"/>
      <c r="P45" s="133"/>
    </row>
    <row r="46" spans="1:16" s="104" customFormat="1" ht="5.25" customHeight="1" thickBot="1" x14ac:dyDescent="0.3">
      <c r="A46" s="133"/>
      <c r="B46" s="159"/>
      <c r="C46" s="160"/>
      <c r="D46" s="160"/>
      <c r="E46" s="160"/>
      <c r="F46" s="160"/>
      <c r="G46" s="160"/>
      <c r="H46" s="160"/>
      <c r="I46" s="160"/>
      <c r="J46" s="160"/>
      <c r="K46" s="160"/>
      <c r="L46" s="160"/>
      <c r="M46" s="160"/>
      <c r="N46" s="160"/>
      <c r="O46" s="161"/>
      <c r="P46" s="133"/>
    </row>
    <row r="47" spans="1:16" ht="13.5" customHeight="1" thickTop="1" x14ac:dyDescent="0.25"/>
    <row r="52" x14ac:dyDescent="0.25"/>
  </sheetData>
  <sheetProtection password="E218" sheet="1" objects="1" scenarios="1"/>
  <mergeCells count="18">
    <mergeCell ref="D29:N29"/>
    <mergeCell ref="D22:E22"/>
    <mergeCell ref="G22:J22"/>
    <mergeCell ref="D41:N44"/>
    <mergeCell ref="D33:N33"/>
    <mergeCell ref="D37:N37"/>
    <mergeCell ref="D39:N39"/>
    <mergeCell ref="D35:N35"/>
    <mergeCell ref="D31:N31"/>
    <mergeCell ref="D18:G18"/>
    <mergeCell ref="B2:O2"/>
    <mergeCell ref="C7:N8"/>
    <mergeCell ref="C4:N5"/>
    <mergeCell ref="J18:M18"/>
    <mergeCell ref="D27:N27"/>
    <mergeCell ref="M22:N22"/>
    <mergeCell ref="K22:L22"/>
    <mergeCell ref="G24:J24"/>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xr:uid="{E9A919C7-5157-4763-82E3-096E979C6416}">
      <formula1>"Million gallons (US),Megalitres (thousand cubic metres),Acre-feet"</formula1>
    </dataValidation>
  </dataValidations>
  <hyperlinks>
    <hyperlink ref="L45" r:id="rId1" xr:uid="{6BC0719F-9301-4386-9F5C-02EC92099597}"/>
  </hyperlinks>
  <printOptions horizontalCentered="1" verticalCentered="1"/>
  <pageMargins left="0.41" right="0.47" top="0.76" bottom="0.75" header="0.5" footer="0.5"/>
  <pageSetup scale="83"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C2D6-5E78-4EE3-B7B8-82E04EE53D8C}">
  <sheetPr codeName="Sheet5">
    <tabColor indexed="48"/>
    <pageSetUpPr fitToPage="1"/>
  </sheetPr>
  <dimension ref="A1:Q152"/>
  <sheetViews>
    <sheetView showGridLines="0" tabSelected="1" workbookViewId="0">
      <pane ySplit="6" topLeftCell="A82" activePane="bottomLeft" state="frozen"/>
      <selection activeCell="K26" sqref="K26"/>
      <selection pane="bottomLeft" activeCell="G26" sqref="G26"/>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2" t="s">
        <v>141</v>
      </c>
      <c r="C2" s="483"/>
      <c r="D2" s="483"/>
      <c r="E2" s="483"/>
      <c r="F2" s="483"/>
      <c r="G2" s="483"/>
      <c r="H2" s="483"/>
      <c r="I2" s="483"/>
      <c r="J2" s="48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532</v>
      </c>
      <c r="D4" s="167" t="str">
        <f>IF(ISBLANK(Instructions!D18),"",Instructions!D18)</f>
        <v>Aqua-PA: East Point PWSID # 3061153</v>
      </c>
      <c r="E4" s="296"/>
      <c r="F4" s="168"/>
      <c r="G4" s="146"/>
      <c r="H4" s="146"/>
      <c r="I4" s="146"/>
      <c r="J4" s="146"/>
      <c r="K4" s="169"/>
      <c r="L4" s="4"/>
      <c r="M4" s="4"/>
      <c r="N4" s="137"/>
    </row>
    <row r="5" spans="1:16" s="104" customFormat="1" x14ac:dyDescent="0.25">
      <c r="A5" s="133"/>
      <c r="B5" s="136"/>
      <c r="C5" s="170" t="s">
        <v>533</v>
      </c>
      <c r="D5" s="520">
        <f>IF(ISBLANK(Instructions!D20),"",Instructions!D20)</f>
        <v>2013</v>
      </c>
      <c r="E5" s="521"/>
      <c r="F5" s="171"/>
      <c r="G5" s="524" t="str">
        <f>IF(OR(ISBLANK(Instructions!G20),ISBLANK(Instructions!K20)),"",MONTH(Instructions!G20)&amp;"/"&amp;YEAR(Instructions!G20)&amp;" - "&amp;MONTH(Instructions!K20)&amp;"/"&amp;YEAR(Instructions!K20))</f>
        <v>1/2013 - 12/2013</v>
      </c>
      <c r="H5" s="525"/>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9"/>
      <c r="D7" s="489"/>
      <c r="E7" s="489"/>
      <c r="F7" s="489"/>
      <c r="G7" s="489"/>
      <c r="H7" s="489"/>
      <c r="I7" s="489"/>
      <c r="J7" s="489"/>
      <c r="K7" s="489"/>
      <c r="L7" s="489"/>
      <c r="M7" s="489"/>
      <c r="N7" s="137"/>
    </row>
    <row r="8" spans="1:16" s="104" customFormat="1" ht="13.5" customHeight="1" x14ac:dyDescent="0.25">
      <c r="A8" s="133"/>
      <c r="B8" s="136"/>
      <c r="C8" s="489"/>
      <c r="D8" s="489"/>
      <c r="E8" s="489"/>
      <c r="F8" s="489"/>
      <c r="G8" s="489"/>
      <c r="H8" s="489"/>
      <c r="I8" s="489"/>
      <c r="J8" s="489"/>
      <c r="K8" s="489"/>
      <c r="L8" s="489"/>
      <c r="M8" s="489"/>
      <c r="N8" s="137"/>
    </row>
    <row r="9" spans="1:16" s="104" customFormat="1" ht="15" customHeight="1" x14ac:dyDescent="0.25">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277</v>
      </c>
      <c r="D12" s="526" t="s">
        <v>235</v>
      </c>
      <c r="E12" s="515"/>
      <c r="F12" s="515"/>
      <c r="G12" s="515"/>
      <c r="H12" s="515"/>
      <c r="I12" s="515"/>
      <c r="J12" s="13"/>
      <c r="K12" s="13"/>
      <c r="L12" s="13"/>
      <c r="M12" s="13"/>
      <c r="N12" s="137"/>
      <c r="P12" s="370"/>
    </row>
    <row r="13" spans="1:16" s="104" customFormat="1" ht="2.25" customHeight="1" x14ac:dyDescent="0.25">
      <c r="A13" s="133"/>
      <c r="B13" s="136"/>
      <c r="C13" s="3"/>
      <c r="D13" s="3"/>
      <c r="E13" s="3"/>
      <c r="F13" s="3"/>
      <c r="G13" s="3"/>
      <c r="H13" s="3"/>
      <c r="I13" s="3"/>
      <c r="J13" s="13"/>
      <c r="K13" s="13"/>
      <c r="L13" s="13"/>
      <c r="M13" s="13"/>
      <c r="N13" s="137"/>
      <c r="P13" s="370"/>
    </row>
    <row r="14" spans="1:16" s="104" customFormat="1" x14ac:dyDescent="0.25">
      <c r="A14" s="133"/>
      <c r="B14" s="136"/>
      <c r="C14" s="151" t="s">
        <v>575</v>
      </c>
      <c r="D14" s="131"/>
      <c r="E14" s="383">
        <v>8</v>
      </c>
      <c r="F14" s="12"/>
      <c r="G14" s="248">
        <v>6.9909999999999997</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25">
      <c r="A15" s="133"/>
      <c r="B15" s="136"/>
      <c r="C15" s="151" t="s">
        <v>515</v>
      </c>
      <c r="D15" s="3"/>
      <c r="E15" s="383">
        <v>8</v>
      </c>
      <c r="F15" s="12"/>
      <c r="G15" s="248">
        <v>6.9000000000000006E-2</v>
      </c>
      <c r="H15" s="5"/>
      <c r="I15" s="522" t="s">
        <v>211</v>
      </c>
      <c r="J15" s="523"/>
      <c r="K15" s="527" t="str">
        <f>IF(AND(NOT(ISBLANK(G15)),G15&gt;0,ISBLANK(I15)),"&lt;---Enter adjustment type",IF(Instructions!$G$24="million gallons (US)","MG/Yr",IF(Instructions!$G$24="Megalitres (thousand cubic metres)","ML/Yr",IF(Instructions!$G$24="acre-feet","acre-ft/yr",""))))</f>
        <v>MG/Yr</v>
      </c>
      <c r="L15" s="528"/>
      <c r="M15" s="528"/>
      <c r="N15" s="137"/>
    </row>
    <row r="16" spans="1:16" s="104" customFormat="1" x14ac:dyDescent="0.25">
      <c r="A16" s="133"/>
      <c r="B16" s="136"/>
      <c r="C16" s="151" t="s">
        <v>117</v>
      </c>
      <c r="D16" s="3"/>
      <c r="E16" s="383" t="s">
        <v>81</v>
      </c>
      <c r="F16" s="12"/>
      <c r="G16" s="248">
        <v>0</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25">
      <c r="A17" s="133"/>
      <c r="B17" s="136"/>
      <c r="C17" s="151" t="s">
        <v>118</v>
      </c>
      <c r="D17" s="3"/>
      <c r="E17" s="383" t="s">
        <v>81</v>
      </c>
      <c r="F17" s="12"/>
      <c r="G17" s="248">
        <v>0</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276</v>
      </c>
      <c r="D19" s="81"/>
      <c r="E19" s="384"/>
      <c r="F19" s="12"/>
      <c r="G19" s="249">
        <f>G14+IF(I15="under-registered",+G15,IF(I15="over-registered",-G15,))+G16-G17</f>
        <v>6.9219999999999997</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151</v>
      </c>
      <c r="F21" s="12"/>
      <c r="G21" s="4"/>
      <c r="H21" s="4"/>
      <c r="I21" s="4"/>
      <c r="J21" s="13"/>
      <c r="K21" s="13"/>
      <c r="L21" s="13"/>
      <c r="M21" s="4"/>
      <c r="N21" s="137"/>
    </row>
    <row r="22" spans="1:17" s="104" customFormat="1" x14ac:dyDescent="0.25">
      <c r="A22" s="133"/>
      <c r="B22" s="136"/>
      <c r="C22" s="3" t="s">
        <v>278</v>
      </c>
      <c r="D22" s="3"/>
      <c r="E22" s="386"/>
      <c r="F22" s="3"/>
      <c r="G22" s="3"/>
      <c r="H22" s="3"/>
      <c r="I22" s="3"/>
      <c r="J22" s="3"/>
      <c r="K22" s="3"/>
      <c r="L22" s="3"/>
      <c r="M22" s="3"/>
      <c r="N22" s="137"/>
    </row>
    <row r="23" spans="1:17" s="104" customFormat="1" x14ac:dyDescent="0.25">
      <c r="A23" s="133"/>
      <c r="B23" s="136"/>
      <c r="C23" s="151" t="s">
        <v>576</v>
      </c>
      <c r="D23" s="9"/>
      <c r="E23" s="383">
        <v>8</v>
      </c>
      <c r="F23" s="12"/>
      <c r="G23" s="248">
        <v>3.4</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25">
      <c r="A24" s="133"/>
      <c r="B24" s="136"/>
      <c r="C24" s="151" t="s">
        <v>577</v>
      </c>
      <c r="D24" s="9"/>
      <c r="E24" s="383">
        <v>8</v>
      </c>
      <c r="F24" s="12"/>
      <c r="G24" s="248">
        <v>0.68</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25">
      <c r="A25" s="133"/>
      <c r="B25" s="136"/>
      <c r="C25" s="151" t="s">
        <v>578</v>
      </c>
      <c r="D25" s="9"/>
      <c r="E25" s="383">
        <v>5</v>
      </c>
      <c r="F25" s="12"/>
      <c r="G25" s="248">
        <v>3.4000000000000002E-2</v>
      </c>
      <c r="H25" s="5"/>
      <c r="I25" s="208" t="str">
        <f>IF(Instructions!$G$24="million gallons (US)","MG/Yr",IF(Instructions!$G$24="Megalitres (thousand cubic metres)","ML/Yr",IF(Instructions!$G$24="acre-feet","acre-ft/yr","")))</f>
        <v>MG/Yr</v>
      </c>
      <c r="J25" s="241" t="s">
        <v>610</v>
      </c>
      <c r="K25" s="246"/>
      <c r="L25" s="4" t="s">
        <v>609</v>
      </c>
      <c r="M25" s="4"/>
      <c r="N25" s="137"/>
      <c r="P25" s="17"/>
      <c r="Q25" s="17"/>
    </row>
    <row r="26" spans="1:17" s="104" customFormat="1" ht="15" customHeight="1" x14ac:dyDescent="0.25">
      <c r="A26" s="133"/>
      <c r="B26" s="136"/>
      <c r="C26" s="151" t="s">
        <v>579</v>
      </c>
      <c r="D26" s="9"/>
      <c r="E26" s="383"/>
      <c r="F26" s="12"/>
      <c r="G26" s="249">
        <f>IF(OR(P26=1,AND(P26=2,L26=0)),J26*$G$19,L26)</f>
        <v>8.6525000000000005E-2</v>
      </c>
      <c r="H26" s="5"/>
      <c r="I26" s="208" t="str">
        <f>IF(Instructions!$G$24="million gallons (US)","MG/Yr",IF(Instructions!$G$24="Megalitres (thousand cubic metres)","ML/Yr",IF(Instructions!$G$24="acre-feet","acre-ft/yr","")))</f>
        <v>MG/Yr</v>
      </c>
      <c r="J26" s="254">
        <v>1.2500000000000001E-2</v>
      </c>
      <c r="K26" s="133"/>
      <c r="L26" s="517"/>
      <c r="M26" s="518"/>
      <c r="N26" s="137"/>
      <c r="P26" s="374">
        <v>1</v>
      </c>
      <c r="Q26" s="17"/>
    </row>
    <row r="27" spans="1:17" s="104" customFormat="1" ht="2.25" customHeight="1" x14ac:dyDescent="0.25">
      <c r="A27" s="133"/>
      <c r="B27" s="136"/>
      <c r="C27" s="151"/>
      <c r="D27" s="151"/>
      <c r="E27" s="9"/>
      <c r="F27" s="9"/>
      <c r="G27" s="9"/>
      <c r="H27" s="9"/>
      <c r="I27" s="208"/>
      <c r="J27" s="208"/>
      <c r="K27" s="208"/>
      <c r="L27" s="208">
        <v>24061</v>
      </c>
      <c r="M27" s="208"/>
      <c r="N27" s="137"/>
      <c r="P27" s="39"/>
      <c r="Q27" s="17"/>
    </row>
    <row r="28" spans="1:17" s="104" customFormat="1" ht="15" customHeight="1" x14ac:dyDescent="0.25">
      <c r="A28" s="133"/>
      <c r="B28" s="136"/>
      <c r="C28" s="515"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xml:space="preserve">       Default option selected for Unbilled unmetered - a grading of 5 is applied but not displayed</v>
      </c>
      <c r="D28" s="515"/>
      <c r="E28" s="515"/>
      <c r="F28" s="515"/>
      <c r="G28" s="515"/>
      <c r="H28" s="515"/>
      <c r="I28" s="515"/>
      <c r="J28" s="515"/>
      <c r="K28" s="208"/>
      <c r="L28" s="208"/>
      <c r="M28" s="208"/>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275</v>
      </c>
      <c r="D30" s="81"/>
      <c r="E30" s="300"/>
      <c r="F30" s="12"/>
      <c r="G30" s="249">
        <f>SUM(G23:G26)</f>
        <v>4.2005249999999998</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25">
      <c r="A31" s="133"/>
      <c r="B31" s="136"/>
      <c r="C31" s="9"/>
      <c r="D31" s="9"/>
      <c r="E31" s="207"/>
      <c r="F31" s="77"/>
      <c r="G31" s="176"/>
      <c r="H31" s="77"/>
      <c r="I31" s="209"/>
      <c r="J31" s="176"/>
      <c r="K31" s="176"/>
      <c r="L31" s="181"/>
      <c r="M31" s="175"/>
      <c r="N31" s="137"/>
      <c r="P31" s="39"/>
      <c r="Q31" s="17"/>
    </row>
    <row r="32" spans="1:17" s="104" customFormat="1" ht="15" customHeight="1" x14ac:dyDescent="0.25">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279</v>
      </c>
      <c r="D35" s="3"/>
      <c r="E35" s="300"/>
      <c r="F35" s="3"/>
      <c r="G35" s="249">
        <f>G19-G30</f>
        <v>2.7214749999999999</v>
      </c>
      <c r="H35" s="4"/>
      <c r="I35" s="208" t="str">
        <f>IF(Instructions!$G$24="million gallons (US)","MG/Yr",IF(Instructions!$G$24="Megalitres (thousand cubic metres)","ML/Yr",IF(Instructions!$G$24="acre-feet","acre-ft/yr","")))</f>
        <v>MG/Yr</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424</v>
      </c>
      <c r="D37" s="9"/>
      <c r="E37" s="300"/>
      <c r="F37" s="9"/>
      <c r="G37" s="4"/>
      <c r="H37" s="4"/>
      <c r="I37" s="210"/>
      <c r="J37" s="241" t="s">
        <v>610</v>
      </c>
      <c r="K37" s="246"/>
      <c r="L37" s="4" t="s">
        <v>609</v>
      </c>
      <c r="M37" s="4"/>
      <c r="N37" s="137"/>
      <c r="P37" s="39"/>
      <c r="Q37" s="17"/>
    </row>
    <row r="38" spans="1:17" s="104" customFormat="1" ht="15" customHeight="1" x14ac:dyDescent="0.25">
      <c r="A38" s="133"/>
      <c r="B38" s="136"/>
      <c r="C38" s="151" t="s">
        <v>580</v>
      </c>
      <c r="D38" s="9"/>
      <c r="E38" s="383"/>
      <c r="F38" s="9"/>
      <c r="G38" s="249">
        <f>IF(P38=1,J38*$G$19,L38)</f>
        <v>1.7305000000000001E-2</v>
      </c>
      <c r="H38" s="183"/>
      <c r="I38" s="208" t="str">
        <f>IF(Instructions!$G$24="million gallons (US)","MG/Yr",IF(Instructions!$G$24="Megalitres (thousand cubic metres)","ML/Yr",IF(Instructions!$G$24="acre-feet","acre-ft/yr","")))</f>
        <v>MG/Yr</v>
      </c>
      <c r="J38" s="254">
        <v>2.5000000000000001E-3</v>
      </c>
      <c r="K38" s="229"/>
      <c r="L38" s="517"/>
      <c r="M38" s="529"/>
      <c r="N38" s="137"/>
      <c r="P38" s="374">
        <v>1</v>
      </c>
      <c r="Q38" s="17"/>
    </row>
    <row r="39" spans="1:17" s="104" customFormat="1" ht="2.25" customHeight="1" x14ac:dyDescent="0.25">
      <c r="A39" s="133"/>
      <c r="B39" s="136"/>
      <c r="C39" s="176"/>
      <c r="D39" s="176"/>
      <c r="E39" s="176"/>
      <c r="F39" s="176"/>
      <c r="G39" s="176"/>
      <c r="H39" s="176"/>
      <c r="I39" s="176"/>
      <c r="J39" s="176"/>
      <c r="K39" s="5"/>
      <c r="L39" s="5"/>
      <c r="M39" s="4"/>
      <c r="N39" s="137"/>
      <c r="P39" s="374"/>
      <c r="Q39" s="17"/>
    </row>
    <row r="40" spans="1:17" s="104" customFormat="1" ht="15" customHeight="1" x14ac:dyDescent="0.25">
      <c r="A40" s="133"/>
      <c r="B40" s="136"/>
      <c r="C40" s="526"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15"/>
      <c r="E40" s="515"/>
      <c r="F40" s="515"/>
      <c r="G40" s="515"/>
      <c r="H40" s="515"/>
      <c r="I40" s="515"/>
      <c r="J40" s="515"/>
      <c r="K40" s="5"/>
      <c r="L40" s="5"/>
      <c r="M40" s="4"/>
      <c r="N40" s="137"/>
      <c r="P40" s="374"/>
      <c r="Q40" s="17"/>
    </row>
    <row r="41" spans="1:17" s="104" customFormat="1" ht="2.25" customHeight="1" x14ac:dyDescent="0.25">
      <c r="A41" s="133"/>
      <c r="B41" s="136"/>
      <c r="C41" s="151"/>
      <c r="D41" s="9"/>
      <c r="E41" s="9"/>
      <c r="F41" s="9"/>
      <c r="G41" s="368"/>
      <c r="H41" s="9"/>
      <c r="I41" s="208"/>
      <c r="J41" s="4"/>
      <c r="K41" s="5"/>
      <c r="L41" s="5"/>
      <c r="M41" s="4"/>
      <c r="N41" s="137"/>
      <c r="P41" s="374"/>
      <c r="Q41" s="17"/>
    </row>
    <row r="42" spans="1:17" s="104" customFormat="1" ht="15" customHeight="1" x14ac:dyDescent="0.25">
      <c r="A42" s="133"/>
      <c r="B42" s="136"/>
      <c r="C42" s="151" t="s">
        <v>581</v>
      </c>
      <c r="D42" s="9"/>
      <c r="E42" s="383">
        <v>6</v>
      </c>
      <c r="F42" s="9"/>
      <c r="G42" s="249">
        <f>IF(P42=1,((G23+G25)/(1-J42))-(G23+G25),L42)</f>
        <v>3.4686868686868877E-2</v>
      </c>
      <c r="H42" s="183"/>
      <c r="I42" s="208" t="str">
        <f>IF(Instructions!$G$24="million gallons (US)","MG/Yr",IF(Instructions!$G$24="Megalitres (thousand cubic metres)","ML/Yr",IF(Instructions!$G$24="acre-feet","acre-ft/yr","")))</f>
        <v>MG/Yr</v>
      </c>
      <c r="J42" s="255">
        <v>0.01</v>
      </c>
      <c r="K42" s="229"/>
      <c r="L42" s="517"/>
      <c r="M42" s="529"/>
      <c r="N42" s="137"/>
      <c r="P42" s="374">
        <v>1</v>
      </c>
      <c r="Q42" s="17"/>
    </row>
    <row r="43" spans="1:17" s="104" customFormat="1" x14ac:dyDescent="0.25">
      <c r="A43" s="133"/>
      <c r="B43" s="136"/>
      <c r="C43" s="151" t="s">
        <v>116</v>
      </c>
      <c r="D43" s="9"/>
      <c r="E43" s="383">
        <v>6</v>
      </c>
      <c r="F43" s="9"/>
      <c r="G43" s="250">
        <v>0.5</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0"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30"/>
      <c r="N44" s="137"/>
      <c r="P44" s="39"/>
      <c r="Q44" s="17"/>
    </row>
    <row r="45" spans="1:17" s="104" customFormat="1" x14ac:dyDescent="0.25">
      <c r="A45" s="133"/>
      <c r="B45" s="136"/>
      <c r="C45" s="543" t="str">
        <f>IF(OR(G19=0,E43="n/a"),"",IF(OR(ISBLANK(G43),G43=0),"Systematic data handling errors are likely, please enter a non-zero value; otherwise grade = 5",""))</f>
        <v/>
      </c>
      <c r="D45" s="543"/>
      <c r="E45" s="543"/>
      <c r="F45" s="543"/>
      <c r="G45" s="543"/>
      <c r="H45" s="543"/>
      <c r="I45" s="543"/>
      <c r="J45" s="543"/>
      <c r="K45" s="5"/>
      <c r="L45" s="530"/>
      <c r="M45" s="530"/>
      <c r="N45" s="137"/>
      <c r="P45" s="39"/>
      <c r="Q45" s="17"/>
    </row>
    <row r="46" spans="1:17" s="104" customFormat="1" ht="2.25" customHeight="1" x14ac:dyDescent="0.25">
      <c r="A46" s="133"/>
      <c r="B46" s="136"/>
      <c r="C46" s="151"/>
      <c r="D46" s="9"/>
      <c r="E46" s="9"/>
      <c r="F46" s="9"/>
      <c r="G46" s="9"/>
      <c r="H46" s="9"/>
      <c r="I46" s="9"/>
      <c r="J46" s="4"/>
      <c r="K46" s="5"/>
      <c r="L46" s="530"/>
      <c r="M46" s="530"/>
      <c r="N46" s="137"/>
      <c r="P46" s="39"/>
      <c r="Q46" s="17"/>
    </row>
    <row r="47" spans="1:17" s="104" customFormat="1" x14ac:dyDescent="0.25">
      <c r="A47" s="133"/>
      <c r="B47" s="136"/>
      <c r="C47" s="151" t="s">
        <v>396</v>
      </c>
      <c r="D47" s="9"/>
      <c r="E47" s="303"/>
      <c r="F47" s="9"/>
      <c r="G47" s="249">
        <f>G38+G42+G43</f>
        <v>0.55199186868686889</v>
      </c>
      <c r="H47" s="9"/>
      <c r="I47" s="208" t="s">
        <v>620</v>
      </c>
      <c r="J47" s="4"/>
      <c r="K47" s="176"/>
      <c r="L47" s="530"/>
      <c r="M47" s="530"/>
      <c r="N47" s="137"/>
    </row>
    <row r="48" spans="1:17" s="104" customFormat="1" ht="2.25" customHeight="1" x14ac:dyDescent="0.25">
      <c r="A48" s="133"/>
      <c r="B48" s="136"/>
      <c r="C48" s="9"/>
      <c r="D48" s="14"/>
      <c r="E48" s="14"/>
      <c r="F48" s="14"/>
      <c r="G48" s="176"/>
      <c r="H48" s="14"/>
      <c r="I48" s="77"/>
      <c r="J48" s="5"/>
      <c r="K48" s="176"/>
      <c r="L48" s="530"/>
      <c r="M48" s="530"/>
      <c r="N48" s="137"/>
    </row>
    <row r="49" spans="1:14" s="104" customFormat="1" ht="15" customHeight="1" x14ac:dyDescent="0.25">
      <c r="A49" s="133"/>
      <c r="B49" s="136"/>
      <c r="C49" s="539" t="str">
        <f>IF(AND(G47&gt;=G35,(G47&lt;&gt;0)),"Check input values; APPARENT LOSSES should be less than WATER LOSSES","")</f>
        <v/>
      </c>
      <c r="D49" s="539"/>
      <c r="E49" s="539"/>
      <c r="F49" s="539"/>
      <c r="G49" s="539"/>
      <c r="H49" s="539"/>
      <c r="I49" s="539"/>
      <c r="J49" s="539"/>
      <c r="K49" s="176"/>
      <c r="L49" s="530"/>
      <c r="M49" s="530"/>
      <c r="N49" s="137"/>
    </row>
    <row r="50" spans="1:14" s="104" customFormat="1" ht="2.25" customHeight="1" x14ac:dyDescent="0.25">
      <c r="A50" s="133"/>
      <c r="B50" s="136"/>
      <c r="C50" s="9"/>
      <c r="D50" s="14"/>
      <c r="E50" s="364"/>
      <c r="F50" s="14"/>
      <c r="G50" s="176"/>
      <c r="H50" s="14"/>
      <c r="I50" s="77"/>
      <c r="J50" s="5"/>
      <c r="K50" s="176"/>
      <c r="L50" s="530"/>
      <c r="M50" s="530"/>
      <c r="N50" s="137"/>
    </row>
    <row r="51" spans="1:14" s="104" customFormat="1" ht="10.5" customHeight="1" x14ac:dyDescent="0.25">
      <c r="A51" s="133"/>
      <c r="B51" s="136"/>
      <c r="C51" s="182" t="s">
        <v>293</v>
      </c>
      <c r="D51" s="14"/>
      <c r="E51" s="303"/>
      <c r="F51" s="14"/>
      <c r="G51" s="209"/>
      <c r="H51" s="176"/>
      <c r="I51" s="209"/>
      <c r="J51" s="176"/>
      <c r="K51" s="176"/>
      <c r="L51" s="530"/>
      <c r="M51" s="530"/>
      <c r="N51" s="137"/>
    </row>
    <row r="52" spans="1:14" s="104" customFormat="1" x14ac:dyDescent="0.25">
      <c r="A52" s="133"/>
      <c r="B52" s="136"/>
      <c r="C52" s="151" t="s">
        <v>42</v>
      </c>
      <c r="D52" s="14"/>
      <c r="E52" s="303"/>
      <c r="F52" s="14"/>
      <c r="G52" s="249">
        <f>G19-(G30+G47)</f>
        <v>2.1694831313131306</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25">
      <c r="A53" s="133"/>
      <c r="B53" s="136"/>
      <c r="C53" s="9"/>
      <c r="D53" s="14"/>
      <c r="E53" s="303"/>
      <c r="F53" s="14"/>
      <c r="G53" s="129"/>
      <c r="H53" s="14"/>
      <c r="I53" s="13"/>
      <c r="J53" s="176"/>
      <c r="K53" s="176"/>
      <c r="L53" s="5"/>
      <c r="M53" s="4"/>
      <c r="N53" s="137"/>
    </row>
    <row r="54" spans="1:14" s="104" customFormat="1" x14ac:dyDescent="0.25">
      <c r="A54" s="133"/>
      <c r="B54" s="136"/>
      <c r="C54" s="178" t="s">
        <v>272</v>
      </c>
      <c r="D54" s="82"/>
      <c r="E54" s="303"/>
      <c r="F54" s="16"/>
      <c r="G54" s="249">
        <f>G47+G52</f>
        <v>2.7214749999999994</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136</v>
      </c>
      <c r="D57" s="14"/>
      <c r="E57" s="303"/>
      <c r="F57" s="14"/>
      <c r="G57" s="129"/>
      <c r="H57" s="14"/>
      <c r="I57" s="13"/>
      <c r="J57" s="176"/>
      <c r="K57" s="176"/>
      <c r="L57" s="5"/>
      <c r="M57" s="4"/>
      <c r="N57" s="137"/>
    </row>
    <row r="58" spans="1:14" s="104" customFormat="1" ht="13.5" customHeight="1" x14ac:dyDescent="0.25">
      <c r="A58" s="133"/>
      <c r="B58" s="136"/>
      <c r="C58" s="9" t="s">
        <v>587</v>
      </c>
      <c r="D58" s="14"/>
      <c r="E58" s="303"/>
      <c r="F58" s="14"/>
      <c r="G58" s="249">
        <f>G47+G52+G25+G26</f>
        <v>2.8419999999999992</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25">
      <c r="A59" s="133"/>
      <c r="B59" s="136"/>
      <c r="C59" s="404" t="s">
        <v>308</v>
      </c>
      <c r="D59" s="405"/>
      <c r="E59" s="405"/>
      <c r="F59" s="405"/>
      <c r="G59" s="405"/>
      <c r="H59" s="405"/>
      <c r="I59" s="405"/>
      <c r="J59" s="405"/>
      <c r="K59" s="405"/>
      <c r="L59" s="405"/>
      <c r="M59" s="405"/>
      <c r="N59" s="137"/>
    </row>
    <row r="60" spans="1:14" s="104" customFormat="1" ht="16.5" customHeight="1" x14ac:dyDescent="0.25">
      <c r="A60" s="133"/>
      <c r="B60" s="136"/>
      <c r="C60" s="3" t="s">
        <v>535</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582</v>
      </c>
      <c r="D62" s="3"/>
      <c r="E62" s="383">
        <v>8</v>
      </c>
      <c r="F62" s="3"/>
      <c r="G62" s="223">
        <v>16.510000000000002</v>
      </c>
      <c r="H62" s="186"/>
      <c r="I62" s="211" t="str">
        <f>IF(ISBLANK(Instructions!$G$24),"",IF(Instructions!$G$24="Megalitres (thousand cubic metres)","kilometers","miles"))</f>
        <v>miles</v>
      </c>
      <c r="J62" s="4"/>
      <c r="K62" s="4"/>
      <c r="L62" s="4"/>
      <c r="M62" s="4"/>
      <c r="N62" s="137"/>
    </row>
    <row r="63" spans="1:14" s="104" customFormat="1" x14ac:dyDescent="0.25">
      <c r="A63" s="133"/>
      <c r="B63" s="136"/>
      <c r="C63" s="151" t="s">
        <v>572</v>
      </c>
      <c r="D63" s="3"/>
      <c r="E63" s="383">
        <v>8</v>
      </c>
      <c r="F63" s="3"/>
      <c r="G63" s="100">
        <v>1457</v>
      </c>
      <c r="H63" s="186"/>
      <c r="I63" s="210"/>
      <c r="J63" s="4"/>
      <c r="K63" s="4"/>
      <c r="L63" s="4"/>
      <c r="M63" s="4"/>
      <c r="N63" s="137"/>
    </row>
    <row r="64" spans="1:14" s="104" customFormat="1" x14ac:dyDescent="0.25">
      <c r="A64" s="133"/>
      <c r="B64" s="136"/>
      <c r="C64" s="151" t="s">
        <v>536</v>
      </c>
      <c r="D64" s="3"/>
      <c r="E64" s="386"/>
      <c r="F64" s="3"/>
      <c r="G64" s="117">
        <f>IF(ISERROR(G63/G62),"",G63/G62)</f>
        <v>88.249545729860685</v>
      </c>
      <c r="H64" s="4"/>
      <c r="I64" s="211" t="str">
        <f>IF(ISBLANK(Instructions!$G$24),"",IF(Instructions!$G$24="Megalitres (thousand cubic metres)","conn./km","conn./mile")&amp; " main")</f>
        <v>conn./mile main</v>
      </c>
      <c r="J64" s="176"/>
      <c r="K64" s="176"/>
      <c r="L64" s="4"/>
      <c r="M64" s="4"/>
      <c r="N64" s="137"/>
    </row>
    <row r="65" spans="1:16" s="104" customFormat="1" ht="13.5" customHeight="1" x14ac:dyDescent="0.25">
      <c r="A65" s="133"/>
      <c r="B65" s="136"/>
      <c r="C65" s="407" t="s">
        <v>43</v>
      </c>
      <c r="D65" s="3"/>
      <c r="E65" s="383">
        <v>6</v>
      </c>
      <c r="F65" s="3"/>
      <c r="G65" s="223">
        <v>25</v>
      </c>
      <c r="H65" s="3"/>
      <c r="I65" s="211" t="str">
        <f>IF(ISBLANK(Instructions!$G$24),"",IF(Instructions!G24="Megalitres (thousand cubic metres)","metres","ft"))</f>
        <v>ft</v>
      </c>
      <c r="J65" s="541"/>
      <c r="K65" s="542"/>
      <c r="L65" s="542"/>
      <c r="M65" s="542"/>
      <c r="N65" s="137"/>
    </row>
    <row r="66" spans="1:16" s="104" customFormat="1" x14ac:dyDescent="0.25">
      <c r="A66" s="133"/>
      <c r="B66" s="136"/>
      <c r="C66" s="4"/>
      <c r="D66" s="3"/>
      <c r="E66" s="386"/>
      <c r="F66" s="3"/>
      <c r="G66" s="38"/>
      <c r="H66" s="3"/>
      <c r="I66" s="4"/>
      <c r="J66" s="542"/>
      <c r="K66" s="542"/>
      <c r="L66" s="542"/>
      <c r="M66" s="542"/>
      <c r="N66" s="137"/>
    </row>
    <row r="67" spans="1:16" s="104" customFormat="1" x14ac:dyDescent="0.25">
      <c r="A67" s="133"/>
      <c r="B67" s="136"/>
      <c r="C67" s="151" t="s">
        <v>583</v>
      </c>
      <c r="D67" s="3"/>
      <c r="E67" s="383">
        <v>6</v>
      </c>
      <c r="F67" s="3"/>
      <c r="G67" s="223">
        <v>110</v>
      </c>
      <c r="H67" s="187"/>
      <c r="I67" s="211" t="str">
        <f>IF(ISBLANK(Instructions!$G$24),"",IF(Instructions!G24="Megalitres (thousand cubic metres)","metres (head)","psi"))</f>
        <v>psi</v>
      </c>
      <c r="J67" s="4"/>
      <c r="K67" s="180"/>
      <c r="L67" s="4"/>
      <c r="M67" s="4"/>
      <c r="N67" s="137"/>
    </row>
    <row r="68" spans="1:16" s="104" customFormat="1" ht="3" customHeight="1" x14ac:dyDescent="0.25">
      <c r="A68" s="133"/>
      <c r="B68" s="136"/>
      <c r="C68" s="151"/>
      <c r="D68" s="3"/>
      <c r="E68" s="3"/>
      <c r="F68" s="3"/>
      <c r="G68" s="3"/>
      <c r="H68" s="3"/>
      <c r="I68" s="211"/>
      <c r="J68" s="4"/>
      <c r="K68" s="180"/>
      <c r="L68" s="4"/>
      <c r="M68" s="4"/>
      <c r="N68" s="137"/>
    </row>
    <row r="69" spans="1:16" s="104" customFormat="1" x14ac:dyDescent="0.25">
      <c r="A69" s="133"/>
      <c r="B69" s="136"/>
      <c r="C69" s="515" t="str">
        <f>IF(ISBLANK(G67),"",IF(OR(AND(P69=1,G67&lt;=25),AND(P69&lt;&gt;1,G67&lt;=40)),"Note: Average pressure this low will not allow for calculation of UARL",""))</f>
        <v/>
      </c>
      <c r="D69" s="515"/>
      <c r="E69" s="515"/>
      <c r="F69" s="515"/>
      <c r="G69" s="515"/>
      <c r="H69" s="515"/>
      <c r="I69" s="515"/>
      <c r="J69" s="515"/>
      <c r="K69" s="327"/>
      <c r="L69" s="4"/>
      <c r="M69" s="4"/>
      <c r="N69" s="137"/>
      <c r="P69" s="104">
        <f>IF(Instructions!G24="Megalitres (thousand cubic metres)",1,0)</f>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331</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584</v>
      </c>
      <c r="D74" s="9"/>
      <c r="E74" s="383">
        <v>6</v>
      </c>
      <c r="F74" s="4"/>
      <c r="G74" s="365">
        <v>38286</v>
      </c>
      <c r="H74" s="4"/>
      <c r="I74" s="211" t="s">
        <v>339</v>
      </c>
      <c r="J74" s="4"/>
      <c r="K74" s="4"/>
      <c r="L74" s="4"/>
      <c r="M74" s="4"/>
      <c r="N74" s="137"/>
    </row>
    <row r="75" spans="1:16" s="104" customFormat="1" ht="14.25" customHeight="1" x14ac:dyDescent="0.25">
      <c r="A75" s="133"/>
      <c r="B75" s="136"/>
      <c r="C75" s="188" t="s">
        <v>307</v>
      </c>
      <c r="D75" s="9"/>
      <c r="E75" s="383">
        <v>5</v>
      </c>
      <c r="F75" s="4"/>
      <c r="G75" s="366">
        <v>13.98</v>
      </c>
      <c r="H75" s="4"/>
      <c r="I75" s="544" t="s">
        <v>586</v>
      </c>
      <c r="J75" s="545"/>
      <c r="K75" s="546"/>
      <c r="L75" s="531" t="str">
        <f>IF(AND(NOT(ISBLANK(G75)),ISBLANK(I75)),"&lt;--Enter units","")</f>
        <v/>
      </c>
      <c r="M75" s="532"/>
      <c r="N75" s="137"/>
    </row>
    <row r="76" spans="1:16" s="104" customFormat="1" ht="13.5" customHeight="1" x14ac:dyDescent="0.25">
      <c r="A76" s="133"/>
      <c r="B76" s="136"/>
      <c r="C76" s="188" t="s">
        <v>540</v>
      </c>
      <c r="D76" s="9"/>
      <c r="E76" s="383">
        <v>7</v>
      </c>
      <c r="F76" s="4"/>
      <c r="G76" s="366">
        <v>520</v>
      </c>
      <c r="H76" s="4"/>
      <c r="I76" s="208" t="str">
        <f>"$/"&amp;IF(Instructions!$G$24="million gallons (US)","Million gallons",IF(Instructions!$G$24="Megalitres (thousand cubic metres)","Megalitre",IF(Instructions!$G$24="acre-feet","acre-ft","")))</f>
        <v>$/Million gallons</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40" t="str">
        <f>IF(OR(ISBLANK(I75),ISBLANK(I76),ISBLANK(G76)),"",IF(G75*INDEX(Sheet1!B2:D4,MATCH(Instructions!G24,Sheet1!A2:A4,0),MATCH(I75,Sheet1!B1:D1,0))/G76&gt;1,"","Retail costs are less than (or equal to) production costs; please review and correct if necessary"))</f>
        <v/>
      </c>
      <c r="D78" s="540"/>
      <c r="E78" s="540"/>
      <c r="F78" s="540"/>
      <c r="G78" s="540"/>
      <c r="H78" s="540"/>
      <c r="I78" s="540"/>
      <c r="J78" s="540"/>
      <c r="K78" s="540"/>
      <c r="L78" s="540"/>
      <c r="M78" s="4"/>
      <c r="N78" s="137"/>
      <c r="P78" s="104">
        <f>IF(OR(ISBLANK(I75),ISBLANK(I76),ISBLANK(G76)),"",IF(G75*INDEX(Sheet1!B2:D4,MATCH(Instructions!G24,Sheet1!A2:A4,0),MATCH(I75,Sheet1!B1:D1,0))/G76&gt;1,0,1))</f>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335</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336</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256</v>
      </c>
      <c r="H84" s="4"/>
      <c r="I84" s="79">
        <f>IF(ISERROR(1/G19),"",(G25+G26+G47+G52)/G19)</f>
        <v>0.41057497832996243</v>
      </c>
      <c r="J84" s="210"/>
      <c r="K84" s="210"/>
      <c r="L84" s="4"/>
      <c r="M84" s="4"/>
      <c r="N84" s="137"/>
    </row>
    <row r="85" spans="1:14" s="104" customFormat="1" ht="13.5" customHeight="1" x14ac:dyDescent="0.25">
      <c r="A85" s="133"/>
      <c r="B85" s="136"/>
      <c r="C85" s="176"/>
      <c r="D85" s="3"/>
      <c r="E85" s="295"/>
      <c r="F85" s="3"/>
      <c r="G85" s="151" t="s">
        <v>255</v>
      </c>
      <c r="H85" s="4"/>
      <c r="I85" s="79">
        <f>IF(ISERROR(1/G74),"",(((G25+G26+G52)*G76)+(G47*G75*INDEX(Sheet1!B2:D4,MATCH(Instructions!G24,Sheet1!A2:A4,0),MATCH(I75,Sheet1!B1:D1,0))))/G74)</f>
        <v>0.2326607781571659</v>
      </c>
      <c r="J85" s="210"/>
      <c r="K85" s="210"/>
      <c r="L85" s="4"/>
      <c r="M85" s="4"/>
      <c r="N85" s="137"/>
    </row>
    <row r="86" spans="1:14" s="104" customFormat="1" ht="13.5" customHeight="1" x14ac:dyDescent="0.25">
      <c r="A86" s="133"/>
      <c r="B86" s="136"/>
      <c r="C86" s="176"/>
      <c r="D86" s="3"/>
      <c r="E86" s="295"/>
      <c r="F86" s="3"/>
      <c r="G86" s="151" t="s">
        <v>541</v>
      </c>
      <c r="H86" s="4"/>
      <c r="I86" s="119">
        <f>IF(ISBLANK(I75),"",(G47*G75)*INDEX(Sheet1!B2:D4,MATCH(Instructions!G24,Sheet1!A2:A4,0),MATCH('Reporting Worksheet'!I75:J75,Sheet1!B1:D1,0)))</f>
        <v>7716.8463242424268</v>
      </c>
      <c r="J86" s="210"/>
      <c r="K86" s="210"/>
      <c r="L86" s="4"/>
      <c r="M86" s="4"/>
      <c r="N86" s="137"/>
    </row>
    <row r="87" spans="1:14" s="104" customFormat="1" ht="13.5" customHeight="1" x14ac:dyDescent="0.25">
      <c r="A87" s="133"/>
      <c r="B87" s="136"/>
      <c r="C87" s="176"/>
      <c r="D87" s="3"/>
      <c r="E87" s="295"/>
      <c r="F87" s="3"/>
      <c r="G87" s="151" t="s">
        <v>280</v>
      </c>
      <c r="H87" s="4"/>
      <c r="I87" s="119">
        <f>IF(ISBLANK(G76),"",G52*G76)</f>
        <v>1128.131228282828</v>
      </c>
      <c r="J87" s="210"/>
      <c r="K87" s="210"/>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337</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393</v>
      </c>
      <c r="H91" s="4"/>
      <c r="I91" s="37">
        <f>IF(ISERROR(1/G63),"",IF(Instructions!$G$24="Acre-feet",G47*325851/1000000,G47)*1000000/365/G63)</f>
        <v>1.0379591554928385</v>
      </c>
      <c r="J91" s="211" t="str">
        <f>IF(ISBLANK(Instructions!$G$24),"",IF(Instructions!$G$24="Megalitres (thousand cubic metres)","litres","gallons")&amp;"/connection/day")</f>
        <v>gallons/connection/day</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394</v>
      </c>
      <c r="H93" s="4"/>
      <c r="I93" s="406">
        <f>IF(ISERROR(1/G63),"",IF(Instructions!$G$24="Megalitres (thousand cubic metres)",IF(G64&gt;20,G52*1000000/365/G63,"N/A"),IF(G64&gt;32,IF(Instructions!$G$24="Million gallons (US)",G52*1000000,G52*325851)/365/G63,"N/A")))</f>
        <v>4.0794711055991026</v>
      </c>
      <c r="J93" s="211" t="str">
        <f>IF(ISBLANK(Instructions!$G$24),"",IF(Instructions!$G$24="Megalitres (thousand cubic metres)","litres","gallons")&amp;"/connection/day")</f>
        <v>gallons/connection/day</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395</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3.708610095999184E-2</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338</v>
      </c>
      <c r="H99" s="4"/>
      <c r="I99" s="477" t="str">
        <f>IF(ISBLANK(Instructions!$G$24),"",IF(Instructions!$G$24="Megalitres (thousand cubic metres)",IF(AND(G67&gt;=25,G62*20+G63&gt;3000),(((18*G62)+(0.8*G63)+(25*(G63*G65/1000)))*G67/1000000)*365,"Not valid"),IF(AND(G67&gt;=35,G62*32+G63&gt;3000),(((5.41*G62)+(0.15*G63)+(7.5*(G63*G65/5280)))*G67)/IF(Instructions!$G$24="Million gallons (US)",1000000,325851.427242)*365,"Not Valid")))</f>
        <v>Not Valid</v>
      </c>
      <c r="J99" s="211" t="str">
        <f>IF(OR(ISBLANK(Instructions!$G$24),I99="Not Valid"),"",IF(Instructions!$G$24="Megalitres (thousand cubic metres)","ML",IF(Instructions!$G$24="Acre-feet", "acre-feet","million gallons"))&amp;"/year")</f>
        <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547" t="str">
        <f>IF(I99="Not Valid","*** UARL cannot be calculated as either average pressure, number of connecions or length of mains is too small: SEE UARL DEFINITION ***","")</f>
        <v>*** UARL cannot be calculated as either average pressure, number of connecions or length of mains is too small: SEE UARL DEFINITION ***</v>
      </c>
      <c r="D101" s="548"/>
      <c r="E101" s="548"/>
      <c r="F101" s="548"/>
      <c r="G101" s="548"/>
      <c r="H101" s="548"/>
      <c r="I101" s="548"/>
      <c r="J101" s="548"/>
      <c r="K101" s="548"/>
      <c r="L101" s="548"/>
      <c r="M101" s="548"/>
      <c r="N101" s="137"/>
    </row>
    <row r="102" spans="1:16" s="104" customFormat="1" ht="2.25" customHeight="1" x14ac:dyDescent="0.25">
      <c r="A102" s="133"/>
      <c r="B102" s="136"/>
      <c r="C102" s="387"/>
      <c r="D102" s="387"/>
      <c r="E102" s="387"/>
      <c r="F102" s="387"/>
      <c r="G102" s="387"/>
      <c r="H102" s="387"/>
      <c r="I102" s="387"/>
      <c r="J102" s="387"/>
      <c r="K102" s="387"/>
      <c r="L102" s="387"/>
      <c r="M102" s="387"/>
      <c r="N102" s="137"/>
    </row>
    <row r="103" spans="1:16" s="104" customFormat="1" ht="13.5" customHeight="1" x14ac:dyDescent="0.25">
      <c r="A103" s="133"/>
      <c r="B103" s="136"/>
      <c r="C103" s="455"/>
      <c r="D103" s="455"/>
      <c r="E103" s="455"/>
      <c r="F103" s="455"/>
      <c r="G103" s="456" t="s">
        <v>295</v>
      </c>
      <c r="H103" s="454"/>
      <c r="I103" s="116">
        <f>IF(ISBLANK(Instructions!$G$24),"",G52)</f>
        <v>2.1694831313131306</v>
      </c>
      <c r="J103" s="455" t="str">
        <f>IF(OR(ISBLANK(Instructions!$G$24),I99="Not Valid"),"",IF(Instructions!$G$24="Megalitres (thousand cubic metres)","ML",IF(Instructions!$G$24="Acre-feet", "acre-feet","million gallons"))&amp;"/year")</f>
        <v/>
      </c>
      <c r="K103" s="454"/>
      <c r="L103" s="454"/>
      <c r="M103" s="454"/>
      <c r="N103" s="137"/>
    </row>
    <row r="104" spans="1:16" s="104" customFormat="1" ht="8.25" customHeight="1" x14ac:dyDescent="0.25">
      <c r="A104" s="133"/>
      <c r="B104" s="136"/>
      <c r="C104" s="387"/>
      <c r="D104" s="387"/>
      <c r="E104" s="387"/>
      <c r="F104" s="387"/>
      <c r="G104" s="387"/>
      <c r="H104" s="387"/>
      <c r="I104" s="387"/>
      <c r="J104" s="387"/>
      <c r="K104" s="387"/>
      <c r="L104" s="387"/>
      <c r="M104" s="387"/>
      <c r="N104" s="137"/>
    </row>
    <row r="105" spans="1:16" s="104" customFormat="1" ht="13.5" customHeight="1" x14ac:dyDescent="0.25">
      <c r="A105" s="133"/>
      <c r="B105" s="136"/>
      <c r="C105" s="538" t="s">
        <v>294</v>
      </c>
      <c r="D105" s="538"/>
      <c r="E105" s="538"/>
      <c r="F105" s="538"/>
      <c r="G105" s="538"/>
      <c r="H105" s="80"/>
      <c r="I105" s="247" t="str">
        <f>IF(ISERROR(1/I99),"",I103/I99)</f>
        <v/>
      </c>
      <c r="J105" s="210"/>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570</v>
      </c>
      <c r="D107" s="206"/>
      <c r="E107" s="306"/>
      <c r="F107" s="206"/>
      <c r="G107" s="206"/>
      <c r="H107" s="4"/>
      <c r="I107" s="4"/>
      <c r="J107" s="4"/>
      <c r="K107" s="192"/>
      <c r="L107" s="4"/>
      <c r="M107" s="4"/>
      <c r="N107" s="137"/>
    </row>
    <row r="108" spans="1:16" s="338" customFormat="1" ht="21" customHeight="1" x14ac:dyDescent="0.25">
      <c r="A108" s="334"/>
      <c r="B108" s="136"/>
      <c r="C108" s="335" t="s">
        <v>231</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5" t="str">
        <f>IF(GradingAssessment!M22&lt;=0,"*** YOUR SCORE IS: "&amp;ROUND(GradingAssessment!G22,0)&amp;" out of 100 ***",IF(GradingAssessment!M22&gt;0,"Add a grading value for "&amp;GradingAssessment!M22&amp;" parameter(s) to enable an audit score to be calculated"))</f>
        <v>*** YOUR SCORE IS: 69 out of 100 ***</v>
      </c>
      <c r="D110" s="536"/>
      <c r="E110" s="536"/>
      <c r="F110" s="536"/>
      <c r="G110" s="536"/>
      <c r="H110" s="536"/>
      <c r="I110" s="536"/>
      <c r="J110" s="536"/>
      <c r="K110" s="536"/>
      <c r="L110" s="536"/>
      <c r="M110" s="537"/>
      <c r="N110" s="328"/>
      <c r="P110" s="377">
        <f>GradingAssessment!M22</f>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51"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51"/>
      <c r="E112" s="551"/>
      <c r="F112" s="551"/>
      <c r="G112" s="551"/>
      <c r="H112" s="551"/>
      <c r="I112" s="551"/>
      <c r="J112" s="551"/>
      <c r="K112" s="551"/>
      <c r="L112" s="551"/>
      <c r="M112" s="551"/>
      <c r="N112" s="328"/>
      <c r="P112" s="377"/>
    </row>
    <row r="113" spans="1:14" s="104" customFormat="1" ht="21.75" customHeight="1" x14ac:dyDescent="0.25">
      <c r="A113" s="133"/>
      <c r="B113" s="136"/>
      <c r="C113" s="408" t="s">
        <v>591</v>
      </c>
      <c r="D113" s="549"/>
      <c r="E113" s="550"/>
      <c r="F113" s="550"/>
      <c r="G113" s="550"/>
      <c r="H113" s="550"/>
      <c r="I113" s="550"/>
      <c r="J113" s="550"/>
      <c r="K113" s="550"/>
      <c r="L113" s="550"/>
      <c r="M113" s="550"/>
      <c r="N113" s="137"/>
    </row>
    <row r="114" spans="1:14" s="104" customFormat="1" ht="19.5" customHeight="1" x14ac:dyDescent="0.25">
      <c r="A114" s="133"/>
      <c r="B114" s="136"/>
      <c r="C114" s="533" t="s">
        <v>230</v>
      </c>
      <c r="D114" s="534"/>
      <c r="E114" s="534"/>
      <c r="F114" s="534"/>
      <c r="G114" s="534"/>
      <c r="H114" s="534"/>
      <c r="I114" s="534"/>
      <c r="J114" s="534"/>
      <c r="K114" s="534"/>
      <c r="L114" s="534"/>
      <c r="M114" s="534"/>
      <c r="N114" s="137"/>
    </row>
    <row r="115" spans="1:14" s="104" customFormat="1" ht="15" customHeight="1" x14ac:dyDescent="0.25">
      <c r="A115" s="133"/>
      <c r="B115" s="136"/>
      <c r="C115" s="409" t="str">
        <f ca="1">"     1: "&amp;VLOOKUP(1,GradingAssessment!$I$4:$J$21,2,FALSE)</f>
        <v xml:space="preserve">     1: Volume from own sources</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09" t="str">
        <f ca="1">"     2: "&amp;VLOOKUP(2,GradingAssessment!$I$4:$J$21,2,FALSE)</f>
        <v xml:space="preserve">     2: Unbilled metered</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09" t="str">
        <f ca="1">"     3: "&amp;VLOOKUP(3,GradingAssessment!$I$4:$J$21,2,FALSE)</f>
        <v xml:space="preserve">     3: Customer retail unit cost (applied to Apparent Losses)</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mergeCells count="27">
    <mergeCell ref="C78:L78"/>
    <mergeCell ref="J65:M66"/>
    <mergeCell ref="C45:J45"/>
    <mergeCell ref="I75:K75"/>
    <mergeCell ref="C101:M101"/>
    <mergeCell ref="D113:M113"/>
    <mergeCell ref="C112:M112"/>
    <mergeCell ref="L42:M42"/>
    <mergeCell ref="L44:M51"/>
    <mergeCell ref="L75:M75"/>
    <mergeCell ref="L38:M38"/>
    <mergeCell ref="C114:M114"/>
    <mergeCell ref="C110:M110"/>
    <mergeCell ref="C105:G105"/>
    <mergeCell ref="C40:J40"/>
    <mergeCell ref="C49:J49"/>
    <mergeCell ref="C69:J69"/>
    <mergeCell ref="C28:J28"/>
    <mergeCell ref="K35:K36"/>
    <mergeCell ref="L26:M26"/>
    <mergeCell ref="B2:J2"/>
    <mergeCell ref="C7:M8"/>
    <mergeCell ref="D5:E5"/>
    <mergeCell ref="I15:J15"/>
    <mergeCell ref="G5:H5"/>
    <mergeCell ref="D12:I12"/>
    <mergeCell ref="K15:M15"/>
  </mergeCells>
  <phoneticPr fontId="0" type="noConversion"/>
  <conditionalFormatting sqref="C9:M9">
    <cfRule type="expression" dxfId="156" priority="1" stopIfTrue="1">
      <formula>E14=""=TRUE</formula>
    </cfRule>
  </conditionalFormatting>
  <conditionalFormatting sqref="C32">
    <cfRule type="expression" dxfId="155" priority="2" stopIfTrue="1">
      <formula>AND(G30&gt;=G19,(G30&lt;&gt;0))</formula>
    </cfRule>
  </conditionalFormatting>
  <conditionalFormatting sqref="D32">
    <cfRule type="expression" dxfId="154" priority="3" stopIfTrue="1">
      <formula>AND(G30&gt;=G19,(G30&lt;&gt;0))</formula>
    </cfRule>
  </conditionalFormatting>
  <conditionalFormatting sqref="F32">
    <cfRule type="expression" dxfId="153" priority="4" stopIfTrue="1">
      <formula>AND(G30&gt;=G19,(G30&lt;&gt;0))</formula>
    </cfRule>
  </conditionalFormatting>
  <conditionalFormatting sqref="G32">
    <cfRule type="expression" dxfId="152" priority="5" stopIfTrue="1">
      <formula>AND(G30&gt;=G19,(G30&lt;&gt;0))</formula>
    </cfRule>
  </conditionalFormatting>
  <conditionalFormatting sqref="H32">
    <cfRule type="expression" dxfId="151" priority="6" stopIfTrue="1">
      <formula>AND(G30&gt;=G19,(G30&lt;&gt;0))</formula>
    </cfRule>
  </conditionalFormatting>
  <conditionalFormatting sqref="J32">
    <cfRule type="expression" dxfId="150" priority="7" stopIfTrue="1">
      <formula>AND(G30&gt;=G19,(G30&lt;&gt;0))</formula>
    </cfRule>
  </conditionalFormatting>
  <conditionalFormatting sqref="I32">
    <cfRule type="expression" dxfId="149" priority="8" stopIfTrue="1">
      <formula>AND(G30&gt;=G19,(G30&lt;&gt;0))</formula>
    </cfRule>
  </conditionalFormatting>
  <conditionalFormatting sqref="E32">
    <cfRule type="expression" dxfId="148" priority="9" stopIfTrue="1">
      <formula>AND(G30&gt;=G19,(G30&lt;&gt;0))</formula>
    </cfRule>
  </conditionalFormatting>
  <conditionalFormatting sqref="F111">
    <cfRule type="expression" dxfId="147" priority="10" stopIfTrue="1">
      <formula>"B106=0"</formula>
    </cfRule>
  </conditionalFormatting>
  <conditionalFormatting sqref="A110:A112 N110:IV112 D111 G111:M111">
    <cfRule type="expression" dxfId="146" priority="11" stopIfTrue="1">
      <formula>"M22=0"</formula>
    </cfRule>
  </conditionalFormatting>
  <conditionalFormatting sqref="G35 G42 G38 G30 G23:G26">
    <cfRule type="cellIs" dxfId="145" priority="12" stopIfTrue="1" operator="greaterThan">
      <formula>$G$19</formula>
    </cfRule>
  </conditionalFormatting>
  <conditionalFormatting sqref="G47">
    <cfRule type="cellIs" dxfId="144" priority="13" stopIfTrue="1" operator="greaterThan">
      <formula>$G$35</formula>
    </cfRule>
  </conditionalFormatting>
  <conditionalFormatting sqref="L38">
    <cfRule type="expression" dxfId="143" priority="14" stopIfTrue="1">
      <formula>$P$38=1</formula>
    </cfRule>
  </conditionalFormatting>
  <conditionalFormatting sqref="L42:M42">
    <cfRule type="expression" dxfId="142" priority="15" stopIfTrue="1">
      <formula>$P$42=1</formula>
    </cfRule>
  </conditionalFormatting>
  <conditionalFormatting sqref="J38">
    <cfRule type="expression" dxfId="141" priority="16" stopIfTrue="1">
      <formula>$P$38=2</formula>
    </cfRule>
  </conditionalFormatting>
  <conditionalFormatting sqref="G41">
    <cfRule type="expression" dxfId="140" priority="17" stopIfTrue="1">
      <formula>$P$38=2</formula>
    </cfRule>
  </conditionalFormatting>
  <conditionalFormatting sqref="F29">
    <cfRule type="expression" dxfId="139" priority="18" stopIfTrue="1">
      <formula>$P$26=2</formula>
    </cfRule>
  </conditionalFormatting>
  <conditionalFormatting sqref="L26">
    <cfRule type="expression" dxfId="138" priority="19" stopIfTrue="1">
      <formula>$P$26=1</formula>
    </cfRule>
  </conditionalFormatting>
  <conditionalFormatting sqref="J26">
    <cfRule type="expression" dxfId="137" priority="20" stopIfTrue="1">
      <formula>$P$26=2</formula>
    </cfRule>
  </conditionalFormatting>
  <conditionalFormatting sqref="C49:J49">
    <cfRule type="expression" dxfId="136" priority="21" stopIfTrue="1">
      <formula>AND($G$47&gt;=$G$35,($G$47&lt;&gt;0))</formula>
    </cfRule>
  </conditionalFormatting>
  <conditionalFormatting sqref="C69:J69">
    <cfRule type="expression" dxfId="135" priority="22" stopIfTrue="1">
      <formula>OR(AND(NOT(ISBLANK($G$67)),$P$69=1,$G$67&lt;=25),AND(NOT(ISBLANK($G$67)),$P$69&lt;&gt;1,$G$67&lt;=40))</formula>
    </cfRule>
  </conditionalFormatting>
  <conditionalFormatting sqref="C78:L78">
    <cfRule type="expression" dxfId="134" priority="23" stopIfTrue="1">
      <formula>$P$78=1</formula>
    </cfRule>
  </conditionalFormatting>
  <conditionalFormatting sqref="C28:J28">
    <cfRule type="expression" dxfId="133" priority="24" stopIfTrue="1">
      <formula>AND($P$26=2,$L$26&gt;0.125*$G$19)</formula>
    </cfRule>
    <cfRule type="expression" dxfId="132" priority="25" stopIfTrue="1">
      <formula>$P$26=1</formula>
    </cfRule>
    <cfRule type="expression" dxfId="131" priority="26" stopIfTrue="1">
      <formula>AND($P$26=2,$L$26=0)</formula>
    </cfRule>
  </conditionalFormatting>
  <conditionalFormatting sqref="C40:J40">
    <cfRule type="expression" dxfId="130" priority="27" stopIfTrue="1">
      <formula>AND($P$38=2,$L$38&gt;0.025*$G$19)</formula>
    </cfRule>
    <cfRule type="expression" dxfId="129" priority="28" stopIfTrue="1">
      <formula>$P$38=1</formula>
    </cfRule>
    <cfRule type="expression" dxfId="128" priority="29" stopIfTrue="1">
      <formula>AND($P$38=2,$L$38=0)</formula>
    </cfRule>
  </conditionalFormatting>
  <conditionalFormatting sqref="L75:M75">
    <cfRule type="expression" dxfId="127" priority="30" stopIfTrue="1">
      <formula>AND(NOT(ISBLANK($G$75)),ISBLANK($I$75))</formula>
    </cfRule>
  </conditionalFormatting>
  <conditionalFormatting sqref="C101:M101">
    <cfRule type="expression" dxfId="126" priority="31" stopIfTrue="1">
      <formula>$I$99="Not Valid"</formula>
    </cfRule>
  </conditionalFormatting>
  <conditionalFormatting sqref="E26">
    <cfRule type="expression" dxfId="125" priority="32" stopIfTrue="1">
      <formula>P26=1</formula>
    </cfRule>
    <cfRule type="expression" dxfId="124" priority="33" stopIfTrue="1">
      <formula>AND(P26=2,ISBLANK(L26))</formula>
    </cfRule>
  </conditionalFormatting>
  <conditionalFormatting sqref="J42">
    <cfRule type="expression" dxfId="123" priority="34" stopIfTrue="1">
      <formula>$P$42=2</formula>
    </cfRule>
    <cfRule type="expression" dxfId="122" priority="35" stopIfTrue="1">
      <formula>AND($P$42=1,ISBLANK(J42))</formula>
    </cfRule>
  </conditionalFormatting>
  <conditionalFormatting sqref="L44:M51">
    <cfRule type="expression" dxfId="121" priority="36" stopIfTrue="1">
      <formula>AND($P$42=1,ISBLANK($J$42))</formula>
    </cfRule>
  </conditionalFormatting>
  <conditionalFormatting sqref="K15:M15">
    <cfRule type="expression" dxfId="120" priority="37" stopIfTrue="1">
      <formula>AND(NOT(ISBLANK($G$15)),$G$15&gt;0,ISBLANK($I$15))</formula>
    </cfRule>
  </conditionalFormatting>
  <conditionalFormatting sqref="I15:J15">
    <cfRule type="expression" dxfId="119" priority="38" stopIfTrue="1">
      <formula>AND(NOT(ISBLANK(G15)),G15&gt;0,ISBLANK(I15))</formula>
    </cfRule>
  </conditionalFormatting>
  <conditionalFormatting sqref="E38">
    <cfRule type="expression" dxfId="118" priority="39" stopIfTrue="1">
      <formula>P38=1</formula>
    </cfRule>
    <cfRule type="expression" dxfId="117" priority="40" stopIfTrue="1">
      <formula>AND($P$38=2,$L$38=0)</formula>
    </cfRule>
  </conditionalFormatting>
  <conditionalFormatting sqref="E43">
    <cfRule type="expression" dxfId="116" priority="41" stopIfTrue="1">
      <formula>AND($G$43=0,$G$43&lt;&gt;"")</formula>
    </cfRule>
  </conditionalFormatting>
  <conditionalFormatting sqref="C45:J45">
    <cfRule type="expression" dxfId="115"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EEDF0C52-E74C-486B-B9D1-2CEA4687CA4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E3467E6E-D9DD-4CDE-B963-EDD025DAD5BC}">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3B78D6A4-056B-4F21-84CD-BD793C2558DB}">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E041E58B-CACF-4C14-962A-A03F923BD438}">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92E46D1B-623D-4FB4-831A-F2AE65BBF3C0}">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2761BFED-C669-40BE-B968-B53B44387430}">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62B8A2B6-B2D2-4880-B49A-4A0235ED5BAD}">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03F872D6-8097-4687-AE13-8B59060868B9}">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1CA77CA1-EBD0-468A-9906-B0B920312B8A}">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9BAEE3A1-BC2C-480F-9C37-92935E455334}">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641C6C8D-CE75-4A19-8326-B8A9B385892A}">
      <formula1>0</formula1>
    </dataValidation>
    <dataValidation type="decimal" operator="greaterThan" allowBlank="1" showErrorMessage="1" errorTitle="Data Validation" error="Enter a numerical value" promptTitle="Data Validation" prompt="Enter a numerical value greater than or equal to zero" sqref="G43" xr:uid="{C743289C-AAD6-41DD-A100-F828E2C74BC9}">
      <formula1>-1E+25</formula1>
    </dataValidation>
    <dataValidation type="decimal" errorStyle="warning" operator="lessThanOrEqual" allowBlank="1" showErrorMessage="1" errorTitle="Customer Service Lines" error="The value you entered is greater than an assumed maximum reasonable value." sqref="G65" xr:uid="{F564F152-BBC0-4C12-AA0B-0BD2B05B9F7B}">
      <formula1>100</formula1>
    </dataValidation>
    <dataValidation type="decimal" errorStyle="warning" operator="lessThanOrEqual" allowBlank="1" showErrorMessage="1" errorTitle="Average Operating Pressure" error="The value you entered is greater than an assumed maximum reasonable value." sqref="G67" xr:uid="{953D4518-DE66-413E-90DC-8F4D7934DC66}">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416" r:id="rId4" name="Group Box 200">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9417" r:id="rId5" name="Option Button 201">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9418" r:id="rId6" name="Option Button 202">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9399" r:id="rId10" name="Group Box 183">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9401" r:id="rId11" name="Option Button 185">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9402" r:id="rId12" name="Option Button 186">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7E3D-3473-4183-A2A7-542A34D3D926}">
  <sheetPr codeName="Sheet6">
    <tabColor indexed="48"/>
  </sheetPr>
  <dimension ref="B1:H1005"/>
  <sheetViews>
    <sheetView showGridLines="0" showRowColHeaders="0" zoomScaleNormal="100" workbookViewId="0">
      <selection activeCell="B2" sqref="B2:E3"/>
    </sheetView>
  </sheetViews>
  <sheetFormatPr defaultRowHeight="13.5" x14ac:dyDescent="0.25"/>
  <cols>
    <col min="1" max="1" width="0.85546875" style="104" customWidth="1"/>
    <col min="2" max="2" width="18.5703125" style="104" customWidth="1"/>
    <col min="3" max="3" width="17.140625" style="104" customWidth="1"/>
    <col min="4" max="4" width="17.42578125" style="104" customWidth="1"/>
    <col min="5" max="5" width="33.28515625" style="104" customWidth="1"/>
    <col min="6" max="6" width="39.140625" style="104" customWidth="1"/>
    <col min="7" max="7" width="18.42578125" style="104" customWidth="1"/>
    <col min="8" max="8" width="3.140625" style="104" customWidth="1"/>
    <col min="9" max="16384" width="9.140625" style="104"/>
  </cols>
  <sheetData>
    <row r="1" spans="2:8" ht="3.75" customHeight="1" thickBot="1" x14ac:dyDescent="0.3"/>
    <row r="2" spans="2:8" ht="15" customHeight="1" thickTop="1" x14ac:dyDescent="0.3">
      <c r="B2" s="554" t="s">
        <v>142</v>
      </c>
      <c r="C2" s="555"/>
      <c r="D2" s="556"/>
      <c r="E2" s="557"/>
      <c r="F2" s="105" t="s">
        <v>537</v>
      </c>
      <c r="G2" s="106" t="s">
        <v>538</v>
      </c>
      <c r="H2" s="107"/>
    </row>
    <row r="3" spans="2:8" ht="21" customHeight="1" thickBot="1" x14ac:dyDescent="0.35">
      <c r="B3" s="558"/>
      <c r="C3" s="559"/>
      <c r="D3" s="559"/>
      <c r="E3" s="560"/>
      <c r="F3" s="212" t="str">
        <f>IF(ISBLANK(Instructions!D18),"",Instructions!D18)</f>
        <v>Aqua-PA: East Point PWSID # 3061153</v>
      </c>
      <c r="G3" s="213">
        <f>IF(ISBLANK(Instructions!D20),"",Instructions!D20)</f>
        <v>2013</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154</v>
      </c>
      <c r="D5" s="216"/>
      <c r="E5" s="217"/>
      <c r="F5" s="565" t="s">
        <v>588</v>
      </c>
      <c r="G5" s="218"/>
      <c r="H5" s="107"/>
    </row>
    <row r="6" spans="2:8" ht="16.5" customHeight="1" x14ac:dyDescent="0.3">
      <c r="B6" s="214"/>
      <c r="C6" s="265">
        <f>'Reporting Worksheet'!G17</f>
        <v>0</v>
      </c>
      <c r="D6" s="219"/>
      <c r="E6" s="220"/>
      <c r="F6" s="566"/>
      <c r="G6" s="221"/>
      <c r="H6" s="107"/>
    </row>
    <row r="7" spans="2:8" ht="23.25" customHeight="1" x14ac:dyDescent="0.25">
      <c r="B7" s="203"/>
      <c r="C7" s="204"/>
      <c r="D7" s="24"/>
      <c r="E7" s="561" t="s">
        <v>120</v>
      </c>
      <c r="F7" s="72" t="s">
        <v>121</v>
      </c>
      <c r="G7" s="42" t="s">
        <v>122</v>
      </c>
      <c r="H7" s="107"/>
    </row>
    <row r="8" spans="2:8" ht="15.75" customHeight="1" x14ac:dyDescent="0.3">
      <c r="B8" s="41"/>
      <c r="C8" s="125"/>
      <c r="D8" s="22"/>
      <c r="E8" s="562"/>
      <c r="F8" s="268">
        <f>'Reporting Worksheet'!G23</f>
        <v>3.4</v>
      </c>
      <c r="G8" s="42"/>
      <c r="H8" s="107"/>
    </row>
    <row r="9" spans="2:8" ht="22.5" customHeight="1" x14ac:dyDescent="0.25">
      <c r="B9" s="44" t="s">
        <v>286</v>
      </c>
      <c r="C9" s="125"/>
      <c r="D9" s="76" t="s">
        <v>119</v>
      </c>
      <c r="E9" s="267">
        <f>'Reporting Worksheet'!G23+'Reporting Worksheet'!G24</f>
        <v>4.08</v>
      </c>
      <c r="F9" s="73" t="s">
        <v>123</v>
      </c>
      <c r="G9" s="253">
        <f>SUM(F8+F10)</f>
        <v>4.08</v>
      </c>
      <c r="H9" s="107"/>
    </row>
    <row r="10" spans="2:8" ht="15.75" customHeight="1" x14ac:dyDescent="0.3">
      <c r="B10" s="564" t="s">
        <v>287</v>
      </c>
      <c r="C10" s="125"/>
      <c r="D10" s="23"/>
      <c r="E10" s="19"/>
      <c r="F10" s="269">
        <f>'Reporting Worksheet'!G24</f>
        <v>0.68</v>
      </c>
      <c r="G10" s="43"/>
      <c r="H10" s="107"/>
    </row>
    <row r="11" spans="2:8" ht="15.75" customHeight="1" x14ac:dyDescent="0.3">
      <c r="B11" s="564"/>
      <c r="C11" s="125"/>
      <c r="D11" s="266">
        <f>'Reporting Worksheet'!G30</f>
        <v>4.2005249999999998</v>
      </c>
      <c r="E11" s="563" t="s">
        <v>124</v>
      </c>
      <c r="F11" s="222" t="s">
        <v>125</v>
      </c>
      <c r="G11" s="552" t="s">
        <v>126</v>
      </c>
      <c r="H11" s="107"/>
    </row>
    <row r="12" spans="2:8" ht="15.75" customHeight="1" x14ac:dyDescent="0.3">
      <c r="B12" s="41"/>
      <c r="C12" s="125"/>
      <c r="D12" s="22"/>
      <c r="E12" s="562"/>
      <c r="F12" s="258">
        <f>'Reporting Worksheet'!G25</f>
        <v>3.4000000000000002E-2</v>
      </c>
      <c r="G12" s="553"/>
      <c r="H12" s="107"/>
    </row>
    <row r="13" spans="2:8" ht="22.5" customHeight="1" x14ac:dyDescent="0.3">
      <c r="B13" s="263">
        <f>'Reporting Worksheet'!G14+IF('Reporting Worksheet'!I15="under-registered",+'Reporting Worksheet'!G15,IF('Reporting Worksheet'!I15="over-registered",-'Reporting Worksheet'!G15,))</f>
        <v>6.9219999999999997</v>
      </c>
      <c r="C13" s="126"/>
      <c r="D13" s="22"/>
      <c r="E13" s="256">
        <f>'Reporting Worksheet'!G25+'Reporting Worksheet'!G26</f>
        <v>0.12052500000000001</v>
      </c>
      <c r="F13" s="72" t="s">
        <v>127</v>
      </c>
      <c r="G13" s="42"/>
      <c r="H13" s="107"/>
    </row>
    <row r="14" spans="2:8" ht="15.75" customHeight="1" x14ac:dyDescent="0.3">
      <c r="B14" s="41"/>
      <c r="C14" s="125"/>
      <c r="D14" s="123"/>
      <c r="E14" s="19"/>
      <c r="F14" s="292">
        <f>'Reporting Worksheet'!G26</f>
        <v>8.6525000000000005E-2</v>
      </c>
      <c r="G14" s="42"/>
      <c r="H14" s="107"/>
    </row>
    <row r="15" spans="2:8" ht="22.5" customHeight="1" x14ac:dyDescent="0.25">
      <c r="B15" s="41"/>
      <c r="C15" s="127" t="s">
        <v>288</v>
      </c>
      <c r="D15" s="24"/>
      <c r="E15" s="20"/>
      <c r="F15" s="73" t="s">
        <v>128</v>
      </c>
      <c r="G15" s="293">
        <f>'Reporting Worksheet'!G25+'Reporting Worksheet'!G26+'Reporting Worksheet'!G47+'Reporting Worksheet'!G52</f>
        <v>2.8419999999999996</v>
      </c>
      <c r="H15" s="107"/>
    </row>
    <row r="16" spans="2:8" ht="15.75" customHeight="1" x14ac:dyDescent="0.3">
      <c r="B16" s="41"/>
      <c r="C16" s="125"/>
      <c r="D16" s="22"/>
      <c r="E16" s="74" t="s">
        <v>424</v>
      </c>
      <c r="F16" s="258">
        <f>'Reporting Worksheet'!G38</f>
        <v>1.7305000000000001E-2</v>
      </c>
      <c r="G16" s="42"/>
      <c r="H16" s="107"/>
    </row>
    <row r="17" spans="2:8" ht="14.25" customHeight="1" x14ac:dyDescent="0.25">
      <c r="B17" s="44"/>
      <c r="C17" s="264">
        <f>'Reporting Worksheet'!G19</f>
        <v>6.9219999999999997</v>
      </c>
      <c r="D17" s="21"/>
      <c r="E17" s="256">
        <f>'Reporting Worksheet'!G47</f>
        <v>0.55199186868686889</v>
      </c>
      <c r="F17" s="72" t="s">
        <v>129</v>
      </c>
      <c r="G17" s="42"/>
      <c r="H17" s="107"/>
    </row>
    <row r="18" spans="2:8" ht="15.75" customHeight="1" x14ac:dyDescent="0.25">
      <c r="B18" s="41"/>
      <c r="C18" s="125"/>
      <c r="D18" s="22"/>
      <c r="E18" s="21"/>
      <c r="F18" s="259">
        <f>'Reporting Worksheet'!G42</f>
        <v>3.4686868686868877E-2</v>
      </c>
      <c r="G18" s="42"/>
      <c r="H18" s="107"/>
    </row>
    <row r="19" spans="2:8" ht="23.25" customHeight="1" x14ac:dyDescent="0.25">
      <c r="B19" s="41"/>
      <c r="C19" s="125"/>
      <c r="D19" s="22"/>
      <c r="E19" s="21"/>
      <c r="F19" s="72" t="s">
        <v>551</v>
      </c>
      <c r="G19" s="42"/>
      <c r="H19" s="107"/>
    </row>
    <row r="20" spans="2:8" ht="15.75" customHeight="1" x14ac:dyDescent="0.3">
      <c r="B20" s="41"/>
      <c r="C20" s="125"/>
      <c r="D20" s="75" t="s">
        <v>423</v>
      </c>
      <c r="E20" s="19"/>
      <c r="F20" s="258">
        <f>'Reporting Worksheet'!G43</f>
        <v>0.5</v>
      </c>
      <c r="G20" s="42"/>
      <c r="H20" s="107"/>
    </row>
    <row r="21" spans="2:8" ht="26.25" customHeight="1" x14ac:dyDescent="0.25">
      <c r="B21" s="122" t="s">
        <v>153</v>
      </c>
      <c r="C21" s="125"/>
      <c r="D21" s="257">
        <f>'Reporting Worksheet'!G54</f>
        <v>2.7214749999999994</v>
      </c>
      <c r="E21" s="21"/>
      <c r="F21" s="72" t="s">
        <v>130</v>
      </c>
      <c r="G21" s="42"/>
      <c r="H21" s="107"/>
    </row>
    <row r="22" spans="2:8" ht="15.75" customHeight="1" x14ac:dyDescent="0.3">
      <c r="B22" s="41"/>
      <c r="C22" s="125"/>
      <c r="D22" s="22"/>
      <c r="E22" s="74" t="s">
        <v>425</v>
      </c>
      <c r="F22" s="260" t="s">
        <v>315</v>
      </c>
      <c r="G22" s="42"/>
      <c r="H22" s="107"/>
    </row>
    <row r="23" spans="2:8" ht="24.75" customHeight="1" x14ac:dyDescent="0.3">
      <c r="B23" s="263">
        <f>'Reporting Worksheet'!G16</f>
        <v>0</v>
      </c>
      <c r="C23" s="125"/>
      <c r="D23" s="22"/>
      <c r="E23" s="256">
        <f>'Reporting Worksheet'!G52</f>
        <v>2.1694831313131306</v>
      </c>
      <c r="F23" s="73" t="s">
        <v>131</v>
      </c>
      <c r="G23" s="42"/>
      <c r="H23" s="107"/>
    </row>
    <row r="24" spans="2:8" ht="16.5" customHeight="1" x14ac:dyDescent="0.3">
      <c r="B24" s="41"/>
      <c r="C24" s="125"/>
      <c r="D24" s="22"/>
      <c r="E24" s="21"/>
      <c r="F24" s="261" t="s">
        <v>315</v>
      </c>
      <c r="G24" s="42"/>
      <c r="H24" s="107"/>
    </row>
    <row r="25" spans="2:8" ht="12.75" customHeight="1" x14ac:dyDescent="0.25">
      <c r="B25" s="41"/>
      <c r="C25" s="125"/>
      <c r="D25" s="22"/>
      <c r="E25" s="21"/>
      <c r="F25" s="72" t="s">
        <v>314</v>
      </c>
      <c r="G25" s="42"/>
      <c r="H25" s="107"/>
    </row>
    <row r="26" spans="2:8" ht="18" thickBot="1" x14ac:dyDescent="0.35">
      <c r="B26" s="45"/>
      <c r="C26" s="128"/>
      <c r="D26" s="124"/>
      <c r="E26" s="46"/>
      <c r="F26" s="262" t="s">
        <v>315</v>
      </c>
      <c r="G26" s="47"/>
      <c r="H26" s="107"/>
    </row>
    <row r="27" spans="2:8" ht="14.25" thickTop="1" x14ac:dyDescent="0.25">
      <c r="B27" s="114"/>
      <c r="C27" s="114"/>
      <c r="D27" s="114"/>
      <c r="E27" s="107"/>
      <c r="F27" s="107"/>
      <c r="G27" s="107"/>
      <c r="H27" s="107"/>
    </row>
    <row r="28" spans="2:8" x14ac:dyDescent="0.25">
      <c r="B28" s="107"/>
      <c r="C28" s="107"/>
      <c r="D28" s="107"/>
      <c r="E28" s="107"/>
      <c r="F28" s="107"/>
      <c r="G28" s="107"/>
      <c r="H28" s="107"/>
    </row>
    <row r="29" spans="2:8" x14ac:dyDescent="0.25">
      <c r="B29" s="107"/>
      <c r="C29" s="107"/>
      <c r="D29" s="107"/>
      <c r="E29" s="107"/>
      <c r="F29" s="107"/>
      <c r="G29" s="107"/>
      <c r="H29" s="107"/>
    </row>
    <row r="30" spans="2:8" ht="12.75" customHeight="1" x14ac:dyDescent="0.25">
      <c r="B30" s="107"/>
      <c r="C30" s="107"/>
      <c r="D30" s="107"/>
      <c r="E30" s="107"/>
      <c r="F30" s="107"/>
      <c r="G30" s="107"/>
      <c r="H30" s="107"/>
    </row>
    <row r="31" spans="2:8" x14ac:dyDescent="0.25">
      <c r="B31" s="107"/>
      <c r="C31" s="107"/>
      <c r="D31" s="107"/>
      <c r="E31" s="107"/>
      <c r="F31" s="107"/>
      <c r="G31" s="107"/>
      <c r="H31" s="107"/>
    </row>
    <row r="32" spans="2:8" x14ac:dyDescent="0.25">
      <c r="B32" s="107"/>
      <c r="C32" s="107"/>
      <c r="D32" s="107"/>
      <c r="E32" s="107"/>
      <c r="F32" s="107"/>
      <c r="G32" s="107"/>
      <c r="H32" s="107"/>
    </row>
    <row r="33" spans="2:8" x14ac:dyDescent="0.25">
      <c r="B33" s="107"/>
      <c r="C33" s="107"/>
      <c r="D33" s="107"/>
      <c r="E33" s="107"/>
      <c r="F33" s="107"/>
      <c r="G33" s="107"/>
      <c r="H33" s="107"/>
    </row>
    <row r="34" spans="2:8" x14ac:dyDescent="0.25">
      <c r="B34" s="107"/>
      <c r="C34" s="107"/>
      <c r="D34" s="107"/>
      <c r="E34" s="107"/>
      <c r="F34" s="107"/>
      <c r="G34" s="107"/>
      <c r="H34" s="107"/>
    </row>
    <row r="35" spans="2:8" x14ac:dyDescent="0.25">
      <c r="B35" s="107"/>
      <c r="C35" s="107"/>
      <c r="D35" s="107"/>
      <c r="E35" s="107"/>
      <c r="F35" s="107"/>
      <c r="G35" s="107"/>
      <c r="H35" s="107"/>
    </row>
    <row r="36" spans="2:8" x14ac:dyDescent="0.25">
      <c r="B36" s="107"/>
      <c r="C36" s="107"/>
      <c r="D36" s="107"/>
      <c r="E36" s="107"/>
      <c r="F36" s="107"/>
      <c r="G36" s="107"/>
      <c r="H36" s="107"/>
    </row>
    <row r="37" spans="2:8" x14ac:dyDescent="0.25">
      <c r="B37" s="107"/>
      <c r="C37" s="107"/>
      <c r="D37" s="107"/>
      <c r="E37" s="107"/>
      <c r="F37" s="107"/>
      <c r="G37" s="107"/>
      <c r="H37" s="107"/>
    </row>
    <row r="38" spans="2:8" x14ac:dyDescent="0.25">
      <c r="B38" s="107"/>
      <c r="C38" s="107"/>
      <c r="D38" s="107"/>
      <c r="E38" s="107"/>
      <c r="F38" s="107"/>
      <c r="G38" s="107"/>
      <c r="H38" s="107"/>
    </row>
    <row r="39" spans="2:8" x14ac:dyDescent="0.25">
      <c r="B39" s="107"/>
      <c r="C39" s="107"/>
      <c r="D39" s="107"/>
      <c r="E39" s="107"/>
      <c r="F39" s="107"/>
      <c r="G39" s="107"/>
      <c r="H39" s="107"/>
    </row>
    <row r="40" spans="2:8" x14ac:dyDescent="0.25">
      <c r="B40" s="107"/>
      <c r="C40" s="107"/>
      <c r="D40" s="107"/>
      <c r="E40" s="107"/>
      <c r="F40" s="107"/>
      <c r="G40" s="107"/>
      <c r="H40" s="107"/>
    </row>
    <row r="41" spans="2:8" x14ac:dyDescent="0.25">
      <c r="B41" s="107"/>
      <c r="C41" s="107"/>
      <c r="D41" s="107"/>
      <c r="E41" s="107"/>
      <c r="F41" s="107"/>
      <c r="G41" s="107"/>
      <c r="H41" s="107"/>
    </row>
    <row r="42" spans="2:8" x14ac:dyDescent="0.25">
      <c r="B42" s="107"/>
      <c r="C42" s="107"/>
      <c r="D42" s="107"/>
      <c r="E42" s="107"/>
      <c r="F42" s="107"/>
      <c r="G42" s="107"/>
      <c r="H42" s="107"/>
    </row>
    <row r="43" spans="2:8" x14ac:dyDescent="0.25">
      <c r="B43" s="107"/>
      <c r="C43" s="107"/>
      <c r="D43" s="107"/>
      <c r="E43" s="107"/>
      <c r="F43" s="107"/>
      <c r="G43" s="107"/>
      <c r="H43" s="107"/>
    </row>
    <row r="44" spans="2:8" x14ac:dyDescent="0.25">
      <c r="B44" s="107"/>
      <c r="C44" s="107"/>
      <c r="D44" s="107"/>
      <c r="E44" s="107"/>
      <c r="F44" s="107"/>
      <c r="G44" s="107"/>
      <c r="H44" s="107"/>
    </row>
    <row r="45" spans="2:8" x14ac:dyDescent="0.25">
      <c r="B45" s="107"/>
      <c r="C45" s="107"/>
      <c r="D45" s="107"/>
      <c r="E45" s="107"/>
      <c r="F45" s="107"/>
      <c r="G45" s="107"/>
      <c r="H45" s="107"/>
    </row>
    <row r="46" spans="2:8" ht="12.75" customHeight="1" x14ac:dyDescent="0.25">
      <c r="B46" s="107"/>
      <c r="C46" s="107"/>
      <c r="D46" s="107"/>
      <c r="E46" s="107"/>
      <c r="F46" s="107"/>
      <c r="G46" s="107"/>
      <c r="H46" s="107"/>
    </row>
    <row r="47" spans="2:8" x14ac:dyDescent="0.25">
      <c r="B47" s="107"/>
      <c r="C47" s="107"/>
      <c r="D47" s="107"/>
      <c r="E47" s="107"/>
      <c r="F47" s="107"/>
      <c r="G47" s="107"/>
      <c r="H47" s="107"/>
    </row>
    <row r="48" spans="2:8" x14ac:dyDescent="0.25">
      <c r="B48" s="107"/>
      <c r="C48" s="107"/>
      <c r="D48" s="107"/>
      <c r="E48" s="107"/>
      <c r="F48" s="107"/>
      <c r="G48" s="107"/>
      <c r="H48" s="107"/>
    </row>
    <row r="49" spans="2:8" x14ac:dyDescent="0.25">
      <c r="B49" s="107"/>
      <c r="C49" s="107"/>
      <c r="D49" s="107"/>
      <c r="E49" s="107"/>
      <c r="F49" s="107"/>
      <c r="G49" s="107"/>
      <c r="H49" s="107"/>
    </row>
    <row r="50" spans="2:8" x14ac:dyDescent="0.25">
      <c r="B50" s="107"/>
      <c r="C50" s="107"/>
      <c r="D50" s="107"/>
      <c r="E50" s="107"/>
      <c r="F50" s="107"/>
      <c r="G50" s="107"/>
      <c r="H50" s="107"/>
    </row>
    <row r="51" spans="2:8" x14ac:dyDescent="0.25">
      <c r="B51" s="107"/>
      <c r="C51" s="107"/>
      <c r="D51" s="107"/>
      <c r="E51" s="107"/>
      <c r="F51" s="107"/>
      <c r="G51" s="107"/>
      <c r="H51" s="107"/>
    </row>
    <row r="52" spans="2:8" x14ac:dyDescent="0.25">
      <c r="B52" s="107"/>
      <c r="C52" s="107"/>
      <c r="D52" s="107"/>
      <c r="E52" s="107"/>
      <c r="F52" s="107"/>
      <c r="G52" s="107"/>
      <c r="H52" s="107"/>
    </row>
    <row r="53" spans="2:8" x14ac:dyDescent="0.25">
      <c r="B53" s="107"/>
      <c r="C53" s="107"/>
      <c r="D53" s="107"/>
      <c r="E53" s="107"/>
      <c r="F53" s="107"/>
      <c r="G53" s="107"/>
      <c r="H53" s="107"/>
    </row>
    <row r="54" spans="2:8" x14ac:dyDescent="0.25">
      <c r="B54" s="107"/>
      <c r="C54" s="107"/>
      <c r="D54" s="107"/>
      <c r="E54" s="107"/>
      <c r="F54" s="107"/>
      <c r="G54" s="107"/>
      <c r="H54" s="107"/>
    </row>
    <row r="55" spans="2:8" x14ac:dyDescent="0.25">
      <c r="B55" s="107"/>
      <c r="C55" s="107"/>
      <c r="D55" s="107"/>
      <c r="E55" s="107"/>
      <c r="F55" s="107"/>
      <c r="G55" s="107"/>
      <c r="H55" s="107"/>
    </row>
    <row r="56" spans="2:8" x14ac:dyDescent="0.25">
      <c r="B56" s="107"/>
      <c r="C56" s="107"/>
      <c r="D56" s="107"/>
      <c r="E56" s="107"/>
      <c r="F56" s="107"/>
      <c r="G56" s="107"/>
      <c r="H56" s="107"/>
    </row>
    <row r="57" spans="2:8" x14ac:dyDescent="0.25">
      <c r="B57" s="107"/>
      <c r="C57" s="107"/>
      <c r="D57" s="107"/>
      <c r="E57" s="107"/>
      <c r="F57" s="107"/>
      <c r="G57" s="107"/>
      <c r="H57" s="107"/>
    </row>
    <row r="58" spans="2:8" x14ac:dyDescent="0.25">
      <c r="B58" s="107"/>
      <c r="C58" s="107"/>
      <c r="D58" s="107"/>
      <c r="E58" s="107"/>
      <c r="F58" s="107"/>
      <c r="G58" s="107"/>
      <c r="H58" s="107"/>
    </row>
    <row r="59" spans="2:8" x14ac:dyDescent="0.25">
      <c r="B59" s="107"/>
      <c r="C59" s="107"/>
      <c r="D59" s="107"/>
      <c r="E59" s="107"/>
      <c r="F59" s="107"/>
      <c r="G59" s="107"/>
      <c r="H59" s="107"/>
    </row>
    <row r="60" spans="2:8" x14ac:dyDescent="0.25">
      <c r="B60" s="107"/>
      <c r="C60" s="107"/>
      <c r="D60" s="107"/>
      <c r="E60" s="107"/>
      <c r="F60" s="107"/>
      <c r="G60" s="107"/>
      <c r="H60" s="107"/>
    </row>
    <row r="61" spans="2:8" x14ac:dyDescent="0.25">
      <c r="B61" s="107"/>
      <c r="C61" s="107"/>
      <c r="D61" s="107"/>
      <c r="E61" s="107"/>
      <c r="F61" s="107"/>
      <c r="G61" s="107"/>
      <c r="H61" s="107"/>
    </row>
    <row r="62" spans="2:8" x14ac:dyDescent="0.25">
      <c r="B62" s="107"/>
      <c r="C62" s="107"/>
      <c r="D62" s="107"/>
      <c r="E62" s="107"/>
      <c r="F62" s="107"/>
      <c r="G62" s="107"/>
      <c r="H62" s="107"/>
    </row>
    <row r="63" spans="2:8" x14ac:dyDescent="0.25">
      <c r="B63" s="107"/>
      <c r="C63" s="107"/>
      <c r="D63" s="107"/>
      <c r="E63" s="107"/>
      <c r="F63" s="107"/>
      <c r="G63" s="107"/>
      <c r="H63" s="107"/>
    </row>
    <row r="64" spans="2:8" x14ac:dyDescent="0.25">
      <c r="B64" s="107"/>
      <c r="C64" s="107"/>
      <c r="D64" s="107"/>
      <c r="E64" s="107"/>
      <c r="F64" s="107"/>
      <c r="G64" s="107"/>
      <c r="H64" s="107"/>
    </row>
    <row r="65" spans="2:8" x14ac:dyDescent="0.25">
      <c r="B65" s="107"/>
      <c r="C65" s="107"/>
      <c r="D65" s="107"/>
      <c r="E65" s="107"/>
      <c r="F65" s="107"/>
      <c r="G65" s="107"/>
      <c r="H65" s="107"/>
    </row>
    <row r="66" spans="2:8" x14ac:dyDescent="0.25">
      <c r="B66" s="107"/>
      <c r="C66" s="107"/>
      <c r="D66" s="107"/>
      <c r="E66" s="107"/>
      <c r="F66" s="107"/>
      <c r="G66" s="107"/>
      <c r="H66" s="107"/>
    </row>
    <row r="67" spans="2:8" x14ac:dyDescent="0.25">
      <c r="B67" s="107"/>
      <c r="C67" s="107"/>
      <c r="D67" s="107"/>
      <c r="E67" s="107"/>
      <c r="F67" s="107"/>
      <c r="G67" s="107"/>
      <c r="H67" s="107"/>
    </row>
    <row r="68" spans="2:8" x14ac:dyDescent="0.25">
      <c r="B68" s="107"/>
      <c r="C68" s="107"/>
      <c r="D68" s="107"/>
      <c r="E68" s="107"/>
      <c r="F68" s="107"/>
      <c r="G68" s="107"/>
      <c r="H68" s="107"/>
    </row>
    <row r="69" spans="2:8" x14ac:dyDescent="0.25">
      <c r="B69" s="107"/>
      <c r="C69" s="107"/>
      <c r="D69" s="107"/>
      <c r="E69" s="107"/>
      <c r="F69" s="107"/>
      <c r="G69" s="107"/>
      <c r="H69" s="107"/>
    </row>
    <row r="70" spans="2:8" x14ac:dyDescent="0.25">
      <c r="B70" s="107"/>
      <c r="C70" s="107"/>
      <c r="D70" s="107"/>
      <c r="E70" s="107"/>
      <c r="F70" s="107"/>
      <c r="G70" s="107"/>
      <c r="H70" s="107"/>
    </row>
    <row r="71" spans="2:8" x14ac:dyDescent="0.25">
      <c r="B71" s="107"/>
      <c r="C71" s="107"/>
      <c r="D71" s="107"/>
      <c r="E71" s="107"/>
      <c r="F71" s="107"/>
      <c r="G71" s="107"/>
      <c r="H71" s="107"/>
    </row>
    <row r="72" spans="2:8" x14ac:dyDescent="0.25">
      <c r="B72" s="107"/>
      <c r="C72" s="107"/>
      <c r="D72" s="107"/>
      <c r="E72" s="107"/>
      <c r="F72" s="107"/>
      <c r="G72" s="107"/>
      <c r="H72" s="107"/>
    </row>
    <row r="73" spans="2:8" x14ac:dyDescent="0.25">
      <c r="B73" s="107"/>
      <c r="C73" s="107"/>
      <c r="D73" s="107"/>
      <c r="E73" s="107"/>
      <c r="F73" s="107"/>
      <c r="G73" s="107"/>
      <c r="H73" s="107"/>
    </row>
    <row r="74" spans="2:8" x14ac:dyDescent="0.25">
      <c r="B74" s="107"/>
      <c r="C74" s="107"/>
      <c r="D74" s="107"/>
      <c r="E74" s="107"/>
      <c r="F74" s="107"/>
      <c r="G74" s="107"/>
      <c r="H74" s="107"/>
    </row>
    <row r="75" spans="2:8" x14ac:dyDescent="0.25">
      <c r="B75" s="107"/>
      <c r="C75" s="107"/>
      <c r="D75" s="107"/>
      <c r="E75" s="107"/>
      <c r="F75" s="107"/>
      <c r="G75" s="107"/>
      <c r="H75" s="107"/>
    </row>
    <row r="76" spans="2:8" x14ac:dyDescent="0.25">
      <c r="B76" s="107"/>
      <c r="C76" s="107"/>
      <c r="D76" s="107"/>
      <c r="E76" s="107"/>
      <c r="F76" s="107"/>
      <c r="G76" s="107"/>
      <c r="H76" s="107"/>
    </row>
    <row r="77" spans="2:8" x14ac:dyDescent="0.25">
      <c r="B77" s="107"/>
      <c r="C77" s="107"/>
      <c r="D77" s="107"/>
      <c r="E77" s="107"/>
      <c r="F77" s="107"/>
      <c r="G77" s="107"/>
      <c r="H77" s="107"/>
    </row>
    <row r="78" spans="2:8" x14ac:dyDescent="0.25">
      <c r="B78" s="107"/>
      <c r="C78" s="107"/>
      <c r="D78" s="107"/>
      <c r="E78" s="107"/>
      <c r="F78" s="107"/>
      <c r="G78" s="107"/>
      <c r="H78" s="107"/>
    </row>
    <row r="79" spans="2:8" x14ac:dyDescent="0.25">
      <c r="B79" s="107"/>
      <c r="C79" s="107"/>
      <c r="D79" s="107"/>
      <c r="E79" s="107"/>
      <c r="F79" s="107"/>
      <c r="G79" s="107"/>
      <c r="H79" s="107"/>
    </row>
    <row r="80" spans="2:8" x14ac:dyDescent="0.25">
      <c r="B80" s="107"/>
      <c r="C80" s="107"/>
      <c r="D80" s="107"/>
      <c r="E80" s="107"/>
      <c r="F80" s="107"/>
      <c r="G80" s="107"/>
      <c r="H80" s="107"/>
    </row>
    <row r="81" spans="2:8" x14ac:dyDescent="0.25">
      <c r="B81" s="107"/>
      <c r="C81" s="107"/>
      <c r="D81" s="107"/>
      <c r="E81" s="107"/>
      <c r="F81" s="107"/>
      <c r="G81" s="107"/>
      <c r="H81" s="107"/>
    </row>
    <row r="82" spans="2:8" x14ac:dyDescent="0.25">
      <c r="B82" s="107"/>
      <c r="C82" s="107"/>
      <c r="D82" s="107"/>
      <c r="E82" s="107"/>
      <c r="F82" s="107"/>
      <c r="G82" s="107"/>
      <c r="H82" s="107"/>
    </row>
    <row r="83" spans="2:8" x14ac:dyDescent="0.25">
      <c r="B83" s="107"/>
      <c r="C83" s="107"/>
      <c r="D83" s="107"/>
      <c r="E83" s="107"/>
      <c r="F83" s="107"/>
      <c r="G83" s="107"/>
      <c r="H83" s="107"/>
    </row>
    <row r="84" spans="2:8" x14ac:dyDescent="0.25">
      <c r="B84" s="107"/>
      <c r="C84" s="107"/>
      <c r="D84" s="107"/>
      <c r="E84" s="107"/>
      <c r="F84" s="107"/>
      <c r="G84" s="107"/>
      <c r="H84" s="107"/>
    </row>
    <row r="85" spans="2:8" x14ac:dyDescent="0.25">
      <c r="B85" s="107"/>
      <c r="C85" s="107"/>
      <c r="D85" s="107"/>
      <c r="E85" s="107"/>
      <c r="F85" s="107"/>
      <c r="G85" s="107"/>
      <c r="H85" s="107"/>
    </row>
    <row r="86" spans="2:8" x14ac:dyDescent="0.25">
      <c r="B86" s="107"/>
      <c r="C86" s="107"/>
      <c r="D86" s="107"/>
      <c r="E86" s="107"/>
      <c r="F86" s="107"/>
      <c r="G86" s="107"/>
      <c r="H86" s="107"/>
    </row>
    <row r="87" spans="2:8" x14ac:dyDescent="0.25">
      <c r="B87" s="107"/>
      <c r="C87" s="107"/>
      <c r="D87" s="107"/>
      <c r="E87" s="107"/>
      <c r="F87" s="107"/>
      <c r="G87" s="107"/>
      <c r="H87" s="107"/>
    </row>
    <row r="88" spans="2:8" x14ac:dyDescent="0.25">
      <c r="B88" s="107"/>
      <c r="C88" s="107"/>
      <c r="D88" s="107"/>
      <c r="E88" s="107"/>
      <c r="F88" s="107"/>
      <c r="G88" s="107"/>
      <c r="H88" s="107"/>
    </row>
    <row r="89" spans="2:8" x14ac:dyDescent="0.25">
      <c r="B89" s="107"/>
      <c r="C89" s="107"/>
      <c r="D89" s="107"/>
      <c r="E89" s="107"/>
      <c r="F89" s="107"/>
      <c r="G89" s="107"/>
      <c r="H89" s="107"/>
    </row>
    <row r="90" spans="2:8" x14ac:dyDescent="0.25">
      <c r="B90" s="107"/>
      <c r="C90" s="107"/>
      <c r="D90" s="107"/>
      <c r="E90" s="107"/>
      <c r="F90" s="107"/>
      <c r="G90" s="107"/>
      <c r="H90" s="107"/>
    </row>
    <row r="91" spans="2:8" x14ac:dyDescent="0.25">
      <c r="B91" s="107"/>
      <c r="C91" s="107"/>
      <c r="D91" s="107"/>
      <c r="E91" s="107"/>
      <c r="F91" s="107"/>
      <c r="G91" s="107"/>
      <c r="H91" s="107"/>
    </row>
    <row r="92" spans="2:8" x14ac:dyDescent="0.25">
      <c r="B92" s="107"/>
      <c r="C92" s="107"/>
      <c r="D92" s="107"/>
      <c r="E92" s="107"/>
      <c r="F92" s="107"/>
      <c r="G92" s="107"/>
      <c r="H92" s="107"/>
    </row>
    <row r="93" spans="2:8" x14ac:dyDescent="0.25">
      <c r="B93" s="107"/>
      <c r="C93" s="107"/>
      <c r="D93" s="107"/>
      <c r="E93" s="107"/>
      <c r="F93" s="107"/>
      <c r="G93" s="107"/>
      <c r="H93" s="107"/>
    </row>
    <row r="94" spans="2:8" x14ac:dyDescent="0.25">
      <c r="B94" s="107"/>
      <c r="C94" s="107"/>
      <c r="D94" s="107"/>
      <c r="E94" s="107"/>
      <c r="F94" s="107"/>
      <c r="G94" s="107"/>
      <c r="H94" s="107"/>
    </row>
    <row r="95" spans="2:8" x14ac:dyDescent="0.25">
      <c r="B95" s="107"/>
      <c r="C95" s="107"/>
      <c r="D95" s="107"/>
      <c r="E95" s="107"/>
      <c r="F95" s="107"/>
      <c r="G95" s="107"/>
      <c r="H95" s="107"/>
    </row>
    <row r="96" spans="2:8" x14ac:dyDescent="0.25">
      <c r="B96" s="107"/>
      <c r="C96" s="107"/>
      <c r="D96" s="107"/>
      <c r="E96" s="107"/>
      <c r="F96" s="107"/>
      <c r="G96" s="107"/>
      <c r="H96" s="107"/>
    </row>
    <row r="97" spans="2:8" x14ac:dyDescent="0.25">
      <c r="B97" s="107"/>
      <c r="C97" s="107"/>
      <c r="D97" s="107"/>
      <c r="E97" s="107"/>
      <c r="F97" s="107"/>
      <c r="G97" s="107"/>
      <c r="H97" s="107"/>
    </row>
    <row r="98" spans="2:8" x14ac:dyDescent="0.25">
      <c r="B98" s="107"/>
      <c r="C98" s="107"/>
      <c r="D98" s="107"/>
      <c r="E98" s="107"/>
      <c r="F98" s="107"/>
      <c r="G98" s="107"/>
      <c r="H98" s="107"/>
    </row>
    <row r="99" spans="2:8" x14ac:dyDescent="0.25">
      <c r="B99" s="107"/>
      <c r="C99" s="107"/>
      <c r="D99" s="107"/>
      <c r="E99" s="107"/>
      <c r="F99" s="107"/>
      <c r="G99" s="107"/>
      <c r="H99" s="107"/>
    </row>
    <row r="100" spans="2:8" x14ac:dyDescent="0.25">
      <c r="B100" s="107"/>
      <c r="C100" s="107"/>
      <c r="D100" s="107"/>
      <c r="E100" s="107"/>
      <c r="F100" s="107"/>
      <c r="G100" s="107"/>
      <c r="H100" s="107"/>
    </row>
    <row r="101" spans="2:8" x14ac:dyDescent="0.25">
      <c r="B101" s="107"/>
      <c r="C101" s="107"/>
      <c r="D101" s="107"/>
      <c r="E101" s="107"/>
      <c r="F101" s="107"/>
      <c r="G101" s="107"/>
      <c r="H101" s="107"/>
    </row>
    <row r="102" spans="2:8" x14ac:dyDescent="0.25">
      <c r="B102" s="107"/>
      <c r="C102" s="107"/>
      <c r="D102" s="107"/>
      <c r="E102" s="107"/>
      <c r="F102" s="107"/>
      <c r="G102" s="107"/>
      <c r="H102" s="107"/>
    </row>
    <row r="103" spans="2:8" x14ac:dyDescent="0.25">
      <c r="B103" s="107"/>
      <c r="C103" s="107"/>
      <c r="D103" s="107"/>
      <c r="E103" s="107"/>
      <c r="F103" s="107"/>
      <c r="G103" s="107"/>
      <c r="H103" s="107"/>
    </row>
    <row r="104" spans="2:8" x14ac:dyDescent="0.25">
      <c r="B104" s="107"/>
      <c r="C104" s="107"/>
      <c r="D104" s="107"/>
      <c r="E104" s="107"/>
      <c r="F104" s="107"/>
      <c r="G104" s="107"/>
      <c r="H104" s="107"/>
    </row>
    <row r="105" spans="2:8" x14ac:dyDescent="0.25">
      <c r="B105" s="107"/>
      <c r="C105" s="107"/>
      <c r="D105" s="107"/>
      <c r="E105" s="107"/>
      <c r="F105" s="107"/>
      <c r="G105" s="107"/>
      <c r="H105" s="107"/>
    </row>
    <row r="106" spans="2:8" x14ac:dyDescent="0.25">
      <c r="B106" s="107"/>
      <c r="C106" s="107"/>
      <c r="D106" s="107"/>
      <c r="E106" s="107"/>
      <c r="F106" s="107"/>
      <c r="G106" s="107"/>
      <c r="H106" s="107"/>
    </row>
    <row r="107" spans="2:8" x14ac:dyDescent="0.25">
      <c r="B107" s="107"/>
      <c r="C107" s="107"/>
      <c r="D107" s="107"/>
      <c r="E107" s="107"/>
      <c r="F107" s="107"/>
      <c r="G107" s="107"/>
      <c r="H107" s="107"/>
    </row>
    <row r="108" spans="2:8" x14ac:dyDescent="0.25">
      <c r="B108" s="107"/>
      <c r="C108" s="107"/>
      <c r="D108" s="107"/>
      <c r="E108" s="107"/>
      <c r="F108" s="107"/>
      <c r="G108" s="107"/>
      <c r="H108" s="107"/>
    </row>
    <row r="109" spans="2:8" x14ac:dyDescent="0.25">
      <c r="B109" s="107"/>
      <c r="C109" s="107"/>
      <c r="D109" s="107"/>
      <c r="E109" s="107"/>
      <c r="F109" s="107"/>
      <c r="G109" s="107"/>
      <c r="H109" s="107"/>
    </row>
    <row r="110" spans="2:8" x14ac:dyDescent="0.25">
      <c r="B110" s="107"/>
      <c r="C110" s="107"/>
      <c r="D110" s="107"/>
      <c r="E110" s="107"/>
      <c r="F110" s="107"/>
      <c r="G110" s="107"/>
      <c r="H110" s="107"/>
    </row>
    <row r="111" spans="2:8" x14ac:dyDescent="0.25">
      <c r="B111" s="107"/>
      <c r="C111" s="107"/>
      <c r="D111" s="107"/>
      <c r="E111" s="107"/>
      <c r="F111" s="107"/>
      <c r="G111" s="107"/>
      <c r="H111" s="107"/>
    </row>
    <row r="112" spans="2:8" x14ac:dyDescent="0.25">
      <c r="B112" s="107"/>
      <c r="C112" s="107"/>
      <c r="D112" s="107"/>
      <c r="E112" s="107"/>
      <c r="F112" s="107"/>
      <c r="G112" s="107"/>
      <c r="H112" s="107"/>
    </row>
    <row r="113" spans="2:8" x14ac:dyDescent="0.25">
      <c r="B113" s="107"/>
      <c r="C113" s="107"/>
      <c r="D113" s="107"/>
      <c r="E113" s="107"/>
      <c r="F113" s="107"/>
      <c r="G113" s="107"/>
      <c r="H113" s="107"/>
    </row>
    <row r="114" spans="2:8" x14ac:dyDescent="0.25">
      <c r="B114" s="107"/>
      <c r="C114" s="107"/>
      <c r="D114" s="107"/>
      <c r="E114" s="107"/>
      <c r="F114" s="107"/>
      <c r="G114" s="107"/>
      <c r="H114" s="107"/>
    </row>
    <row r="115" spans="2:8" x14ac:dyDescent="0.25">
      <c r="B115" s="107"/>
      <c r="C115" s="107"/>
      <c r="D115" s="107"/>
      <c r="E115" s="107"/>
      <c r="F115" s="107"/>
      <c r="G115" s="107"/>
      <c r="H115" s="107"/>
    </row>
    <row r="116" spans="2:8" x14ac:dyDescent="0.25">
      <c r="B116" s="107"/>
      <c r="C116" s="107"/>
      <c r="D116" s="107"/>
      <c r="E116" s="107"/>
      <c r="F116" s="107"/>
      <c r="G116" s="107"/>
      <c r="H116" s="107"/>
    </row>
    <row r="117" spans="2:8" x14ac:dyDescent="0.25">
      <c r="B117" s="107"/>
      <c r="C117" s="107"/>
      <c r="D117" s="107"/>
      <c r="E117" s="107"/>
      <c r="F117" s="107"/>
      <c r="G117" s="107"/>
      <c r="H117" s="107"/>
    </row>
    <row r="118" spans="2:8" x14ac:dyDescent="0.25">
      <c r="B118" s="107"/>
      <c r="C118" s="107"/>
      <c r="D118" s="107"/>
      <c r="E118" s="107"/>
      <c r="F118" s="107"/>
      <c r="G118" s="107"/>
      <c r="H118" s="107"/>
    </row>
    <row r="119" spans="2:8" x14ac:dyDescent="0.25">
      <c r="B119" s="107"/>
      <c r="C119" s="107"/>
      <c r="D119" s="107"/>
      <c r="E119" s="107"/>
      <c r="F119" s="107"/>
      <c r="G119" s="107"/>
      <c r="H119" s="107"/>
    </row>
    <row r="120" spans="2:8" x14ac:dyDescent="0.25">
      <c r="B120" s="107"/>
      <c r="C120" s="107"/>
      <c r="D120" s="107"/>
      <c r="E120" s="107"/>
      <c r="F120" s="107"/>
      <c r="G120" s="107"/>
      <c r="H120" s="107"/>
    </row>
    <row r="121" spans="2:8" x14ac:dyDescent="0.25">
      <c r="B121" s="107"/>
      <c r="C121" s="107"/>
      <c r="D121" s="107"/>
      <c r="E121" s="107"/>
      <c r="F121" s="107"/>
      <c r="G121" s="107"/>
      <c r="H121" s="107"/>
    </row>
    <row r="122" spans="2:8" x14ac:dyDescent="0.25">
      <c r="B122" s="107"/>
      <c r="C122" s="107"/>
      <c r="D122" s="107"/>
      <c r="E122" s="107"/>
      <c r="F122" s="107"/>
      <c r="G122" s="107"/>
      <c r="H122" s="107"/>
    </row>
    <row r="123" spans="2:8" x14ac:dyDescent="0.25">
      <c r="B123" s="107"/>
      <c r="C123" s="107"/>
      <c r="D123" s="107"/>
      <c r="E123" s="107"/>
      <c r="F123" s="107"/>
      <c r="G123" s="107"/>
      <c r="H123" s="107"/>
    </row>
    <row r="124" spans="2:8" x14ac:dyDescent="0.25">
      <c r="B124" s="107"/>
      <c r="C124" s="107"/>
      <c r="D124" s="107"/>
      <c r="E124" s="107"/>
      <c r="F124" s="107"/>
      <c r="G124" s="107"/>
      <c r="H124" s="107"/>
    </row>
    <row r="125" spans="2:8" x14ac:dyDescent="0.25">
      <c r="B125" s="107"/>
      <c r="C125" s="107"/>
      <c r="D125" s="107"/>
      <c r="E125" s="107"/>
      <c r="F125" s="107"/>
      <c r="G125" s="107"/>
      <c r="H125" s="107"/>
    </row>
    <row r="126" spans="2:8" x14ac:dyDescent="0.25">
      <c r="B126" s="107"/>
      <c r="C126" s="107"/>
      <c r="D126" s="107"/>
      <c r="E126" s="107"/>
      <c r="F126" s="107"/>
      <c r="G126" s="107"/>
      <c r="H126" s="107"/>
    </row>
    <row r="127" spans="2:8" x14ac:dyDescent="0.25">
      <c r="B127" s="107"/>
      <c r="C127" s="107"/>
      <c r="D127" s="107"/>
      <c r="E127" s="107"/>
      <c r="F127" s="107"/>
      <c r="G127" s="107"/>
      <c r="H127" s="107"/>
    </row>
    <row r="128" spans="2:8" x14ac:dyDescent="0.25">
      <c r="B128" s="107"/>
      <c r="C128" s="107"/>
      <c r="D128" s="107"/>
      <c r="E128" s="107"/>
      <c r="F128" s="107"/>
      <c r="G128" s="107"/>
      <c r="H128" s="107"/>
    </row>
    <row r="129" spans="2:8" x14ac:dyDescent="0.25">
      <c r="B129" s="107"/>
      <c r="C129" s="107"/>
      <c r="D129" s="107"/>
      <c r="E129" s="107"/>
      <c r="F129" s="107"/>
      <c r="G129" s="107"/>
      <c r="H129" s="107"/>
    </row>
    <row r="130" spans="2:8" x14ac:dyDescent="0.25">
      <c r="B130" s="107"/>
      <c r="C130" s="107"/>
      <c r="D130" s="107"/>
      <c r="E130" s="107"/>
      <c r="F130" s="107"/>
      <c r="G130" s="107"/>
      <c r="H130" s="107"/>
    </row>
    <row r="131" spans="2:8" x14ac:dyDescent="0.25">
      <c r="B131" s="107"/>
      <c r="C131" s="107"/>
      <c r="D131" s="107"/>
      <c r="E131" s="107"/>
      <c r="F131" s="107"/>
      <c r="G131" s="107"/>
      <c r="H131" s="107"/>
    </row>
    <row r="132" spans="2:8" x14ac:dyDescent="0.25">
      <c r="B132" s="107"/>
      <c r="C132" s="107"/>
      <c r="D132" s="107"/>
      <c r="E132" s="107"/>
      <c r="F132" s="107"/>
      <c r="G132" s="107"/>
      <c r="H132" s="107"/>
    </row>
    <row r="133" spans="2:8" x14ac:dyDescent="0.25">
      <c r="B133" s="107"/>
      <c r="C133" s="107"/>
      <c r="D133" s="107"/>
      <c r="E133" s="107"/>
      <c r="F133" s="107"/>
      <c r="G133" s="107"/>
      <c r="H133" s="107"/>
    </row>
    <row r="134" spans="2:8" x14ac:dyDescent="0.25">
      <c r="B134" s="107"/>
      <c r="C134" s="107"/>
      <c r="D134" s="107"/>
      <c r="E134" s="107"/>
      <c r="F134" s="107"/>
      <c r="G134" s="107"/>
      <c r="H134" s="107"/>
    </row>
    <row r="135" spans="2:8" x14ac:dyDescent="0.25">
      <c r="B135" s="107"/>
      <c r="C135" s="107"/>
      <c r="D135" s="107"/>
      <c r="E135" s="107"/>
      <c r="F135" s="107"/>
      <c r="G135" s="107"/>
      <c r="H135" s="107"/>
    </row>
    <row r="136" spans="2:8" x14ac:dyDescent="0.25">
      <c r="B136" s="107"/>
      <c r="C136" s="107"/>
      <c r="D136" s="107"/>
      <c r="E136" s="107"/>
      <c r="F136" s="107"/>
      <c r="G136" s="107"/>
      <c r="H136" s="107"/>
    </row>
    <row r="137" spans="2:8" x14ac:dyDescent="0.25">
      <c r="B137" s="107"/>
      <c r="C137" s="107"/>
      <c r="D137" s="107"/>
      <c r="E137" s="107"/>
      <c r="F137" s="107"/>
      <c r="G137" s="107"/>
      <c r="H137" s="107"/>
    </row>
    <row r="138" spans="2:8" x14ac:dyDescent="0.25">
      <c r="B138" s="107"/>
      <c r="C138" s="107"/>
      <c r="D138" s="107"/>
      <c r="E138" s="107"/>
      <c r="F138" s="107"/>
      <c r="G138" s="107"/>
      <c r="H138" s="107"/>
    </row>
    <row r="139" spans="2:8" x14ac:dyDescent="0.25">
      <c r="B139" s="107"/>
      <c r="C139" s="107"/>
      <c r="D139" s="107"/>
      <c r="E139" s="107"/>
      <c r="F139" s="107"/>
      <c r="G139" s="107"/>
      <c r="H139" s="107"/>
    </row>
    <row r="140" spans="2:8" x14ac:dyDescent="0.25">
      <c r="B140" s="107"/>
      <c r="C140" s="107"/>
      <c r="D140" s="107"/>
      <c r="E140" s="107"/>
      <c r="F140" s="107"/>
      <c r="G140" s="107"/>
      <c r="H140" s="107"/>
    </row>
    <row r="141" spans="2:8" x14ac:dyDescent="0.25">
      <c r="B141" s="107"/>
      <c r="C141" s="107"/>
      <c r="D141" s="107"/>
      <c r="E141" s="107"/>
      <c r="F141" s="107"/>
      <c r="G141" s="107"/>
      <c r="H141" s="107"/>
    </row>
    <row r="142" spans="2:8" x14ac:dyDescent="0.25">
      <c r="B142" s="107"/>
      <c r="C142" s="107"/>
      <c r="D142" s="107"/>
      <c r="E142" s="107"/>
      <c r="F142" s="107"/>
      <c r="G142" s="107"/>
      <c r="H142" s="107"/>
    </row>
    <row r="143" spans="2:8" x14ac:dyDescent="0.25">
      <c r="B143" s="107"/>
      <c r="C143" s="107"/>
      <c r="D143" s="107"/>
      <c r="E143" s="107"/>
      <c r="F143" s="107"/>
      <c r="G143" s="107"/>
      <c r="H143" s="107"/>
    </row>
    <row r="144" spans="2:8" x14ac:dyDescent="0.25">
      <c r="B144" s="107"/>
      <c r="C144" s="107"/>
      <c r="D144" s="107"/>
      <c r="E144" s="107"/>
      <c r="F144" s="107"/>
      <c r="G144" s="107"/>
      <c r="H144" s="107"/>
    </row>
    <row r="145" spans="2:8" x14ac:dyDescent="0.25">
      <c r="B145" s="107"/>
      <c r="C145" s="107"/>
      <c r="D145" s="107"/>
      <c r="E145" s="107"/>
      <c r="F145" s="107"/>
      <c r="G145" s="107"/>
      <c r="H145" s="107"/>
    </row>
    <row r="146" spans="2:8" x14ac:dyDescent="0.25">
      <c r="B146" s="107"/>
      <c r="C146" s="107"/>
      <c r="D146" s="107"/>
      <c r="E146" s="107"/>
      <c r="F146" s="107"/>
      <c r="G146" s="107"/>
      <c r="H146" s="107"/>
    </row>
    <row r="147" spans="2:8" x14ac:dyDescent="0.25">
      <c r="B147" s="107"/>
      <c r="C147" s="107"/>
      <c r="D147" s="107"/>
      <c r="E147" s="107"/>
      <c r="F147" s="107"/>
      <c r="G147" s="107"/>
      <c r="H147" s="107"/>
    </row>
    <row r="148" spans="2:8" x14ac:dyDescent="0.25">
      <c r="B148" s="107"/>
      <c r="C148" s="107"/>
      <c r="D148" s="107"/>
      <c r="E148" s="107"/>
      <c r="F148" s="107"/>
      <c r="G148" s="107"/>
      <c r="H148" s="107"/>
    </row>
    <row r="149" spans="2:8" x14ac:dyDescent="0.25">
      <c r="B149" s="107"/>
      <c r="C149" s="107"/>
      <c r="D149" s="107"/>
      <c r="E149" s="107"/>
      <c r="F149" s="107"/>
      <c r="G149" s="107"/>
      <c r="H149" s="107"/>
    </row>
    <row r="150" spans="2:8" x14ac:dyDescent="0.25">
      <c r="B150" s="107"/>
      <c r="C150" s="107"/>
      <c r="D150" s="107"/>
      <c r="E150" s="107"/>
      <c r="F150" s="107"/>
      <c r="G150" s="107"/>
      <c r="H150" s="107"/>
    </row>
    <row r="151" spans="2:8" x14ac:dyDescent="0.25">
      <c r="B151" s="107"/>
      <c r="C151" s="107"/>
      <c r="D151" s="107"/>
      <c r="E151" s="107"/>
      <c r="F151" s="107"/>
      <c r="G151" s="107"/>
      <c r="H151" s="107"/>
    </row>
    <row r="152" spans="2:8" x14ac:dyDescent="0.25">
      <c r="B152" s="107"/>
      <c r="C152" s="107"/>
      <c r="D152" s="107"/>
      <c r="E152" s="107"/>
      <c r="F152" s="107"/>
      <c r="G152" s="107"/>
      <c r="H152" s="107"/>
    </row>
    <row r="153" spans="2:8" x14ac:dyDescent="0.25">
      <c r="B153" s="107"/>
      <c r="C153" s="107"/>
      <c r="D153" s="107"/>
      <c r="E153" s="107"/>
      <c r="F153" s="107"/>
      <c r="G153" s="107"/>
      <c r="H153" s="107"/>
    </row>
    <row r="154" spans="2:8" x14ac:dyDescent="0.25">
      <c r="B154" s="107"/>
      <c r="C154" s="107"/>
      <c r="D154" s="107"/>
      <c r="E154" s="107"/>
      <c r="F154" s="107"/>
      <c r="G154" s="107"/>
      <c r="H154" s="107"/>
    </row>
    <row r="155" spans="2:8" x14ac:dyDescent="0.25">
      <c r="B155" s="107"/>
      <c r="C155" s="107"/>
      <c r="D155" s="107"/>
      <c r="E155" s="107"/>
      <c r="F155" s="107"/>
      <c r="G155" s="107"/>
      <c r="H155" s="107"/>
    </row>
    <row r="156" spans="2:8" x14ac:dyDescent="0.25">
      <c r="B156" s="107"/>
      <c r="C156" s="107"/>
      <c r="D156" s="107"/>
      <c r="E156" s="107"/>
      <c r="F156" s="107"/>
      <c r="G156" s="107"/>
      <c r="H156" s="107"/>
    </row>
    <row r="157" spans="2:8" x14ac:dyDescent="0.25">
      <c r="B157" s="107"/>
      <c r="C157" s="107"/>
      <c r="D157" s="107"/>
      <c r="E157" s="107"/>
      <c r="F157" s="107"/>
      <c r="G157" s="107"/>
      <c r="H157" s="107"/>
    </row>
    <row r="158" spans="2:8" x14ac:dyDescent="0.25">
      <c r="B158" s="107"/>
      <c r="C158" s="107"/>
      <c r="D158" s="107"/>
      <c r="E158" s="107"/>
      <c r="F158" s="107"/>
      <c r="G158" s="107"/>
      <c r="H158" s="107"/>
    </row>
    <row r="159" spans="2:8" x14ac:dyDescent="0.25">
      <c r="B159" s="107"/>
      <c r="C159" s="107"/>
      <c r="D159" s="107"/>
      <c r="E159" s="107"/>
      <c r="F159" s="107"/>
      <c r="G159" s="107"/>
      <c r="H159" s="107"/>
    </row>
    <row r="160" spans="2:8" x14ac:dyDescent="0.25">
      <c r="B160" s="107"/>
      <c r="C160" s="107"/>
      <c r="D160" s="107"/>
      <c r="E160" s="107"/>
      <c r="F160" s="107"/>
      <c r="G160" s="107"/>
      <c r="H160" s="107"/>
    </row>
    <row r="161" spans="2:8" x14ac:dyDescent="0.25">
      <c r="B161" s="107"/>
      <c r="C161" s="107"/>
      <c r="D161" s="107"/>
      <c r="E161" s="107"/>
      <c r="F161" s="107"/>
      <c r="G161" s="107"/>
      <c r="H161" s="107"/>
    </row>
    <row r="162" spans="2:8" x14ac:dyDescent="0.25">
      <c r="B162" s="107"/>
      <c r="C162" s="107"/>
      <c r="D162" s="107"/>
      <c r="E162" s="107"/>
      <c r="F162" s="107"/>
      <c r="G162" s="107"/>
      <c r="H162" s="107"/>
    </row>
    <row r="163" spans="2:8" x14ac:dyDescent="0.25">
      <c r="B163" s="107"/>
      <c r="C163" s="107"/>
      <c r="D163" s="107"/>
      <c r="E163" s="107"/>
      <c r="F163" s="107"/>
      <c r="G163" s="107"/>
      <c r="H163" s="107"/>
    </row>
    <row r="164" spans="2:8" x14ac:dyDescent="0.25">
      <c r="B164" s="107"/>
      <c r="C164" s="107"/>
      <c r="D164" s="107"/>
      <c r="E164" s="107"/>
      <c r="F164" s="107"/>
      <c r="G164" s="107"/>
      <c r="H164" s="107"/>
    </row>
    <row r="165" spans="2:8" x14ac:dyDescent="0.25">
      <c r="B165" s="107"/>
      <c r="C165" s="107"/>
      <c r="D165" s="107"/>
      <c r="E165" s="107"/>
      <c r="F165" s="107"/>
      <c r="G165" s="107"/>
      <c r="H165" s="107"/>
    </row>
    <row r="166" spans="2:8" x14ac:dyDescent="0.25">
      <c r="B166" s="107"/>
      <c r="C166" s="107"/>
      <c r="D166" s="107"/>
      <c r="E166" s="107"/>
      <c r="F166" s="107"/>
      <c r="G166" s="107"/>
      <c r="H166" s="107"/>
    </row>
    <row r="167" spans="2:8" x14ac:dyDescent="0.25">
      <c r="B167" s="107"/>
      <c r="C167" s="107"/>
      <c r="D167" s="107"/>
      <c r="E167" s="107"/>
      <c r="F167" s="107"/>
      <c r="G167" s="107"/>
      <c r="H167" s="107"/>
    </row>
    <row r="168" spans="2:8" x14ac:dyDescent="0.25">
      <c r="B168" s="107"/>
      <c r="C168" s="107"/>
      <c r="D168" s="107"/>
      <c r="E168" s="107"/>
      <c r="F168" s="107"/>
      <c r="G168" s="107"/>
      <c r="H168" s="107"/>
    </row>
    <row r="169" spans="2:8" x14ac:dyDescent="0.25">
      <c r="B169" s="107"/>
      <c r="C169" s="107"/>
      <c r="D169" s="107"/>
      <c r="E169" s="107"/>
      <c r="F169" s="107"/>
      <c r="G169" s="107"/>
      <c r="H169" s="107"/>
    </row>
    <row r="170" spans="2:8" x14ac:dyDescent="0.25">
      <c r="B170" s="107"/>
      <c r="C170" s="107"/>
      <c r="D170" s="107"/>
      <c r="E170" s="107"/>
      <c r="F170" s="107"/>
      <c r="G170" s="107"/>
      <c r="H170" s="107"/>
    </row>
    <row r="171" spans="2:8" x14ac:dyDescent="0.25">
      <c r="B171" s="107"/>
      <c r="C171" s="107"/>
      <c r="D171" s="107"/>
      <c r="E171" s="107"/>
      <c r="F171" s="107"/>
      <c r="G171" s="107"/>
      <c r="H171" s="107"/>
    </row>
    <row r="172" spans="2:8" x14ac:dyDescent="0.25">
      <c r="B172" s="107"/>
      <c r="C172" s="107"/>
      <c r="D172" s="107"/>
      <c r="E172" s="107"/>
      <c r="F172" s="107"/>
      <c r="G172" s="107"/>
      <c r="H172" s="107"/>
    </row>
    <row r="173" spans="2:8" x14ac:dyDescent="0.25">
      <c r="B173" s="107"/>
      <c r="C173" s="107"/>
      <c r="D173" s="107"/>
      <c r="E173" s="107"/>
      <c r="F173" s="107"/>
      <c r="G173" s="107"/>
      <c r="H173" s="107"/>
    </row>
    <row r="174" spans="2:8" x14ac:dyDescent="0.25">
      <c r="B174" s="107"/>
      <c r="C174" s="107"/>
      <c r="D174" s="107"/>
      <c r="E174" s="107"/>
      <c r="F174" s="107"/>
      <c r="G174" s="107"/>
      <c r="H174" s="107"/>
    </row>
    <row r="175" spans="2:8" x14ac:dyDescent="0.25">
      <c r="B175" s="107"/>
      <c r="C175" s="107"/>
      <c r="D175" s="107"/>
      <c r="E175" s="107"/>
      <c r="F175" s="107"/>
      <c r="G175" s="107"/>
      <c r="H175" s="107"/>
    </row>
    <row r="176" spans="2:8" x14ac:dyDescent="0.25">
      <c r="B176" s="107"/>
      <c r="C176" s="107"/>
      <c r="D176" s="107"/>
      <c r="E176" s="107"/>
      <c r="F176" s="107"/>
      <c r="G176" s="107"/>
      <c r="H176" s="107"/>
    </row>
    <row r="177" spans="2:8" x14ac:dyDescent="0.25">
      <c r="B177" s="107"/>
      <c r="C177" s="107"/>
      <c r="D177" s="107"/>
      <c r="E177" s="107"/>
      <c r="F177" s="107"/>
      <c r="G177" s="107"/>
      <c r="H177" s="107"/>
    </row>
    <row r="178" spans="2:8" x14ac:dyDescent="0.25">
      <c r="B178" s="107"/>
      <c r="C178" s="107"/>
      <c r="D178" s="107"/>
      <c r="E178" s="107"/>
      <c r="F178" s="107"/>
      <c r="G178" s="107"/>
      <c r="H178" s="107"/>
    </row>
    <row r="179" spans="2:8" x14ac:dyDescent="0.25">
      <c r="B179" s="107"/>
      <c r="C179" s="107"/>
      <c r="D179" s="107"/>
      <c r="E179" s="107"/>
      <c r="F179" s="107"/>
      <c r="G179" s="107"/>
      <c r="H179" s="107"/>
    </row>
    <row r="180" spans="2:8" x14ac:dyDescent="0.25">
      <c r="B180" s="107"/>
      <c r="C180" s="107"/>
      <c r="D180" s="107"/>
      <c r="E180" s="107"/>
      <c r="F180" s="107"/>
      <c r="G180" s="107"/>
      <c r="H180" s="107"/>
    </row>
    <row r="181" spans="2:8" x14ac:dyDescent="0.25">
      <c r="B181" s="107"/>
      <c r="C181" s="107"/>
      <c r="D181" s="107"/>
      <c r="E181" s="107"/>
      <c r="F181" s="107"/>
      <c r="G181" s="107"/>
      <c r="H181" s="107"/>
    </row>
    <row r="182" spans="2:8" x14ac:dyDescent="0.25">
      <c r="B182" s="107"/>
      <c r="C182" s="107"/>
      <c r="D182" s="107"/>
      <c r="E182" s="107"/>
      <c r="F182" s="107"/>
      <c r="G182" s="107"/>
      <c r="H182" s="107"/>
    </row>
    <row r="183" spans="2:8" x14ac:dyDescent="0.25">
      <c r="B183" s="107"/>
      <c r="C183" s="107"/>
      <c r="D183" s="107"/>
      <c r="E183" s="107"/>
      <c r="F183" s="107"/>
      <c r="G183" s="107"/>
      <c r="H183" s="107"/>
    </row>
    <row r="184" spans="2:8" x14ac:dyDescent="0.25">
      <c r="B184" s="107"/>
      <c r="C184" s="107"/>
      <c r="D184" s="107"/>
      <c r="E184" s="107"/>
      <c r="F184" s="107"/>
      <c r="G184" s="107"/>
      <c r="H184" s="107"/>
    </row>
    <row r="185" spans="2:8" x14ac:dyDescent="0.25">
      <c r="B185" s="107"/>
      <c r="C185" s="107"/>
      <c r="D185" s="107"/>
      <c r="E185" s="107"/>
      <c r="F185" s="107"/>
      <c r="G185" s="107"/>
      <c r="H185" s="107"/>
    </row>
    <row r="186" spans="2:8" x14ac:dyDescent="0.25">
      <c r="B186" s="107"/>
      <c r="C186" s="107"/>
      <c r="D186" s="107"/>
      <c r="E186" s="107"/>
      <c r="F186" s="107"/>
      <c r="G186" s="107"/>
      <c r="H186" s="107"/>
    </row>
    <row r="187" spans="2:8" x14ac:dyDescent="0.25">
      <c r="B187" s="107"/>
      <c r="C187" s="107"/>
      <c r="D187" s="107"/>
      <c r="E187" s="107"/>
      <c r="F187" s="107"/>
      <c r="G187" s="107"/>
      <c r="H187" s="107"/>
    </row>
    <row r="188" spans="2:8" x14ac:dyDescent="0.25">
      <c r="B188" s="107"/>
      <c r="C188" s="107"/>
      <c r="D188" s="107"/>
      <c r="E188" s="107"/>
      <c r="F188" s="107"/>
      <c r="G188" s="107"/>
      <c r="H188" s="107"/>
    </row>
    <row r="189" spans="2:8" x14ac:dyDescent="0.25">
      <c r="B189" s="107"/>
      <c r="C189" s="107"/>
      <c r="D189" s="107"/>
      <c r="E189" s="107"/>
      <c r="F189" s="107"/>
      <c r="G189" s="107"/>
      <c r="H189" s="107"/>
    </row>
    <row r="190" spans="2:8" x14ac:dyDescent="0.25">
      <c r="B190" s="107"/>
      <c r="C190" s="107"/>
      <c r="D190" s="107"/>
      <c r="E190" s="107"/>
      <c r="F190" s="107"/>
      <c r="G190" s="107"/>
      <c r="H190" s="107"/>
    </row>
    <row r="191" spans="2:8" x14ac:dyDescent="0.25">
      <c r="B191" s="107"/>
      <c r="C191" s="107"/>
      <c r="D191" s="107"/>
      <c r="E191" s="107"/>
      <c r="F191" s="107"/>
      <c r="G191" s="107"/>
      <c r="H191" s="107"/>
    </row>
    <row r="192" spans="2:8" x14ac:dyDescent="0.25">
      <c r="B192" s="107"/>
      <c r="C192" s="107"/>
      <c r="D192" s="107"/>
      <c r="E192" s="107"/>
      <c r="F192" s="107"/>
      <c r="G192" s="107"/>
      <c r="H192" s="107"/>
    </row>
    <row r="193" spans="2:8" x14ac:dyDescent="0.25">
      <c r="B193" s="107"/>
      <c r="C193" s="107"/>
      <c r="D193" s="107"/>
      <c r="E193" s="107"/>
      <c r="F193" s="107"/>
      <c r="G193" s="107"/>
      <c r="H193" s="107"/>
    </row>
    <row r="194" spans="2:8" x14ac:dyDescent="0.25">
      <c r="B194" s="107"/>
      <c r="C194" s="107"/>
      <c r="D194" s="107"/>
      <c r="E194" s="107"/>
      <c r="F194" s="107"/>
      <c r="G194" s="107"/>
      <c r="H194" s="107"/>
    </row>
    <row r="195" spans="2:8" x14ac:dyDescent="0.25">
      <c r="B195" s="107"/>
      <c r="C195" s="107"/>
      <c r="D195" s="107"/>
      <c r="E195" s="107"/>
      <c r="F195" s="107"/>
      <c r="G195" s="107"/>
      <c r="H195" s="107"/>
    </row>
    <row r="196" spans="2:8" x14ac:dyDescent="0.25">
      <c r="B196" s="107"/>
      <c r="C196" s="107"/>
      <c r="D196" s="107"/>
      <c r="E196" s="107"/>
      <c r="F196" s="107"/>
      <c r="G196" s="107"/>
      <c r="H196" s="107"/>
    </row>
    <row r="197" spans="2:8" x14ac:dyDescent="0.25">
      <c r="B197" s="107"/>
      <c r="C197" s="107"/>
      <c r="D197" s="107"/>
      <c r="E197" s="107"/>
      <c r="F197" s="107"/>
      <c r="G197" s="107"/>
      <c r="H197" s="107"/>
    </row>
    <row r="198" spans="2:8" x14ac:dyDescent="0.25">
      <c r="B198" s="107"/>
      <c r="C198" s="107"/>
      <c r="D198" s="107"/>
      <c r="E198" s="107"/>
      <c r="F198" s="107"/>
      <c r="G198" s="107"/>
      <c r="H198" s="107"/>
    </row>
    <row r="199" spans="2:8" x14ac:dyDescent="0.25">
      <c r="B199" s="107"/>
      <c r="C199" s="107"/>
      <c r="D199" s="107"/>
      <c r="E199" s="107"/>
      <c r="F199" s="107"/>
      <c r="G199" s="107"/>
      <c r="H199" s="107"/>
    </row>
    <row r="200" spans="2:8" x14ac:dyDescent="0.25">
      <c r="B200" s="107"/>
      <c r="C200" s="107"/>
      <c r="D200" s="107"/>
      <c r="E200" s="107"/>
      <c r="F200" s="107"/>
      <c r="G200" s="107"/>
      <c r="H200" s="107"/>
    </row>
    <row r="201" spans="2:8" x14ac:dyDescent="0.25">
      <c r="B201" s="107"/>
      <c r="C201" s="107"/>
      <c r="D201" s="107"/>
      <c r="E201" s="107"/>
      <c r="F201" s="107"/>
      <c r="G201" s="107"/>
      <c r="H201" s="107"/>
    </row>
    <row r="202" spans="2:8" x14ac:dyDescent="0.25">
      <c r="B202" s="107"/>
      <c r="C202" s="107"/>
      <c r="D202" s="107"/>
      <c r="E202" s="107"/>
      <c r="F202" s="107"/>
      <c r="G202" s="107"/>
      <c r="H202" s="107"/>
    </row>
    <row r="203" spans="2:8" x14ac:dyDescent="0.25">
      <c r="B203" s="107"/>
      <c r="C203" s="107"/>
      <c r="D203" s="107"/>
      <c r="E203" s="107"/>
      <c r="F203" s="107"/>
      <c r="G203" s="107"/>
      <c r="H203" s="107"/>
    </row>
    <row r="204" spans="2:8" x14ac:dyDescent="0.25">
      <c r="B204" s="107"/>
      <c r="C204" s="107"/>
      <c r="D204" s="107"/>
      <c r="E204" s="107"/>
      <c r="F204" s="107"/>
      <c r="G204" s="107"/>
      <c r="H204" s="107"/>
    </row>
    <row r="205" spans="2:8" x14ac:dyDescent="0.25">
      <c r="B205" s="107"/>
      <c r="C205" s="107"/>
      <c r="D205" s="107"/>
      <c r="E205" s="107"/>
      <c r="F205" s="107"/>
      <c r="G205" s="107"/>
      <c r="H205" s="107"/>
    </row>
    <row r="206" spans="2:8" x14ac:dyDescent="0.25">
      <c r="B206" s="107"/>
      <c r="C206" s="107"/>
      <c r="D206" s="107"/>
      <c r="E206" s="107"/>
      <c r="F206" s="107"/>
      <c r="G206" s="107"/>
      <c r="H206" s="107"/>
    </row>
    <row r="207" spans="2:8" x14ac:dyDescent="0.25">
      <c r="B207" s="107"/>
      <c r="C207" s="107"/>
      <c r="D207" s="107"/>
      <c r="E207" s="107"/>
      <c r="F207" s="107"/>
      <c r="G207" s="107"/>
      <c r="H207" s="107"/>
    </row>
    <row r="208" spans="2:8" x14ac:dyDescent="0.25">
      <c r="B208" s="107"/>
      <c r="C208" s="107"/>
      <c r="D208" s="107"/>
      <c r="E208" s="107"/>
      <c r="F208" s="107"/>
      <c r="G208" s="107"/>
      <c r="H208" s="107"/>
    </row>
    <row r="209" spans="2:8" x14ac:dyDescent="0.25">
      <c r="B209" s="107"/>
      <c r="C209" s="107"/>
      <c r="D209" s="107"/>
      <c r="E209" s="107"/>
      <c r="F209" s="107"/>
      <c r="G209" s="107"/>
      <c r="H209" s="107"/>
    </row>
    <row r="210" spans="2:8" x14ac:dyDescent="0.25">
      <c r="B210" s="107"/>
      <c r="C210" s="107"/>
      <c r="D210" s="107"/>
      <c r="E210" s="107"/>
      <c r="F210" s="107"/>
      <c r="G210" s="107"/>
      <c r="H210" s="107"/>
    </row>
    <row r="211" spans="2:8" x14ac:dyDescent="0.25">
      <c r="B211" s="107"/>
      <c r="C211" s="107"/>
      <c r="D211" s="107"/>
      <c r="E211" s="107"/>
      <c r="F211" s="107"/>
      <c r="G211" s="107"/>
      <c r="H211" s="107"/>
    </row>
    <row r="212" spans="2:8" x14ac:dyDescent="0.25">
      <c r="B212" s="107"/>
      <c r="C212" s="107"/>
      <c r="D212" s="107"/>
      <c r="E212" s="107"/>
      <c r="F212" s="107"/>
      <c r="G212" s="107"/>
      <c r="H212" s="107"/>
    </row>
    <row r="213" spans="2:8" x14ac:dyDescent="0.25">
      <c r="B213" s="107"/>
      <c r="C213" s="107"/>
      <c r="D213" s="107"/>
      <c r="E213" s="107"/>
      <c r="F213" s="107"/>
      <c r="G213" s="107"/>
      <c r="H213" s="107"/>
    </row>
    <row r="214" spans="2:8" x14ac:dyDescent="0.25">
      <c r="B214" s="107"/>
      <c r="C214" s="107"/>
      <c r="D214" s="107"/>
      <c r="E214" s="107"/>
      <c r="F214" s="107"/>
      <c r="G214" s="107"/>
      <c r="H214" s="107"/>
    </row>
    <row r="215" spans="2:8" x14ac:dyDescent="0.25">
      <c r="B215" s="107"/>
      <c r="C215" s="107"/>
      <c r="D215" s="107"/>
      <c r="E215" s="107"/>
      <c r="F215" s="107"/>
      <c r="G215" s="107"/>
      <c r="H215" s="107"/>
    </row>
    <row r="216" spans="2:8" x14ac:dyDescent="0.25">
      <c r="B216" s="107"/>
      <c r="C216" s="107"/>
      <c r="D216" s="107"/>
      <c r="E216" s="107"/>
      <c r="F216" s="107"/>
      <c r="G216" s="107"/>
      <c r="H216" s="107"/>
    </row>
    <row r="217" spans="2:8" x14ac:dyDescent="0.25">
      <c r="B217" s="107"/>
      <c r="C217" s="107"/>
      <c r="D217" s="107"/>
      <c r="E217" s="107"/>
      <c r="F217" s="107"/>
      <c r="G217" s="107"/>
      <c r="H217" s="107"/>
    </row>
    <row r="218" spans="2:8" x14ac:dyDescent="0.25">
      <c r="B218" s="107"/>
      <c r="C218" s="107"/>
      <c r="D218" s="107"/>
      <c r="E218" s="107"/>
      <c r="F218" s="107"/>
      <c r="G218" s="107"/>
      <c r="H218" s="107"/>
    </row>
    <row r="219" spans="2:8" x14ac:dyDescent="0.25">
      <c r="B219" s="107"/>
      <c r="C219" s="107"/>
      <c r="D219" s="107"/>
      <c r="E219" s="107"/>
      <c r="F219" s="107"/>
      <c r="G219" s="107"/>
      <c r="H219" s="107"/>
    </row>
    <row r="220" spans="2:8" x14ac:dyDescent="0.25">
      <c r="B220" s="107"/>
      <c r="C220" s="107"/>
      <c r="D220" s="107"/>
      <c r="E220" s="107"/>
      <c r="F220" s="107"/>
      <c r="G220" s="107"/>
      <c r="H220" s="107"/>
    </row>
    <row r="221" spans="2:8" x14ac:dyDescent="0.25">
      <c r="B221" s="107"/>
      <c r="C221" s="107"/>
      <c r="D221" s="107"/>
      <c r="E221" s="107"/>
      <c r="F221" s="107"/>
      <c r="G221" s="107"/>
      <c r="H221" s="107"/>
    </row>
    <row r="222" spans="2:8" x14ac:dyDescent="0.25">
      <c r="B222" s="107"/>
      <c r="C222" s="107"/>
      <c r="D222" s="107"/>
      <c r="E222" s="107"/>
      <c r="F222" s="107"/>
      <c r="G222" s="107"/>
      <c r="H222" s="107"/>
    </row>
    <row r="223" spans="2:8" x14ac:dyDescent="0.25">
      <c r="B223" s="107"/>
      <c r="C223" s="107"/>
      <c r="D223" s="107"/>
      <c r="E223" s="107"/>
      <c r="F223" s="107"/>
      <c r="G223" s="107"/>
      <c r="H223" s="107"/>
    </row>
    <row r="224" spans="2:8" x14ac:dyDescent="0.25">
      <c r="B224" s="107"/>
      <c r="C224" s="107"/>
      <c r="D224" s="107"/>
      <c r="E224" s="107"/>
      <c r="F224" s="107"/>
      <c r="G224" s="107"/>
      <c r="H224" s="107"/>
    </row>
    <row r="225" spans="2:8" x14ac:dyDescent="0.25">
      <c r="B225" s="107"/>
      <c r="C225" s="107"/>
      <c r="D225" s="107"/>
      <c r="E225" s="107"/>
      <c r="F225" s="107"/>
      <c r="G225" s="107"/>
      <c r="H225" s="107"/>
    </row>
    <row r="226" spans="2:8" x14ac:dyDescent="0.25">
      <c r="B226" s="107"/>
      <c r="C226" s="107"/>
      <c r="D226" s="107"/>
      <c r="E226" s="107"/>
      <c r="F226" s="107"/>
      <c r="G226" s="107"/>
      <c r="H226" s="107"/>
    </row>
    <row r="227" spans="2:8" x14ac:dyDescent="0.25">
      <c r="B227" s="107"/>
      <c r="C227" s="107"/>
      <c r="D227" s="107"/>
      <c r="E227" s="107"/>
      <c r="F227" s="107"/>
      <c r="G227" s="107"/>
      <c r="H227" s="107"/>
    </row>
    <row r="228" spans="2:8" x14ac:dyDescent="0.25">
      <c r="B228" s="107"/>
      <c r="C228" s="107"/>
      <c r="D228" s="107"/>
      <c r="E228" s="107"/>
      <c r="F228" s="107"/>
      <c r="G228" s="107"/>
      <c r="H228" s="107"/>
    </row>
    <row r="229" spans="2:8" x14ac:dyDescent="0.25">
      <c r="B229" s="107"/>
      <c r="C229" s="107"/>
      <c r="D229" s="107"/>
      <c r="E229" s="107"/>
      <c r="F229" s="107"/>
      <c r="G229" s="107"/>
      <c r="H229" s="107"/>
    </row>
    <row r="230" spans="2:8" x14ac:dyDescent="0.25">
      <c r="B230" s="107"/>
      <c r="C230" s="107"/>
      <c r="D230" s="107"/>
      <c r="E230" s="107"/>
      <c r="F230" s="107"/>
      <c r="G230" s="107"/>
      <c r="H230" s="107"/>
    </row>
    <row r="231" spans="2:8" x14ac:dyDescent="0.25">
      <c r="B231" s="107"/>
      <c r="C231" s="107"/>
      <c r="D231" s="107"/>
      <c r="E231" s="107"/>
      <c r="F231" s="107"/>
      <c r="G231" s="107"/>
      <c r="H231" s="107"/>
    </row>
    <row r="232" spans="2:8" x14ac:dyDescent="0.25">
      <c r="B232" s="107"/>
      <c r="C232" s="107"/>
      <c r="D232" s="107"/>
      <c r="E232" s="107"/>
      <c r="F232" s="107"/>
      <c r="G232" s="107"/>
      <c r="H232" s="107"/>
    </row>
    <row r="233" spans="2:8" x14ac:dyDescent="0.25">
      <c r="B233" s="107"/>
      <c r="C233" s="107"/>
      <c r="D233" s="107"/>
      <c r="E233" s="107"/>
      <c r="F233" s="107"/>
      <c r="G233" s="107"/>
      <c r="H233" s="107"/>
    </row>
    <row r="234" spans="2:8" x14ac:dyDescent="0.25">
      <c r="B234" s="107"/>
      <c r="C234" s="107"/>
      <c r="D234" s="107"/>
      <c r="E234" s="107"/>
      <c r="F234" s="107"/>
      <c r="G234" s="107"/>
      <c r="H234" s="107"/>
    </row>
    <row r="235" spans="2:8" x14ac:dyDescent="0.25">
      <c r="B235" s="107"/>
      <c r="C235" s="107"/>
      <c r="D235" s="107"/>
      <c r="E235" s="107"/>
      <c r="F235" s="107"/>
      <c r="G235" s="107"/>
      <c r="H235" s="107"/>
    </row>
    <row r="236" spans="2:8" x14ac:dyDescent="0.25">
      <c r="B236" s="107"/>
      <c r="C236" s="107"/>
      <c r="D236" s="107"/>
      <c r="E236" s="107"/>
      <c r="F236" s="107"/>
      <c r="G236" s="107"/>
      <c r="H236" s="107"/>
    </row>
    <row r="237" spans="2:8" x14ac:dyDescent="0.25">
      <c r="B237" s="107"/>
      <c r="C237" s="107"/>
      <c r="D237" s="107"/>
      <c r="E237" s="107"/>
      <c r="F237" s="107"/>
      <c r="G237" s="107"/>
      <c r="H237" s="107"/>
    </row>
    <row r="238" spans="2:8" x14ac:dyDescent="0.25">
      <c r="B238" s="107"/>
      <c r="C238" s="107"/>
      <c r="D238" s="107"/>
      <c r="E238" s="107"/>
      <c r="F238" s="107"/>
      <c r="G238" s="107"/>
      <c r="H238" s="107"/>
    </row>
    <row r="239" spans="2:8" x14ac:dyDescent="0.25">
      <c r="B239" s="107"/>
      <c r="C239" s="107"/>
      <c r="D239" s="107"/>
      <c r="E239" s="107"/>
      <c r="F239" s="107"/>
      <c r="G239" s="107"/>
      <c r="H239" s="107"/>
    </row>
    <row r="240" spans="2:8" x14ac:dyDescent="0.25">
      <c r="B240" s="107"/>
      <c r="C240" s="107"/>
      <c r="D240" s="107"/>
      <c r="E240" s="107"/>
      <c r="F240" s="107"/>
      <c r="G240" s="107"/>
      <c r="H240" s="107"/>
    </row>
    <row r="241" spans="2:8" x14ac:dyDescent="0.25">
      <c r="B241" s="107"/>
      <c r="C241" s="107"/>
      <c r="D241" s="107"/>
      <c r="E241" s="107"/>
      <c r="F241" s="107"/>
      <c r="G241" s="107"/>
      <c r="H241" s="107"/>
    </row>
    <row r="242" spans="2:8" x14ac:dyDescent="0.25">
      <c r="B242" s="107"/>
      <c r="C242" s="107"/>
      <c r="D242" s="107"/>
      <c r="E242" s="107"/>
      <c r="F242" s="107"/>
      <c r="G242" s="107"/>
      <c r="H242" s="107"/>
    </row>
    <row r="243" spans="2:8" x14ac:dyDescent="0.25">
      <c r="B243" s="107"/>
      <c r="C243" s="107"/>
      <c r="D243" s="107"/>
      <c r="E243" s="107"/>
      <c r="F243" s="107"/>
      <c r="G243" s="107"/>
      <c r="H243" s="107"/>
    </row>
    <row r="244" spans="2:8" x14ac:dyDescent="0.25">
      <c r="B244" s="107"/>
      <c r="C244" s="107"/>
      <c r="D244" s="107"/>
      <c r="E244" s="107"/>
      <c r="F244" s="107"/>
      <c r="G244" s="107"/>
      <c r="H244" s="107"/>
    </row>
    <row r="245" spans="2:8" x14ac:dyDescent="0.25">
      <c r="B245" s="107"/>
      <c r="C245" s="107"/>
      <c r="D245" s="107"/>
      <c r="E245" s="107"/>
      <c r="F245" s="107"/>
      <c r="G245" s="107"/>
      <c r="H245" s="107"/>
    </row>
    <row r="246" spans="2:8" x14ac:dyDescent="0.25">
      <c r="B246" s="107"/>
      <c r="C246" s="107"/>
      <c r="D246" s="107"/>
      <c r="E246" s="107"/>
      <c r="F246" s="107"/>
      <c r="G246" s="107"/>
      <c r="H246" s="107"/>
    </row>
    <row r="247" spans="2:8" x14ac:dyDescent="0.25">
      <c r="B247" s="107"/>
      <c r="C247" s="107"/>
      <c r="D247" s="107"/>
      <c r="E247" s="107"/>
      <c r="F247" s="107"/>
      <c r="G247" s="107"/>
      <c r="H247" s="107"/>
    </row>
    <row r="248" spans="2:8" x14ac:dyDescent="0.25">
      <c r="B248" s="107"/>
      <c r="C248" s="107"/>
      <c r="D248" s="107"/>
      <c r="E248" s="107"/>
      <c r="F248" s="107"/>
      <c r="G248" s="107"/>
      <c r="H248" s="107"/>
    </row>
    <row r="249" spans="2:8" x14ac:dyDescent="0.25">
      <c r="B249" s="107"/>
      <c r="C249" s="107"/>
      <c r="D249" s="107"/>
      <c r="E249" s="107"/>
      <c r="F249" s="107"/>
      <c r="G249" s="107"/>
      <c r="H249" s="107"/>
    </row>
    <row r="250" spans="2:8" x14ac:dyDescent="0.25">
      <c r="B250" s="107"/>
      <c r="C250" s="107"/>
      <c r="D250" s="107"/>
      <c r="E250" s="107"/>
      <c r="F250" s="107"/>
      <c r="G250" s="107"/>
      <c r="H250" s="107"/>
    </row>
    <row r="251" spans="2:8" x14ac:dyDescent="0.25">
      <c r="B251" s="107"/>
      <c r="C251" s="107"/>
      <c r="D251" s="107"/>
      <c r="E251" s="107"/>
      <c r="F251" s="107"/>
      <c r="G251" s="107"/>
      <c r="H251" s="107"/>
    </row>
    <row r="252" spans="2:8" x14ac:dyDescent="0.25">
      <c r="B252" s="107"/>
      <c r="C252" s="107"/>
      <c r="D252" s="107"/>
      <c r="E252" s="107"/>
      <c r="F252" s="107"/>
      <c r="G252" s="107"/>
      <c r="H252" s="107"/>
    </row>
    <row r="253" spans="2:8" x14ac:dyDescent="0.25">
      <c r="B253" s="107"/>
      <c r="C253" s="107"/>
      <c r="D253" s="107"/>
      <c r="E253" s="107"/>
      <c r="F253" s="107"/>
      <c r="G253" s="107"/>
      <c r="H253" s="107"/>
    </row>
    <row r="254" spans="2:8" x14ac:dyDescent="0.25">
      <c r="B254" s="107"/>
      <c r="C254" s="107"/>
      <c r="D254" s="107"/>
      <c r="E254" s="107"/>
      <c r="F254" s="107"/>
      <c r="G254" s="107"/>
      <c r="H254" s="107"/>
    </row>
    <row r="255" spans="2:8" x14ac:dyDescent="0.25">
      <c r="B255" s="107"/>
      <c r="C255" s="107"/>
      <c r="D255" s="107"/>
      <c r="E255" s="107"/>
      <c r="F255" s="107"/>
      <c r="G255" s="107"/>
      <c r="H255" s="107"/>
    </row>
    <row r="256" spans="2:8" x14ac:dyDescent="0.25">
      <c r="B256" s="107"/>
      <c r="C256" s="107"/>
      <c r="D256" s="107"/>
      <c r="E256" s="107"/>
      <c r="F256" s="107"/>
      <c r="G256" s="107"/>
      <c r="H256" s="107"/>
    </row>
    <row r="257" spans="2:8" x14ac:dyDescent="0.25">
      <c r="B257" s="107"/>
      <c r="C257" s="107"/>
      <c r="D257" s="107"/>
      <c r="E257" s="107"/>
      <c r="F257" s="107"/>
      <c r="G257" s="107"/>
      <c r="H257" s="107"/>
    </row>
    <row r="258" spans="2:8" x14ac:dyDescent="0.25">
      <c r="B258" s="107"/>
      <c r="C258" s="107"/>
      <c r="D258" s="107"/>
      <c r="E258" s="107"/>
      <c r="F258" s="107"/>
      <c r="G258" s="107"/>
      <c r="H258" s="107"/>
    </row>
    <row r="259" spans="2:8" x14ac:dyDescent="0.25">
      <c r="B259" s="107"/>
      <c r="C259" s="107"/>
      <c r="D259" s="107"/>
      <c r="E259" s="107"/>
      <c r="F259" s="107"/>
      <c r="G259" s="107"/>
      <c r="H259" s="107"/>
    </row>
    <row r="260" spans="2:8" x14ac:dyDescent="0.25">
      <c r="B260" s="107"/>
      <c r="C260" s="107"/>
      <c r="D260" s="107"/>
      <c r="E260" s="107"/>
      <c r="F260" s="107"/>
      <c r="G260" s="107"/>
      <c r="H260" s="107"/>
    </row>
    <row r="261" spans="2:8" x14ac:dyDescent="0.25">
      <c r="B261" s="107"/>
      <c r="C261" s="107"/>
      <c r="D261" s="107"/>
      <c r="E261" s="107"/>
      <c r="F261" s="107"/>
      <c r="G261" s="107"/>
      <c r="H261" s="107"/>
    </row>
    <row r="262" spans="2:8" x14ac:dyDescent="0.25">
      <c r="B262" s="107"/>
      <c r="C262" s="107"/>
      <c r="D262" s="107"/>
      <c r="E262" s="107"/>
      <c r="F262" s="107"/>
      <c r="G262" s="107"/>
      <c r="H262" s="107"/>
    </row>
    <row r="263" spans="2:8" x14ac:dyDescent="0.25">
      <c r="B263" s="107"/>
      <c r="C263" s="107"/>
      <c r="D263" s="107"/>
      <c r="E263" s="107"/>
      <c r="F263" s="107"/>
      <c r="G263" s="107"/>
      <c r="H263" s="107"/>
    </row>
    <row r="264" spans="2:8" x14ac:dyDescent="0.25">
      <c r="B264" s="107"/>
      <c r="C264" s="107"/>
      <c r="D264" s="107"/>
      <c r="E264" s="107"/>
      <c r="F264" s="107"/>
      <c r="G264" s="107"/>
      <c r="H264" s="107"/>
    </row>
    <row r="265" spans="2:8" x14ac:dyDescent="0.25">
      <c r="B265" s="107"/>
      <c r="C265" s="107"/>
      <c r="D265" s="107"/>
      <c r="E265" s="107"/>
      <c r="F265" s="107"/>
      <c r="G265" s="107"/>
      <c r="H265" s="107"/>
    </row>
    <row r="266" spans="2:8" x14ac:dyDescent="0.25">
      <c r="B266" s="107"/>
      <c r="C266" s="107"/>
      <c r="D266" s="107"/>
      <c r="E266" s="107"/>
      <c r="F266" s="107"/>
      <c r="G266" s="107"/>
      <c r="H266" s="107"/>
    </row>
    <row r="267" spans="2:8" x14ac:dyDescent="0.25">
      <c r="B267" s="107"/>
      <c r="C267" s="107"/>
      <c r="D267" s="107"/>
      <c r="E267" s="107"/>
      <c r="F267" s="107"/>
      <c r="G267" s="107"/>
      <c r="H267" s="107"/>
    </row>
    <row r="268" spans="2:8" x14ac:dyDescent="0.25">
      <c r="B268" s="107"/>
      <c r="C268" s="107"/>
      <c r="D268" s="107"/>
      <c r="E268" s="107"/>
      <c r="F268" s="107"/>
      <c r="G268" s="107"/>
      <c r="H268" s="107"/>
    </row>
    <row r="269" spans="2:8" x14ac:dyDescent="0.25">
      <c r="B269" s="107"/>
      <c r="C269" s="107"/>
      <c r="D269" s="107"/>
      <c r="E269" s="107"/>
      <c r="F269" s="107"/>
      <c r="G269" s="107"/>
      <c r="H269" s="107"/>
    </row>
    <row r="270" spans="2:8" x14ac:dyDescent="0.25">
      <c r="B270" s="107"/>
      <c r="C270" s="107"/>
      <c r="D270" s="107"/>
      <c r="E270" s="107"/>
      <c r="F270" s="107"/>
      <c r="G270" s="107"/>
      <c r="H270" s="107"/>
    </row>
    <row r="271" spans="2:8" x14ac:dyDescent="0.25">
      <c r="B271" s="107"/>
      <c r="C271" s="107"/>
      <c r="D271" s="107"/>
      <c r="E271" s="107"/>
      <c r="F271" s="107"/>
      <c r="G271" s="107"/>
      <c r="H271" s="107"/>
    </row>
    <row r="272" spans="2:8" x14ac:dyDescent="0.25">
      <c r="B272" s="107"/>
      <c r="C272" s="107"/>
      <c r="D272" s="107"/>
      <c r="E272" s="107"/>
      <c r="F272" s="107"/>
      <c r="G272" s="107"/>
      <c r="H272" s="107"/>
    </row>
    <row r="273" spans="2:8" x14ac:dyDescent="0.25">
      <c r="B273" s="107"/>
      <c r="C273" s="107"/>
      <c r="D273" s="107"/>
      <c r="E273" s="107"/>
      <c r="F273" s="107"/>
      <c r="G273" s="107"/>
      <c r="H273" s="107"/>
    </row>
    <row r="274" spans="2:8" x14ac:dyDescent="0.25">
      <c r="B274" s="107"/>
      <c r="C274" s="107"/>
      <c r="D274" s="107"/>
      <c r="E274" s="107"/>
      <c r="F274" s="107"/>
      <c r="G274" s="107"/>
      <c r="H274" s="107"/>
    </row>
    <row r="275" spans="2:8" x14ac:dyDescent="0.25">
      <c r="B275" s="107"/>
      <c r="C275" s="107"/>
      <c r="D275" s="107"/>
      <c r="E275" s="107"/>
      <c r="F275" s="107"/>
      <c r="G275" s="107"/>
      <c r="H275" s="107"/>
    </row>
    <row r="276" spans="2:8" x14ac:dyDescent="0.25">
      <c r="B276" s="107"/>
      <c r="C276" s="107"/>
      <c r="D276" s="107"/>
      <c r="E276" s="107"/>
      <c r="F276" s="107"/>
      <c r="G276" s="107"/>
      <c r="H276" s="107"/>
    </row>
    <row r="277" spans="2:8" x14ac:dyDescent="0.25">
      <c r="B277" s="107"/>
      <c r="C277" s="107"/>
      <c r="D277" s="107"/>
      <c r="E277" s="107"/>
      <c r="F277" s="107"/>
      <c r="G277" s="107"/>
      <c r="H277" s="107"/>
    </row>
    <row r="278" spans="2:8" x14ac:dyDescent="0.25">
      <c r="B278" s="107"/>
      <c r="C278" s="107"/>
      <c r="D278" s="107"/>
      <c r="E278" s="107"/>
      <c r="F278" s="107"/>
      <c r="G278" s="107"/>
      <c r="H278" s="107"/>
    </row>
    <row r="279" spans="2:8" x14ac:dyDescent="0.25">
      <c r="B279" s="107"/>
      <c r="C279" s="107"/>
      <c r="D279" s="107"/>
      <c r="E279" s="107"/>
      <c r="F279" s="107"/>
      <c r="G279" s="107"/>
      <c r="H279" s="107"/>
    </row>
    <row r="280" spans="2:8" x14ac:dyDescent="0.25">
      <c r="B280" s="107"/>
      <c r="C280" s="107"/>
      <c r="D280" s="107"/>
      <c r="E280" s="107"/>
      <c r="F280" s="107"/>
      <c r="G280" s="107"/>
      <c r="H280" s="107"/>
    </row>
    <row r="281" spans="2:8" x14ac:dyDescent="0.25">
      <c r="B281" s="107"/>
      <c r="C281" s="107"/>
      <c r="D281" s="107"/>
      <c r="E281" s="107"/>
      <c r="F281" s="107"/>
      <c r="G281" s="107"/>
      <c r="H281" s="107"/>
    </row>
    <row r="282" spans="2:8" x14ac:dyDescent="0.25">
      <c r="B282" s="107"/>
      <c r="C282" s="107"/>
      <c r="D282" s="107"/>
      <c r="E282" s="107"/>
      <c r="F282" s="107"/>
      <c r="G282" s="107"/>
      <c r="H282" s="107"/>
    </row>
    <row r="283" spans="2:8" x14ac:dyDescent="0.25">
      <c r="B283" s="107"/>
      <c r="C283" s="107"/>
      <c r="D283" s="107"/>
      <c r="E283" s="107"/>
      <c r="F283" s="107"/>
      <c r="G283" s="107"/>
      <c r="H283" s="107"/>
    </row>
    <row r="284" spans="2:8" x14ac:dyDescent="0.25">
      <c r="B284" s="107"/>
      <c r="C284" s="107"/>
      <c r="D284" s="107"/>
      <c r="E284" s="107"/>
      <c r="F284" s="107"/>
      <c r="G284" s="107"/>
      <c r="H284" s="107"/>
    </row>
    <row r="285" spans="2:8" x14ac:dyDescent="0.25">
      <c r="B285" s="107"/>
      <c r="C285" s="107"/>
      <c r="D285" s="107"/>
      <c r="E285" s="107"/>
      <c r="F285" s="107"/>
      <c r="G285" s="107"/>
      <c r="H285" s="107"/>
    </row>
    <row r="286" spans="2:8" x14ac:dyDescent="0.25">
      <c r="B286" s="107"/>
      <c r="C286" s="107"/>
      <c r="D286" s="107"/>
      <c r="E286" s="107"/>
      <c r="F286" s="107"/>
      <c r="G286" s="107"/>
      <c r="H286" s="107"/>
    </row>
    <row r="287" spans="2:8" x14ac:dyDescent="0.25">
      <c r="B287" s="107"/>
      <c r="C287" s="107"/>
      <c r="D287" s="107"/>
      <c r="E287" s="107"/>
      <c r="F287" s="107"/>
      <c r="G287" s="107"/>
      <c r="H287" s="107"/>
    </row>
    <row r="288" spans="2:8" x14ac:dyDescent="0.25">
      <c r="B288" s="107"/>
      <c r="C288" s="107"/>
      <c r="D288" s="107"/>
      <c r="E288" s="107"/>
      <c r="F288" s="107"/>
      <c r="G288" s="107"/>
      <c r="H288" s="107"/>
    </row>
    <row r="289" spans="2:8" x14ac:dyDescent="0.25">
      <c r="B289" s="107"/>
      <c r="C289" s="107"/>
      <c r="D289" s="107"/>
      <c r="E289" s="107"/>
      <c r="F289" s="107"/>
      <c r="G289" s="107"/>
      <c r="H289" s="107"/>
    </row>
    <row r="290" spans="2:8" x14ac:dyDescent="0.25">
      <c r="B290" s="107"/>
      <c r="C290" s="107"/>
      <c r="D290" s="107"/>
      <c r="E290" s="107"/>
      <c r="F290" s="107"/>
      <c r="G290" s="107"/>
      <c r="H290" s="107"/>
    </row>
    <row r="291" spans="2:8" x14ac:dyDescent="0.25">
      <c r="B291" s="107"/>
      <c r="C291" s="107"/>
      <c r="D291" s="107"/>
      <c r="E291" s="107"/>
      <c r="F291" s="107"/>
      <c r="G291" s="107"/>
      <c r="H291" s="107"/>
    </row>
    <row r="292" spans="2:8" x14ac:dyDescent="0.25">
      <c r="B292" s="107"/>
      <c r="C292" s="107"/>
      <c r="D292" s="107"/>
      <c r="E292" s="107"/>
      <c r="F292" s="107"/>
      <c r="G292" s="107"/>
      <c r="H292" s="107"/>
    </row>
    <row r="293" spans="2:8" x14ac:dyDescent="0.25">
      <c r="B293" s="107"/>
      <c r="C293" s="107"/>
      <c r="D293" s="107"/>
      <c r="E293" s="107"/>
      <c r="F293" s="107"/>
      <c r="G293" s="107"/>
      <c r="H293" s="107"/>
    </row>
    <row r="294" spans="2:8" x14ac:dyDescent="0.25">
      <c r="B294" s="107"/>
      <c r="C294" s="107"/>
      <c r="D294" s="107"/>
      <c r="E294" s="107"/>
      <c r="F294" s="107"/>
      <c r="G294" s="107"/>
      <c r="H294" s="107"/>
    </row>
    <row r="295" spans="2:8" x14ac:dyDescent="0.25">
      <c r="B295" s="107"/>
      <c r="C295" s="107"/>
      <c r="D295" s="107"/>
      <c r="E295" s="107"/>
      <c r="F295" s="107"/>
      <c r="G295" s="107"/>
      <c r="H295" s="107"/>
    </row>
    <row r="296" spans="2:8" x14ac:dyDescent="0.25">
      <c r="B296" s="107"/>
      <c r="C296" s="107"/>
      <c r="D296" s="107"/>
      <c r="E296" s="107"/>
      <c r="F296" s="107"/>
      <c r="G296" s="107"/>
      <c r="H296" s="107"/>
    </row>
    <row r="297" spans="2:8" x14ac:dyDescent="0.25">
      <c r="B297" s="107"/>
      <c r="C297" s="107"/>
      <c r="D297" s="107"/>
      <c r="E297" s="107"/>
      <c r="F297" s="107"/>
      <c r="G297" s="107"/>
      <c r="H297" s="107"/>
    </row>
    <row r="298" spans="2:8" x14ac:dyDescent="0.25">
      <c r="B298" s="107"/>
      <c r="C298" s="107"/>
      <c r="D298" s="107"/>
      <c r="E298" s="107"/>
      <c r="F298" s="107"/>
      <c r="G298" s="107"/>
      <c r="H298" s="107"/>
    </row>
    <row r="299" spans="2:8" x14ac:dyDescent="0.25">
      <c r="B299" s="107"/>
      <c r="C299" s="107"/>
      <c r="D299" s="107"/>
      <c r="E299" s="107"/>
      <c r="F299" s="107"/>
      <c r="G299" s="107"/>
      <c r="H299" s="107"/>
    </row>
    <row r="300" spans="2:8" x14ac:dyDescent="0.25">
      <c r="B300" s="107"/>
      <c r="C300" s="107"/>
      <c r="D300" s="107"/>
      <c r="E300" s="107"/>
      <c r="F300" s="107"/>
      <c r="G300" s="107"/>
      <c r="H300" s="107"/>
    </row>
    <row r="301" spans="2:8" x14ac:dyDescent="0.25">
      <c r="B301" s="107"/>
      <c r="C301" s="107"/>
      <c r="D301" s="107"/>
      <c r="E301" s="107"/>
      <c r="F301" s="107"/>
      <c r="G301" s="107"/>
      <c r="H301" s="107"/>
    </row>
    <row r="302" spans="2:8" x14ac:dyDescent="0.25">
      <c r="B302" s="107"/>
      <c r="C302" s="107"/>
      <c r="D302" s="107"/>
      <c r="E302" s="107"/>
      <c r="F302" s="107"/>
      <c r="G302" s="107"/>
      <c r="H302" s="107"/>
    </row>
    <row r="303" spans="2:8" x14ac:dyDescent="0.25">
      <c r="B303" s="107"/>
      <c r="C303" s="107"/>
      <c r="D303" s="107"/>
      <c r="E303" s="107"/>
      <c r="F303" s="107"/>
      <c r="G303" s="107"/>
      <c r="H303" s="107"/>
    </row>
    <row r="304" spans="2:8" x14ac:dyDescent="0.25">
      <c r="B304" s="107"/>
      <c r="C304" s="107"/>
      <c r="D304" s="107"/>
      <c r="E304" s="107"/>
      <c r="F304" s="107"/>
      <c r="G304" s="107"/>
      <c r="H304" s="107"/>
    </row>
    <row r="305" spans="2:8" x14ac:dyDescent="0.25">
      <c r="B305" s="107"/>
      <c r="C305" s="107"/>
      <c r="D305" s="107"/>
      <c r="E305" s="107"/>
      <c r="F305" s="107"/>
      <c r="G305" s="107"/>
      <c r="H305" s="107"/>
    </row>
    <row r="306" spans="2:8" x14ac:dyDescent="0.25">
      <c r="B306" s="107"/>
      <c r="C306" s="107"/>
      <c r="D306" s="107"/>
      <c r="E306" s="107"/>
      <c r="F306" s="107"/>
      <c r="G306" s="107"/>
      <c r="H306" s="107"/>
    </row>
    <row r="307" spans="2:8" x14ac:dyDescent="0.25">
      <c r="B307" s="107"/>
      <c r="C307" s="107"/>
      <c r="D307" s="107"/>
      <c r="E307" s="107"/>
      <c r="F307" s="107"/>
      <c r="G307" s="107"/>
      <c r="H307" s="107"/>
    </row>
    <row r="308" spans="2:8" x14ac:dyDescent="0.25">
      <c r="B308" s="107"/>
      <c r="C308" s="107"/>
      <c r="D308" s="107"/>
      <c r="E308" s="107"/>
      <c r="F308" s="107"/>
      <c r="G308" s="107"/>
      <c r="H308" s="107"/>
    </row>
    <row r="309" spans="2:8" x14ac:dyDescent="0.25">
      <c r="B309" s="107"/>
      <c r="C309" s="107"/>
      <c r="D309" s="107"/>
      <c r="E309" s="107"/>
      <c r="F309" s="107"/>
      <c r="G309" s="107"/>
      <c r="H309" s="107"/>
    </row>
    <row r="310" spans="2:8" x14ac:dyDescent="0.25">
      <c r="B310" s="107"/>
      <c r="C310" s="107"/>
      <c r="D310" s="107"/>
      <c r="E310" s="107"/>
      <c r="F310" s="107"/>
      <c r="G310" s="107"/>
      <c r="H310" s="107"/>
    </row>
    <row r="311" spans="2:8" x14ac:dyDescent="0.25">
      <c r="B311" s="107"/>
      <c r="C311" s="107"/>
      <c r="D311" s="107"/>
      <c r="E311" s="107"/>
      <c r="F311" s="107"/>
      <c r="G311" s="107"/>
      <c r="H311" s="107"/>
    </row>
    <row r="312" spans="2:8" x14ac:dyDescent="0.25">
      <c r="B312" s="107"/>
      <c r="C312" s="107"/>
      <c r="D312" s="107"/>
      <c r="E312" s="107"/>
      <c r="F312" s="107"/>
      <c r="G312" s="107"/>
      <c r="H312" s="107"/>
    </row>
    <row r="313" spans="2:8" x14ac:dyDescent="0.25">
      <c r="B313" s="107"/>
      <c r="C313" s="107"/>
      <c r="D313" s="107"/>
      <c r="E313" s="107"/>
      <c r="F313" s="107"/>
      <c r="G313" s="107"/>
      <c r="H313" s="107"/>
    </row>
    <row r="314" spans="2:8" x14ac:dyDescent="0.25">
      <c r="B314" s="107"/>
      <c r="C314" s="107"/>
      <c r="D314" s="107"/>
      <c r="E314" s="107"/>
      <c r="F314" s="107"/>
      <c r="G314" s="107"/>
      <c r="H314" s="107"/>
    </row>
    <row r="315" spans="2:8" x14ac:dyDescent="0.25">
      <c r="B315" s="107"/>
      <c r="C315" s="107"/>
      <c r="D315" s="107"/>
      <c r="E315" s="107"/>
      <c r="F315" s="107"/>
      <c r="G315" s="107"/>
      <c r="H315" s="107"/>
    </row>
    <row r="316" spans="2:8" x14ac:dyDescent="0.25">
      <c r="B316" s="107"/>
      <c r="C316" s="107"/>
      <c r="D316" s="107"/>
      <c r="E316" s="107"/>
      <c r="F316" s="107"/>
      <c r="G316" s="107"/>
      <c r="H316" s="107"/>
    </row>
    <row r="317" spans="2:8" x14ac:dyDescent="0.25">
      <c r="B317" s="107"/>
      <c r="C317" s="107"/>
      <c r="D317" s="107"/>
      <c r="E317" s="107"/>
      <c r="F317" s="107"/>
      <c r="G317" s="107"/>
      <c r="H317" s="107"/>
    </row>
    <row r="318" spans="2:8" x14ac:dyDescent="0.25">
      <c r="B318" s="107"/>
      <c r="C318" s="107"/>
      <c r="D318" s="107"/>
      <c r="E318" s="107"/>
      <c r="F318" s="107"/>
      <c r="G318" s="107"/>
      <c r="H318" s="107"/>
    </row>
    <row r="319" spans="2:8" x14ac:dyDescent="0.25">
      <c r="B319" s="107"/>
      <c r="C319" s="107"/>
      <c r="D319" s="107"/>
      <c r="E319" s="107"/>
      <c r="F319" s="107"/>
      <c r="G319" s="107"/>
      <c r="H319" s="107"/>
    </row>
    <row r="320" spans="2:8" x14ac:dyDescent="0.25">
      <c r="B320" s="107"/>
      <c r="C320" s="107"/>
      <c r="D320" s="107"/>
      <c r="E320" s="107"/>
      <c r="F320" s="107"/>
      <c r="G320" s="107"/>
      <c r="H320" s="107"/>
    </row>
    <row r="321" spans="2:8" x14ac:dyDescent="0.25">
      <c r="B321" s="107"/>
      <c r="C321" s="107"/>
      <c r="D321" s="107"/>
      <c r="E321" s="107"/>
      <c r="F321" s="107"/>
      <c r="G321" s="107"/>
      <c r="H321" s="107"/>
    </row>
    <row r="322" spans="2:8" x14ac:dyDescent="0.25">
      <c r="B322" s="107"/>
      <c r="C322" s="107"/>
      <c r="D322" s="107"/>
      <c r="E322" s="107"/>
      <c r="F322" s="107"/>
      <c r="G322" s="107"/>
      <c r="H322" s="107"/>
    </row>
    <row r="323" spans="2:8" x14ac:dyDescent="0.25">
      <c r="B323" s="107"/>
      <c r="C323" s="107"/>
      <c r="D323" s="107"/>
      <c r="E323" s="107"/>
      <c r="F323" s="107"/>
      <c r="G323" s="107"/>
      <c r="H323" s="107"/>
    </row>
    <row r="324" spans="2:8" x14ac:dyDescent="0.25">
      <c r="B324" s="107"/>
      <c r="C324" s="107"/>
      <c r="D324" s="107"/>
      <c r="E324" s="107"/>
      <c r="F324" s="107"/>
      <c r="G324" s="107"/>
      <c r="H324" s="107"/>
    </row>
    <row r="325" spans="2:8" x14ac:dyDescent="0.25">
      <c r="B325" s="107"/>
      <c r="C325" s="107"/>
      <c r="D325" s="107"/>
      <c r="E325" s="107"/>
      <c r="F325" s="107"/>
      <c r="G325" s="107"/>
      <c r="H325" s="107"/>
    </row>
    <row r="326" spans="2:8" x14ac:dyDescent="0.25">
      <c r="B326" s="107"/>
      <c r="C326" s="107"/>
      <c r="D326" s="107"/>
      <c r="E326" s="107"/>
      <c r="F326" s="107"/>
      <c r="G326" s="107"/>
      <c r="H326" s="107"/>
    </row>
    <row r="327" spans="2:8" x14ac:dyDescent="0.25">
      <c r="B327" s="107"/>
      <c r="C327" s="107"/>
      <c r="D327" s="107"/>
      <c r="E327" s="107"/>
      <c r="F327" s="107"/>
      <c r="G327" s="107"/>
      <c r="H327" s="107"/>
    </row>
    <row r="328" spans="2:8" x14ac:dyDescent="0.25">
      <c r="B328" s="107"/>
      <c r="C328" s="107"/>
      <c r="D328" s="107"/>
      <c r="E328" s="107"/>
      <c r="F328" s="107"/>
      <c r="G328" s="107"/>
      <c r="H328" s="107"/>
    </row>
    <row r="329" spans="2:8" x14ac:dyDescent="0.25">
      <c r="B329" s="107"/>
      <c r="C329" s="107"/>
      <c r="D329" s="107"/>
      <c r="E329" s="107"/>
      <c r="F329" s="107"/>
      <c r="G329" s="107"/>
      <c r="H329" s="107"/>
    </row>
    <row r="330" spans="2:8" x14ac:dyDescent="0.25">
      <c r="B330" s="107"/>
      <c r="C330" s="107"/>
      <c r="D330" s="107"/>
      <c r="E330" s="107"/>
      <c r="F330" s="107"/>
      <c r="G330" s="107"/>
      <c r="H330" s="107"/>
    </row>
    <row r="331" spans="2:8" x14ac:dyDescent="0.25">
      <c r="B331" s="107"/>
      <c r="C331" s="107"/>
      <c r="D331" s="107"/>
      <c r="E331" s="107"/>
      <c r="F331" s="107"/>
      <c r="G331" s="107"/>
      <c r="H331" s="107"/>
    </row>
    <row r="332" spans="2:8" x14ac:dyDescent="0.25">
      <c r="B332" s="107"/>
      <c r="C332" s="107"/>
      <c r="D332" s="107"/>
      <c r="E332" s="107"/>
      <c r="F332" s="107"/>
      <c r="G332" s="107"/>
      <c r="H332" s="107"/>
    </row>
    <row r="333" spans="2:8" x14ac:dyDescent="0.25">
      <c r="B333" s="107"/>
      <c r="C333" s="107"/>
      <c r="D333" s="107"/>
      <c r="E333" s="107"/>
      <c r="F333" s="107"/>
      <c r="G333" s="107"/>
      <c r="H333" s="107"/>
    </row>
    <row r="334" spans="2:8" x14ac:dyDescent="0.25">
      <c r="B334" s="107"/>
      <c r="C334" s="107"/>
      <c r="D334" s="107"/>
      <c r="E334" s="107"/>
      <c r="F334" s="107"/>
      <c r="G334" s="107"/>
      <c r="H334" s="107"/>
    </row>
    <row r="335" spans="2:8" x14ac:dyDescent="0.25">
      <c r="B335" s="107"/>
      <c r="C335" s="107"/>
      <c r="D335" s="107"/>
      <c r="E335" s="107"/>
      <c r="F335" s="107"/>
      <c r="G335" s="107"/>
      <c r="H335" s="107"/>
    </row>
    <row r="336" spans="2:8" x14ac:dyDescent="0.25">
      <c r="B336" s="107"/>
      <c r="C336" s="107"/>
      <c r="D336" s="107"/>
      <c r="E336" s="107"/>
      <c r="F336" s="107"/>
      <c r="G336" s="107"/>
      <c r="H336" s="107"/>
    </row>
    <row r="337" spans="2:8" x14ac:dyDescent="0.25">
      <c r="B337" s="107"/>
      <c r="C337" s="107"/>
      <c r="D337" s="107"/>
      <c r="E337" s="107"/>
      <c r="F337" s="107"/>
      <c r="G337" s="107"/>
      <c r="H337" s="107"/>
    </row>
    <row r="338" spans="2:8" x14ac:dyDescent="0.25">
      <c r="B338" s="107"/>
      <c r="C338" s="107"/>
      <c r="D338" s="107"/>
      <c r="E338" s="107"/>
      <c r="F338" s="107"/>
      <c r="G338" s="107"/>
      <c r="H338" s="107"/>
    </row>
    <row r="339" spans="2:8" x14ac:dyDescent="0.25">
      <c r="B339" s="107"/>
      <c r="C339" s="107"/>
      <c r="D339" s="107"/>
      <c r="E339" s="107"/>
      <c r="F339" s="107"/>
      <c r="G339" s="107"/>
      <c r="H339" s="107"/>
    </row>
    <row r="340" spans="2:8" x14ac:dyDescent="0.25">
      <c r="B340" s="107"/>
      <c r="C340" s="107"/>
      <c r="D340" s="107"/>
      <c r="E340" s="107"/>
      <c r="F340" s="107"/>
      <c r="G340" s="107"/>
      <c r="H340" s="107"/>
    </row>
    <row r="341" spans="2:8" x14ac:dyDescent="0.25">
      <c r="B341" s="107"/>
      <c r="C341" s="107"/>
      <c r="D341" s="107"/>
      <c r="E341" s="107"/>
      <c r="F341" s="107"/>
      <c r="G341" s="107"/>
      <c r="H341" s="107"/>
    </row>
    <row r="342" spans="2:8" x14ac:dyDescent="0.25">
      <c r="B342" s="107"/>
      <c r="C342" s="107"/>
      <c r="D342" s="107"/>
      <c r="E342" s="107"/>
      <c r="F342" s="107"/>
      <c r="G342" s="107"/>
      <c r="H342" s="107"/>
    </row>
    <row r="343" spans="2:8" x14ac:dyDescent="0.25">
      <c r="B343" s="107"/>
      <c r="C343" s="107"/>
      <c r="D343" s="107"/>
      <c r="E343" s="107"/>
      <c r="F343" s="107"/>
      <c r="G343" s="107"/>
      <c r="H343" s="107"/>
    </row>
    <row r="344" spans="2:8" x14ac:dyDescent="0.25">
      <c r="B344" s="107"/>
      <c r="C344" s="107"/>
      <c r="D344" s="107"/>
      <c r="E344" s="107"/>
      <c r="F344" s="107"/>
      <c r="G344" s="107"/>
      <c r="H344" s="107"/>
    </row>
    <row r="345" spans="2:8" x14ac:dyDescent="0.25">
      <c r="B345" s="107"/>
      <c r="C345" s="107"/>
      <c r="D345" s="107"/>
      <c r="E345" s="107"/>
      <c r="F345" s="107"/>
      <c r="G345" s="107"/>
      <c r="H345" s="107"/>
    </row>
    <row r="346" spans="2:8" x14ac:dyDescent="0.25">
      <c r="B346" s="107"/>
      <c r="C346" s="107"/>
      <c r="D346" s="107"/>
      <c r="E346" s="107"/>
      <c r="F346" s="107"/>
      <c r="G346" s="107"/>
      <c r="H346" s="107"/>
    </row>
    <row r="347" spans="2:8" x14ac:dyDescent="0.25">
      <c r="B347" s="107"/>
      <c r="C347" s="107"/>
      <c r="D347" s="107"/>
      <c r="E347" s="107"/>
      <c r="F347" s="107"/>
      <c r="G347" s="107"/>
      <c r="H347" s="107"/>
    </row>
    <row r="348" spans="2:8" x14ac:dyDescent="0.25">
      <c r="B348" s="107"/>
      <c r="C348" s="107"/>
      <c r="D348" s="107"/>
      <c r="E348" s="107"/>
      <c r="F348" s="107"/>
      <c r="G348" s="107"/>
      <c r="H348" s="107"/>
    </row>
    <row r="349" spans="2:8" x14ac:dyDescent="0.25">
      <c r="B349" s="107"/>
      <c r="C349" s="107"/>
      <c r="D349" s="107"/>
      <c r="E349" s="107"/>
      <c r="F349" s="107"/>
      <c r="G349" s="107"/>
      <c r="H349" s="107"/>
    </row>
    <row r="350" spans="2:8" x14ac:dyDescent="0.25">
      <c r="B350" s="107"/>
      <c r="C350" s="107"/>
      <c r="D350" s="107"/>
      <c r="E350" s="107"/>
      <c r="F350" s="107"/>
      <c r="G350" s="107"/>
      <c r="H350" s="107"/>
    </row>
    <row r="351" spans="2:8" x14ac:dyDescent="0.25">
      <c r="B351" s="107"/>
      <c r="C351" s="107"/>
      <c r="D351" s="107"/>
      <c r="E351" s="107"/>
      <c r="F351" s="107"/>
      <c r="G351" s="107"/>
      <c r="H351" s="107"/>
    </row>
    <row r="352" spans="2:8" x14ac:dyDescent="0.25">
      <c r="B352" s="107"/>
      <c r="C352" s="107"/>
      <c r="D352" s="107"/>
      <c r="E352" s="107"/>
      <c r="F352" s="107"/>
      <c r="G352" s="107"/>
      <c r="H352" s="107"/>
    </row>
    <row r="353" spans="2:8" x14ac:dyDescent="0.25">
      <c r="B353" s="107"/>
      <c r="C353" s="107"/>
      <c r="D353" s="107"/>
      <c r="E353" s="107"/>
      <c r="F353" s="107"/>
      <c r="G353" s="107"/>
      <c r="H353" s="107"/>
    </row>
    <row r="354" spans="2:8" x14ac:dyDescent="0.25">
      <c r="B354" s="107"/>
      <c r="C354" s="107"/>
      <c r="D354" s="107"/>
      <c r="E354" s="107"/>
      <c r="F354" s="107"/>
      <c r="G354" s="107"/>
      <c r="H354" s="107"/>
    </row>
    <row r="355" spans="2:8" x14ac:dyDescent="0.25">
      <c r="B355" s="107"/>
      <c r="C355" s="107"/>
      <c r="D355" s="107"/>
      <c r="E355" s="107"/>
      <c r="F355" s="107"/>
      <c r="G355" s="107"/>
      <c r="H355" s="107"/>
    </row>
    <row r="356" spans="2:8" x14ac:dyDescent="0.25">
      <c r="B356" s="107"/>
      <c r="C356" s="107"/>
      <c r="D356" s="107"/>
      <c r="E356" s="107"/>
      <c r="F356" s="107"/>
      <c r="G356" s="107"/>
      <c r="H356" s="107"/>
    </row>
    <row r="357" spans="2:8" x14ac:dyDescent="0.25">
      <c r="B357" s="107"/>
      <c r="C357" s="107"/>
      <c r="D357" s="107"/>
      <c r="E357" s="107"/>
      <c r="F357" s="107"/>
      <c r="G357" s="107"/>
      <c r="H357" s="107"/>
    </row>
    <row r="358" spans="2:8" x14ac:dyDescent="0.25">
      <c r="B358" s="107"/>
      <c r="C358" s="107"/>
      <c r="D358" s="107"/>
      <c r="E358" s="107"/>
      <c r="F358" s="107"/>
      <c r="G358" s="107"/>
      <c r="H358" s="107"/>
    </row>
    <row r="359" spans="2:8" x14ac:dyDescent="0.25">
      <c r="B359" s="107"/>
      <c r="C359" s="107"/>
      <c r="D359" s="107"/>
      <c r="E359" s="107"/>
      <c r="F359" s="107"/>
      <c r="G359" s="107"/>
      <c r="H359" s="107"/>
    </row>
    <row r="360" spans="2:8" x14ac:dyDescent="0.25">
      <c r="B360" s="107"/>
      <c r="C360" s="107"/>
      <c r="D360" s="107"/>
      <c r="E360" s="107"/>
      <c r="F360" s="107"/>
      <c r="G360" s="107"/>
      <c r="H360" s="107"/>
    </row>
    <row r="361" spans="2:8" x14ac:dyDescent="0.25">
      <c r="B361" s="107"/>
      <c r="C361" s="107"/>
      <c r="D361" s="107"/>
      <c r="E361" s="107"/>
      <c r="F361" s="107"/>
      <c r="G361" s="107"/>
      <c r="H361" s="107"/>
    </row>
    <row r="362" spans="2:8" x14ac:dyDescent="0.25">
      <c r="B362" s="107"/>
      <c r="C362" s="107"/>
      <c r="D362" s="107"/>
      <c r="E362" s="107"/>
      <c r="F362" s="107"/>
      <c r="G362" s="107"/>
      <c r="H362" s="107"/>
    </row>
    <row r="363" spans="2:8" x14ac:dyDescent="0.25">
      <c r="B363" s="107"/>
      <c r="C363" s="107"/>
      <c r="D363" s="107"/>
      <c r="E363" s="107"/>
      <c r="F363" s="107"/>
      <c r="G363" s="107"/>
      <c r="H363" s="107"/>
    </row>
    <row r="364" spans="2:8" x14ac:dyDescent="0.25">
      <c r="B364" s="107"/>
      <c r="C364" s="107"/>
      <c r="D364" s="107"/>
      <c r="E364" s="107"/>
      <c r="F364" s="107"/>
      <c r="G364" s="107"/>
      <c r="H364" s="107"/>
    </row>
    <row r="365" spans="2:8" x14ac:dyDescent="0.25">
      <c r="B365" s="107"/>
      <c r="C365" s="107"/>
      <c r="D365" s="107"/>
      <c r="E365" s="107"/>
      <c r="F365" s="107"/>
      <c r="G365" s="107"/>
      <c r="H365" s="107"/>
    </row>
    <row r="366" spans="2:8" x14ac:dyDescent="0.25">
      <c r="B366" s="107"/>
      <c r="C366" s="107"/>
      <c r="D366" s="107"/>
      <c r="E366" s="107"/>
      <c r="F366" s="107"/>
      <c r="G366" s="107"/>
      <c r="H366" s="107"/>
    </row>
    <row r="367" spans="2:8" x14ac:dyDescent="0.25">
      <c r="B367" s="107"/>
      <c r="C367" s="107"/>
      <c r="D367" s="107"/>
      <c r="E367" s="107"/>
      <c r="F367" s="107"/>
      <c r="G367" s="107"/>
      <c r="H367" s="107"/>
    </row>
    <row r="368" spans="2:8" x14ac:dyDescent="0.25">
      <c r="B368" s="107"/>
      <c r="C368" s="107"/>
      <c r="D368" s="107"/>
      <c r="E368" s="107"/>
      <c r="F368" s="107"/>
      <c r="G368" s="107"/>
      <c r="H368" s="107"/>
    </row>
    <row r="369" spans="2:8" x14ac:dyDescent="0.25">
      <c r="B369" s="107"/>
      <c r="C369" s="107"/>
      <c r="D369" s="107"/>
      <c r="E369" s="107"/>
      <c r="F369" s="107"/>
      <c r="G369" s="107"/>
      <c r="H369" s="107"/>
    </row>
    <row r="370" spans="2:8" x14ac:dyDescent="0.25">
      <c r="B370" s="107"/>
      <c r="C370" s="107"/>
      <c r="D370" s="107"/>
      <c r="E370" s="107"/>
      <c r="F370" s="107"/>
      <c r="G370" s="107"/>
      <c r="H370" s="107"/>
    </row>
    <row r="371" spans="2:8" x14ac:dyDescent="0.25">
      <c r="B371" s="107"/>
      <c r="C371" s="107"/>
      <c r="D371" s="107"/>
      <c r="E371" s="107"/>
      <c r="F371" s="107"/>
      <c r="G371" s="107"/>
      <c r="H371" s="107"/>
    </row>
    <row r="372" spans="2:8" x14ac:dyDescent="0.25">
      <c r="B372" s="107"/>
      <c r="C372" s="107"/>
      <c r="D372" s="107"/>
      <c r="E372" s="107"/>
      <c r="F372" s="107"/>
      <c r="G372" s="107"/>
      <c r="H372" s="107"/>
    </row>
    <row r="373" spans="2:8" x14ac:dyDescent="0.25">
      <c r="B373" s="107"/>
      <c r="C373" s="107"/>
      <c r="D373" s="107"/>
      <c r="E373" s="107"/>
      <c r="F373" s="107"/>
      <c r="G373" s="107"/>
      <c r="H373" s="107"/>
    </row>
    <row r="374" spans="2:8" x14ac:dyDescent="0.25">
      <c r="B374" s="107"/>
      <c r="C374" s="107"/>
      <c r="D374" s="107"/>
      <c r="E374" s="107"/>
      <c r="F374" s="107"/>
      <c r="G374" s="107"/>
      <c r="H374" s="107"/>
    </row>
    <row r="375" spans="2:8" x14ac:dyDescent="0.25">
      <c r="B375" s="107"/>
      <c r="C375" s="107"/>
      <c r="D375" s="107"/>
      <c r="E375" s="107"/>
      <c r="F375" s="107"/>
      <c r="G375" s="107"/>
      <c r="H375" s="107"/>
    </row>
    <row r="376" spans="2:8" x14ac:dyDescent="0.25">
      <c r="B376" s="107"/>
      <c r="C376" s="107"/>
      <c r="D376" s="107"/>
      <c r="E376" s="107"/>
      <c r="F376" s="107"/>
      <c r="G376" s="107"/>
      <c r="H376" s="107"/>
    </row>
    <row r="377" spans="2:8" x14ac:dyDescent="0.25">
      <c r="B377" s="107"/>
      <c r="C377" s="107"/>
      <c r="D377" s="107"/>
      <c r="E377" s="107"/>
      <c r="F377" s="107"/>
      <c r="G377" s="107"/>
      <c r="H377" s="107"/>
    </row>
    <row r="378" spans="2:8" x14ac:dyDescent="0.25">
      <c r="B378" s="107"/>
      <c r="C378" s="107"/>
      <c r="D378" s="107"/>
      <c r="E378" s="107"/>
      <c r="F378" s="107"/>
      <c r="G378" s="107"/>
      <c r="H378" s="107"/>
    </row>
    <row r="379" spans="2:8" x14ac:dyDescent="0.25">
      <c r="B379" s="107"/>
      <c r="C379" s="107"/>
      <c r="D379" s="107"/>
      <c r="E379" s="107"/>
      <c r="F379" s="107"/>
      <c r="G379" s="107"/>
      <c r="H379" s="107"/>
    </row>
    <row r="380" spans="2:8" x14ac:dyDescent="0.25">
      <c r="B380" s="107"/>
      <c r="C380" s="107"/>
      <c r="D380" s="107"/>
      <c r="E380" s="107"/>
      <c r="F380" s="107"/>
      <c r="G380" s="107"/>
      <c r="H380" s="107"/>
    </row>
    <row r="381" spans="2:8" x14ac:dyDescent="0.25">
      <c r="B381" s="107"/>
      <c r="C381" s="107"/>
      <c r="D381" s="107"/>
      <c r="E381" s="107"/>
      <c r="F381" s="107"/>
      <c r="G381" s="107"/>
      <c r="H381" s="107"/>
    </row>
    <row r="382" spans="2:8" x14ac:dyDescent="0.25">
      <c r="B382" s="107"/>
      <c r="C382" s="107"/>
      <c r="D382" s="107"/>
      <c r="E382" s="107"/>
      <c r="F382" s="107"/>
      <c r="G382" s="107"/>
      <c r="H382" s="107"/>
    </row>
    <row r="383" spans="2:8" x14ac:dyDescent="0.25">
      <c r="B383" s="107"/>
      <c r="C383" s="107"/>
      <c r="D383" s="107"/>
      <c r="E383" s="107"/>
      <c r="F383" s="107"/>
      <c r="G383" s="107"/>
      <c r="H383" s="107"/>
    </row>
    <row r="384" spans="2:8" x14ac:dyDescent="0.25">
      <c r="B384" s="107"/>
      <c r="C384" s="107"/>
      <c r="D384" s="107"/>
      <c r="E384" s="107"/>
      <c r="F384" s="107"/>
      <c r="G384" s="107"/>
      <c r="H384" s="107"/>
    </row>
    <row r="385" spans="2:8" x14ac:dyDescent="0.25">
      <c r="B385" s="107"/>
      <c r="C385" s="107"/>
      <c r="D385" s="107"/>
      <c r="E385" s="107"/>
      <c r="F385" s="107"/>
      <c r="G385" s="107"/>
      <c r="H385" s="107"/>
    </row>
    <row r="386" spans="2:8" x14ac:dyDescent="0.25">
      <c r="B386" s="107"/>
      <c r="C386" s="107"/>
      <c r="D386" s="107"/>
      <c r="E386" s="107"/>
      <c r="F386" s="107"/>
      <c r="G386" s="107"/>
      <c r="H386" s="107"/>
    </row>
    <row r="387" spans="2:8" x14ac:dyDescent="0.25">
      <c r="B387" s="107"/>
      <c r="C387" s="107"/>
      <c r="D387" s="107"/>
      <c r="E387" s="107"/>
      <c r="F387" s="107"/>
      <c r="G387" s="107"/>
      <c r="H387" s="107"/>
    </row>
    <row r="388" spans="2:8" x14ac:dyDescent="0.25">
      <c r="B388" s="107"/>
      <c r="C388" s="107"/>
      <c r="D388" s="107"/>
      <c r="E388" s="107"/>
      <c r="F388" s="107"/>
      <c r="G388" s="107"/>
      <c r="H388" s="107"/>
    </row>
    <row r="389" spans="2:8" x14ac:dyDescent="0.25">
      <c r="B389" s="107"/>
      <c r="C389" s="107"/>
      <c r="D389" s="107"/>
      <c r="E389" s="107"/>
      <c r="F389" s="107"/>
      <c r="G389" s="107"/>
      <c r="H389" s="107"/>
    </row>
    <row r="390" spans="2:8" x14ac:dyDescent="0.25">
      <c r="B390" s="107"/>
      <c r="C390" s="107"/>
      <c r="D390" s="107"/>
      <c r="E390" s="107"/>
      <c r="F390" s="107"/>
      <c r="G390" s="107"/>
      <c r="H390" s="107"/>
    </row>
    <row r="391" spans="2:8" x14ac:dyDescent="0.25">
      <c r="B391" s="107"/>
      <c r="C391" s="107"/>
      <c r="D391" s="107"/>
      <c r="E391" s="107"/>
      <c r="F391" s="107"/>
      <c r="G391" s="107"/>
      <c r="H391" s="107"/>
    </row>
    <row r="392" spans="2:8" x14ac:dyDescent="0.25">
      <c r="B392" s="107"/>
      <c r="C392" s="107"/>
      <c r="D392" s="107"/>
      <c r="E392" s="107"/>
      <c r="F392" s="107"/>
      <c r="G392" s="107"/>
      <c r="H392" s="107"/>
    </row>
    <row r="393" spans="2:8" x14ac:dyDescent="0.25">
      <c r="B393" s="107"/>
      <c r="C393" s="107"/>
      <c r="D393" s="107"/>
      <c r="E393" s="107"/>
      <c r="F393" s="107"/>
      <c r="G393" s="107"/>
      <c r="H393" s="107"/>
    </row>
    <row r="394" spans="2:8" x14ac:dyDescent="0.25">
      <c r="B394" s="107"/>
      <c r="C394" s="107"/>
      <c r="D394" s="107"/>
      <c r="E394" s="107"/>
      <c r="F394" s="107"/>
      <c r="G394" s="107"/>
      <c r="H394" s="107"/>
    </row>
    <row r="395" spans="2:8" x14ac:dyDescent="0.25">
      <c r="B395" s="107"/>
      <c r="C395" s="107"/>
      <c r="D395" s="107"/>
      <c r="E395" s="107"/>
      <c r="F395" s="107"/>
      <c r="G395" s="107"/>
      <c r="H395" s="107"/>
    </row>
    <row r="396" spans="2:8" x14ac:dyDescent="0.25">
      <c r="B396" s="107"/>
      <c r="C396" s="107"/>
      <c r="D396" s="107"/>
      <c r="E396" s="107"/>
      <c r="F396" s="107"/>
      <c r="G396" s="107"/>
      <c r="H396" s="107"/>
    </row>
    <row r="397" spans="2:8" x14ac:dyDescent="0.25">
      <c r="B397" s="107"/>
      <c r="C397" s="107"/>
      <c r="D397" s="107"/>
      <c r="E397" s="107"/>
      <c r="F397" s="107"/>
      <c r="G397" s="107"/>
      <c r="H397" s="107"/>
    </row>
    <row r="398" spans="2:8" x14ac:dyDescent="0.25">
      <c r="B398" s="107"/>
      <c r="C398" s="107"/>
      <c r="D398" s="107"/>
      <c r="E398" s="107"/>
      <c r="F398" s="107"/>
      <c r="G398" s="107"/>
      <c r="H398" s="107"/>
    </row>
    <row r="399" spans="2:8" x14ac:dyDescent="0.25">
      <c r="B399" s="107"/>
      <c r="C399" s="107"/>
      <c r="D399" s="107"/>
      <c r="E399" s="107"/>
      <c r="F399" s="107"/>
      <c r="G399" s="107"/>
      <c r="H399" s="107"/>
    </row>
    <row r="400" spans="2:8" x14ac:dyDescent="0.25">
      <c r="B400" s="107"/>
      <c r="C400" s="107"/>
      <c r="D400" s="107"/>
      <c r="E400" s="107"/>
      <c r="F400" s="107"/>
      <c r="G400" s="107"/>
      <c r="H400" s="107"/>
    </row>
    <row r="401" spans="2:8" x14ac:dyDescent="0.25">
      <c r="B401" s="107"/>
      <c r="C401" s="107"/>
      <c r="D401" s="107"/>
      <c r="E401" s="107"/>
      <c r="F401" s="107"/>
      <c r="G401" s="107"/>
      <c r="H401" s="107"/>
    </row>
    <row r="402" spans="2:8" x14ac:dyDescent="0.25">
      <c r="B402" s="107"/>
      <c r="C402" s="107"/>
      <c r="D402" s="107"/>
      <c r="E402" s="107"/>
      <c r="F402" s="107"/>
      <c r="G402" s="107"/>
      <c r="H402" s="107"/>
    </row>
    <row r="403" spans="2:8" x14ac:dyDescent="0.25">
      <c r="B403" s="107"/>
      <c r="C403" s="107"/>
      <c r="D403" s="107"/>
      <c r="E403" s="107"/>
      <c r="F403" s="107"/>
      <c r="G403" s="107"/>
      <c r="H403" s="107"/>
    </row>
    <row r="404" spans="2:8" x14ac:dyDescent="0.25">
      <c r="B404" s="107"/>
      <c r="C404" s="107"/>
      <c r="D404" s="107"/>
      <c r="E404" s="107"/>
      <c r="F404" s="107"/>
      <c r="G404" s="107"/>
      <c r="H404" s="107"/>
    </row>
    <row r="405" spans="2:8" x14ac:dyDescent="0.25">
      <c r="B405" s="107"/>
      <c r="C405" s="107"/>
      <c r="D405" s="107"/>
      <c r="E405" s="107"/>
      <c r="F405" s="107"/>
      <c r="G405" s="107"/>
      <c r="H405" s="107"/>
    </row>
    <row r="406" spans="2:8" x14ac:dyDescent="0.25">
      <c r="B406" s="107"/>
      <c r="C406" s="107"/>
      <c r="D406" s="107"/>
      <c r="E406" s="107"/>
      <c r="F406" s="107"/>
      <c r="G406" s="107"/>
      <c r="H406" s="107"/>
    </row>
    <row r="407" spans="2:8" x14ac:dyDescent="0.25">
      <c r="B407" s="107"/>
      <c r="C407" s="107"/>
      <c r="D407" s="107"/>
      <c r="E407" s="107"/>
      <c r="F407" s="107"/>
      <c r="G407" s="107"/>
      <c r="H407" s="107"/>
    </row>
    <row r="408" spans="2:8" x14ac:dyDescent="0.25">
      <c r="B408" s="107"/>
      <c r="C408" s="107"/>
      <c r="D408" s="107"/>
      <c r="E408" s="107"/>
      <c r="F408" s="107"/>
      <c r="G408" s="107"/>
      <c r="H408" s="107"/>
    </row>
    <row r="409" spans="2:8" x14ac:dyDescent="0.25">
      <c r="B409" s="107"/>
      <c r="C409" s="107"/>
      <c r="D409" s="107"/>
      <c r="E409" s="107"/>
      <c r="F409" s="107"/>
      <c r="G409" s="107"/>
      <c r="H409" s="107"/>
    </row>
    <row r="410" spans="2:8" x14ac:dyDescent="0.25">
      <c r="B410" s="107"/>
      <c r="C410" s="107"/>
      <c r="D410" s="107"/>
      <c r="E410" s="107"/>
      <c r="F410" s="107"/>
      <c r="G410" s="107"/>
      <c r="H410" s="107"/>
    </row>
    <row r="411" spans="2:8" x14ac:dyDescent="0.25">
      <c r="B411" s="107"/>
      <c r="C411" s="107"/>
      <c r="D411" s="107"/>
      <c r="E411" s="107"/>
      <c r="F411" s="107"/>
      <c r="G411" s="107"/>
      <c r="H411" s="107"/>
    </row>
    <row r="412" spans="2:8" x14ac:dyDescent="0.25">
      <c r="B412" s="107"/>
      <c r="C412" s="107"/>
      <c r="D412" s="107"/>
      <c r="E412" s="107"/>
      <c r="F412" s="107"/>
      <c r="G412" s="107"/>
      <c r="H412" s="107"/>
    </row>
    <row r="413" spans="2:8" x14ac:dyDescent="0.25">
      <c r="B413" s="107"/>
      <c r="C413" s="107"/>
      <c r="D413" s="107"/>
      <c r="E413" s="107"/>
      <c r="F413" s="107"/>
      <c r="G413" s="107"/>
      <c r="H413" s="107"/>
    </row>
    <row r="414" spans="2:8" x14ac:dyDescent="0.25">
      <c r="B414" s="107"/>
      <c r="C414" s="107"/>
      <c r="D414" s="107"/>
      <c r="E414" s="107"/>
      <c r="F414" s="107"/>
      <c r="G414" s="107"/>
      <c r="H414" s="107"/>
    </row>
    <row r="415" spans="2:8" x14ac:dyDescent="0.25">
      <c r="B415" s="107"/>
      <c r="C415" s="107"/>
      <c r="D415" s="107"/>
      <c r="E415" s="107"/>
      <c r="F415" s="107"/>
      <c r="G415" s="107"/>
      <c r="H415" s="107"/>
    </row>
    <row r="416" spans="2:8" x14ac:dyDescent="0.25">
      <c r="B416" s="107"/>
      <c r="C416" s="107"/>
      <c r="D416" s="107"/>
      <c r="E416" s="107"/>
      <c r="F416" s="107"/>
      <c r="G416" s="107"/>
      <c r="H416" s="107"/>
    </row>
    <row r="417" spans="2:8" x14ac:dyDescent="0.25">
      <c r="B417" s="107"/>
      <c r="C417" s="107"/>
      <c r="D417" s="107"/>
      <c r="E417" s="107"/>
      <c r="F417" s="107"/>
      <c r="G417" s="107"/>
      <c r="H417" s="107"/>
    </row>
    <row r="418" spans="2:8" x14ac:dyDescent="0.25">
      <c r="B418" s="107"/>
      <c r="C418" s="107"/>
      <c r="D418" s="107"/>
      <c r="E418" s="107"/>
      <c r="F418" s="107"/>
      <c r="G418" s="107"/>
      <c r="H418" s="107"/>
    </row>
    <row r="419" spans="2:8" x14ac:dyDescent="0.25">
      <c r="B419" s="107"/>
      <c r="C419" s="107"/>
      <c r="D419" s="107"/>
      <c r="E419" s="107"/>
      <c r="F419" s="107"/>
      <c r="G419" s="107"/>
      <c r="H419" s="107"/>
    </row>
    <row r="420" spans="2:8" x14ac:dyDescent="0.25">
      <c r="B420" s="107"/>
      <c r="C420" s="107"/>
      <c r="D420" s="107"/>
      <c r="E420" s="107"/>
      <c r="F420" s="107"/>
      <c r="G420" s="107"/>
      <c r="H420" s="107"/>
    </row>
    <row r="421" spans="2:8" x14ac:dyDescent="0.25">
      <c r="B421" s="107"/>
      <c r="C421" s="107"/>
      <c r="D421" s="107"/>
      <c r="E421" s="107"/>
      <c r="F421" s="107"/>
      <c r="G421" s="107"/>
      <c r="H421" s="107"/>
    </row>
    <row r="422" spans="2:8" x14ac:dyDescent="0.25">
      <c r="B422" s="107"/>
      <c r="C422" s="107"/>
      <c r="D422" s="107"/>
      <c r="E422" s="107"/>
      <c r="F422" s="107"/>
      <c r="G422" s="107"/>
      <c r="H422" s="107"/>
    </row>
    <row r="423" spans="2:8" x14ac:dyDescent="0.25">
      <c r="B423" s="107"/>
      <c r="C423" s="107"/>
      <c r="D423" s="107"/>
      <c r="E423" s="107"/>
      <c r="F423" s="107"/>
      <c r="G423" s="107"/>
      <c r="H423" s="107"/>
    </row>
    <row r="424" spans="2:8" x14ac:dyDescent="0.25">
      <c r="B424" s="107"/>
      <c r="C424" s="107"/>
      <c r="D424" s="107"/>
      <c r="E424" s="107"/>
      <c r="F424" s="107"/>
      <c r="G424" s="107"/>
      <c r="H424" s="107"/>
    </row>
    <row r="425" spans="2:8" x14ac:dyDescent="0.25">
      <c r="B425" s="107"/>
      <c r="C425" s="107"/>
      <c r="D425" s="107"/>
      <c r="E425" s="107"/>
      <c r="F425" s="107"/>
      <c r="G425" s="107"/>
      <c r="H425" s="107"/>
    </row>
    <row r="426" spans="2:8" x14ac:dyDescent="0.25">
      <c r="B426" s="107"/>
      <c r="C426" s="107"/>
      <c r="D426" s="107"/>
      <c r="E426" s="107"/>
      <c r="F426" s="107"/>
      <c r="G426" s="107"/>
      <c r="H426" s="107"/>
    </row>
    <row r="427" spans="2:8" x14ac:dyDescent="0.25">
      <c r="B427" s="107"/>
      <c r="C427" s="107"/>
      <c r="D427" s="107"/>
      <c r="E427" s="107"/>
      <c r="F427" s="107"/>
      <c r="G427" s="107"/>
      <c r="H427" s="107"/>
    </row>
    <row r="428" spans="2:8" x14ac:dyDescent="0.25">
      <c r="B428" s="107"/>
      <c r="C428" s="107"/>
      <c r="D428" s="107"/>
      <c r="E428" s="107"/>
      <c r="F428" s="107"/>
      <c r="G428" s="107"/>
      <c r="H428" s="107"/>
    </row>
    <row r="429" spans="2:8" x14ac:dyDescent="0.25">
      <c r="B429" s="107"/>
      <c r="C429" s="107"/>
      <c r="D429" s="107"/>
      <c r="E429" s="107"/>
      <c r="F429" s="107"/>
      <c r="G429" s="107"/>
      <c r="H429" s="107"/>
    </row>
    <row r="430" spans="2:8" x14ac:dyDescent="0.25">
      <c r="B430" s="107"/>
      <c r="C430" s="107"/>
      <c r="D430" s="107"/>
      <c r="E430" s="107"/>
      <c r="F430" s="107"/>
      <c r="G430" s="107"/>
      <c r="H430" s="107"/>
    </row>
    <row r="431" spans="2:8" x14ac:dyDescent="0.25">
      <c r="B431" s="107"/>
      <c r="C431" s="107"/>
      <c r="D431" s="107"/>
      <c r="E431" s="107"/>
      <c r="F431" s="107"/>
      <c r="G431" s="107"/>
      <c r="H431" s="107"/>
    </row>
    <row r="432" spans="2:8" x14ac:dyDescent="0.25">
      <c r="B432" s="107"/>
      <c r="C432" s="107"/>
      <c r="D432" s="107"/>
      <c r="E432" s="107"/>
      <c r="F432" s="107"/>
      <c r="G432" s="107"/>
      <c r="H432" s="107"/>
    </row>
    <row r="433" spans="2:8" x14ac:dyDescent="0.25">
      <c r="B433" s="107"/>
      <c r="C433" s="107"/>
      <c r="D433" s="107"/>
      <c r="E433" s="107"/>
      <c r="F433" s="107"/>
      <c r="G433" s="107"/>
      <c r="H433" s="107"/>
    </row>
    <row r="434" spans="2:8" x14ac:dyDescent="0.25">
      <c r="B434" s="107"/>
      <c r="C434" s="107"/>
      <c r="D434" s="107"/>
      <c r="E434" s="107"/>
      <c r="F434" s="107"/>
      <c r="G434" s="107"/>
      <c r="H434" s="107"/>
    </row>
    <row r="435" spans="2:8" x14ac:dyDescent="0.25">
      <c r="B435" s="107"/>
      <c r="C435" s="107"/>
      <c r="D435" s="107"/>
      <c r="E435" s="107"/>
      <c r="F435" s="107"/>
      <c r="G435" s="107"/>
      <c r="H435" s="107"/>
    </row>
    <row r="436" spans="2:8" x14ac:dyDescent="0.25">
      <c r="B436" s="107"/>
      <c r="C436" s="107"/>
      <c r="D436" s="107"/>
      <c r="E436" s="107"/>
      <c r="F436" s="107"/>
      <c r="G436" s="107"/>
      <c r="H436" s="107"/>
    </row>
    <row r="437" spans="2:8" x14ac:dyDescent="0.25">
      <c r="B437" s="107"/>
      <c r="C437" s="107"/>
      <c r="D437" s="107"/>
      <c r="E437" s="107"/>
      <c r="F437" s="107"/>
      <c r="G437" s="107"/>
      <c r="H437" s="107"/>
    </row>
    <row r="438" spans="2:8" x14ac:dyDescent="0.25">
      <c r="B438" s="107"/>
      <c r="C438" s="107"/>
      <c r="D438" s="107"/>
      <c r="E438" s="107"/>
      <c r="F438" s="107"/>
      <c r="G438" s="107"/>
      <c r="H438" s="107"/>
    </row>
    <row r="439" spans="2:8" x14ac:dyDescent="0.25">
      <c r="B439" s="107"/>
      <c r="C439" s="107"/>
      <c r="D439" s="107"/>
      <c r="E439" s="107"/>
      <c r="F439" s="107"/>
      <c r="G439" s="107"/>
      <c r="H439" s="107"/>
    </row>
    <row r="440" spans="2:8" x14ac:dyDescent="0.25">
      <c r="B440" s="107"/>
      <c r="C440" s="107"/>
      <c r="D440" s="107"/>
      <c r="E440" s="107"/>
      <c r="F440" s="107"/>
      <c r="G440" s="107"/>
      <c r="H440" s="107"/>
    </row>
    <row r="441" spans="2:8" x14ac:dyDescent="0.25">
      <c r="B441" s="107"/>
      <c r="C441" s="107"/>
      <c r="D441" s="107"/>
      <c r="E441" s="107"/>
      <c r="F441" s="107"/>
      <c r="G441" s="107"/>
      <c r="H441" s="107"/>
    </row>
    <row r="442" spans="2:8" x14ac:dyDescent="0.25">
      <c r="B442" s="107"/>
      <c r="C442" s="107"/>
      <c r="D442" s="107"/>
      <c r="E442" s="107"/>
      <c r="F442" s="107"/>
      <c r="G442" s="107"/>
      <c r="H442" s="107"/>
    </row>
    <row r="443" spans="2:8" x14ac:dyDescent="0.25">
      <c r="B443" s="107"/>
      <c r="C443" s="107"/>
      <c r="D443" s="107"/>
      <c r="E443" s="107"/>
      <c r="F443" s="107"/>
      <c r="G443" s="107"/>
      <c r="H443" s="107"/>
    </row>
    <row r="444" spans="2:8" x14ac:dyDescent="0.25">
      <c r="B444" s="107"/>
      <c r="C444" s="107"/>
      <c r="D444" s="107"/>
      <c r="E444" s="107"/>
      <c r="F444" s="107"/>
      <c r="G444" s="107"/>
      <c r="H444" s="107"/>
    </row>
    <row r="445" spans="2:8" x14ac:dyDescent="0.25">
      <c r="B445" s="107"/>
      <c r="C445" s="107"/>
      <c r="D445" s="107"/>
      <c r="E445" s="107"/>
      <c r="F445" s="107"/>
      <c r="G445" s="107"/>
      <c r="H445" s="107"/>
    </row>
    <row r="446" spans="2:8" x14ac:dyDescent="0.25">
      <c r="B446" s="107"/>
      <c r="C446" s="107"/>
      <c r="D446" s="107"/>
      <c r="E446" s="107"/>
      <c r="F446" s="107"/>
      <c r="G446" s="107"/>
      <c r="H446" s="107"/>
    </row>
    <row r="447" spans="2:8" x14ac:dyDescent="0.25">
      <c r="B447" s="107"/>
      <c r="C447" s="107"/>
      <c r="D447" s="107"/>
      <c r="E447" s="107"/>
      <c r="F447" s="107"/>
      <c r="G447" s="107"/>
      <c r="H447" s="107"/>
    </row>
    <row r="448" spans="2:8" x14ac:dyDescent="0.25">
      <c r="B448" s="107"/>
      <c r="C448" s="107"/>
      <c r="D448" s="107"/>
      <c r="E448" s="107"/>
      <c r="F448" s="107"/>
      <c r="G448" s="107"/>
      <c r="H448" s="107"/>
    </row>
    <row r="449" spans="2:8" x14ac:dyDescent="0.25">
      <c r="B449" s="107"/>
      <c r="C449" s="107"/>
      <c r="D449" s="107"/>
      <c r="E449" s="107"/>
      <c r="F449" s="107"/>
      <c r="G449" s="107"/>
      <c r="H449" s="107"/>
    </row>
    <row r="450" spans="2:8" x14ac:dyDescent="0.25">
      <c r="B450" s="107"/>
      <c r="C450" s="107"/>
      <c r="D450" s="107"/>
      <c r="E450" s="107"/>
      <c r="F450" s="107"/>
      <c r="G450" s="107"/>
      <c r="H450" s="107"/>
    </row>
    <row r="451" spans="2:8" x14ac:dyDescent="0.25">
      <c r="B451" s="107"/>
      <c r="C451" s="107"/>
      <c r="D451" s="107"/>
      <c r="E451" s="107"/>
      <c r="F451" s="107"/>
      <c r="G451" s="107"/>
      <c r="H451" s="107"/>
    </row>
    <row r="452" spans="2:8" x14ac:dyDescent="0.25">
      <c r="B452" s="107"/>
      <c r="C452" s="107"/>
      <c r="D452" s="107"/>
      <c r="E452" s="107"/>
      <c r="F452" s="107"/>
      <c r="G452" s="107"/>
      <c r="H452" s="107"/>
    </row>
    <row r="453" spans="2:8" x14ac:dyDescent="0.25">
      <c r="B453" s="107"/>
      <c r="C453" s="107"/>
      <c r="D453" s="107"/>
      <c r="E453" s="107"/>
      <c r="F453" s="107"/>
      <c r="G453" s="107"/>
      <c r="H453" s="107"/>
    </row>
    <row r="454" spans="2:8" x14ac:dyDescent="0.25">
      <c r="B454" s="107"/>
      <c r="C454" s="107"/>
      <c r="D454" s="107"/>
      <c r="E454" s="107"/>
      <c r="F454" s="107"/>
      <c r="G454" s="107"/>
      <c r="H454" s="107"/>
    </row>
    <row r="455" spans="2:8" x14ac:dyDescent="0.25">
      <c r="B455" s="107"/>
      <c r="C455" s="107"/>
      <c r="D455" s="107"/>
      <c r="E455" s="107"/>
      <c r="F455" s="107"/>
      <c r="G455" s="107"/>
      <c r="H455" s="107"/>
    </row>
    <row r="456" spans="2:8" x14ac:dyDescent="0.25">
      <c r="B456" s="107"/>
      <c r="C456" s="107"/>
      <c r="D456" s="107"/>
      <c r="E456" s="107"/>
      <c r="F456" s="107"/>
      <c r="G456" s="107"/>
      <c r="H456" s="107"/>
    </row>
    <row r="457" spans="2:8" x14ac:dyDescent="0.25">
      <c r="B457" s="107"/>
      <c r="C457" s="107"/>
      <c r="D457" s="107"/>
      <c r="E457" s="107"/>
      <c r="F457" s="107"/>
      <c r="G457" s="107"/>
      <c r="H457" s="107"/>
    </row>
    <row r="458" spans="2:8" x14ac:dyDescent="0.25">
      <c r="B458" s="107"/>
      <c r="C458" s="107"/>
      <c r="D458" s="107"/>
      <c r="E458" s="107"/>
      <c r="F458" s="107"/>
      <c r="G458" s="107"/>
      <c r="H458" s="107"/>
    </row>
    <row r="459" spans="2:8" x14ac:dyDescent="0.25">
      <c r="B459" s="107"/>
      <c r="C459" s="107"/>
      <c r="D459" s="107"/>
      <c r="E459" s="107"/>
      <c r="F459" s="107"/>
      <c r="G459" s="107"/>
      <c r="H459" s="107"/>
    </row>
    <row r="460" spans="2:8" x14ac:dyDescent="0.25">
      <c r="B460" s="107"/>
      <c r="C460" s="107"/>
      <c r="D460" s="107"/>
      <c r="E460" s="107"/>
      <c r="F460" s="107"/>
      <c r="G460" s="107"/>
      <c r="H460" s="107"/>
    </row>
    <row r="461" spans="2:8" x14ac:dyDescent="0.25">
      <c r="B461" s="107"/>
      <c r="C461" s="107"/>
      <c r="D461" s="107"/>
      <c r="E461" s="107"/>
      <c r="F461" s="107"/>
      <c r="G461" s="107"/>
      <c r="H461" s="107"/>
    </row>
    <row r="462" spans="2:8" x14ac:dyDescent="0.25">
      <c r="B462" s="107"/>
      <c r="C462" s="107"/>
      <c r="D462" s="107"/>
      <c r="E462" s="107"/>
      <c r="F462" s="107"/>
      <c r="G462" s="107"/>
      <c r="H462" s="107"/>
    </row>
    <row r="463" spans="2:8" x14ac:dyDescent="0.25">
      <c r="B463" s="107"/>
      <c r="C463" s="107"/>
      <c r="D463" s="107"/>
      <c r="E463" s="107"/>
      <c r="F463" s="107"/>
      <c r="G463" s="107"/>
      <c r="H463" s="107"/>
    </row>
    <row r="464" spans="2:8" x14ac:dyDescent="0.25">
      <c r="B464" s="107"/>
      <c r="C464" s="107"/>
      <c r="D464" s="107"/>
      <c r="E464" s="107"/>
      <c r="F464" s="107"/>
      <c r="G464" s="107"/>
      <c r="H464" s="107"/>
    </row>
    <row r="465" spans="2:8" x14ac:dyDescent="0.25">
      <c r="B465" s="107"/>
      <c r="C465" s="107"/>
      <c r="D465" s="107"/>
      <c r="E465" s="107"/>
      <c r="F465" s="107"/>
      <c r="G465" s="107"/>
      <c r="H465" s="107"/>
    </row>
    <row r="466" spans="2:8" x14ac:dyDescent="0.25">
      <c r="B466" s="107"/>
      <c r="C466" s="107"/>
      <c r="D466" s="107"/>
      <c r="E466" s="107"/>
      <c r="F466" s="107"/>
      <c r="G466" s="107"/>
      <c r="H466" s="107"/>
    </row>
    <row r="467" spans="2:8" x14ac:dyDescent="0.25">
      <c r="B467" s="107"/>
      <c r="C467" s="107"/>
      <c r="D467" s="107"/>
      <c r="E467" s="107"/>
      <c r="F467" s="107"/>
      <c r="G467" s="107"/>
      <c r="H467" s="107"/>
    </row>
    <row r="468" spans="2:8" x14ac:dyDescent="0.25">
      <c r="B468" s="107"/>
      <c r="C468" s="107"/>
      <c r="D468" s="107"/>
      <c r="E468" s="107"/>
      <c r="F468" s="107"/>
      <c r="G468" s="107"/>
      <c r="H468" s="107"/>
    </row>
    <row r="469" spans="2:8" x14ac:dyDescent="0.25">
      <c r="B469" s="107"/>
      <c r="C469" s="107"/>
      <c r="D469" s="107"/>
      <c r="E469" s="107"/>
      <c r="F469" s="107"/>
      <c r="G469" s="107"/>
      <c r="H469" s="107"/>
    </row>
    <row r="470" spans="2:8" x14ac:dyDescent="0.25">
      <c r="B470" s="107"/>
      <c r="C470" s="107"/>
      <c r="D470" s="107"/>
      <c r="E470" s="107"/>
      <c r="F470" s="107"/>
      <c r="G470" s="107"/>
      <c r="H470" s="107"/>
    </row>
    <row r="471" spans="2:8" x14ac:dyDescent="0.25">
      <c r="B471" s="107"/>
      <c r="C471" s="107"/>
      <c r="D471" s="107"/>
      <c r="E471" s="107"/>
      <c r="F471" s="107"/>
      <c r="G471" s="107"/>
      <c r="H471" s="107"/>
    </row>
    <row r="472" spans="2:8" x14ac:dyDescent="0.25">
      <c r="B472" s="107"/>
      <c r="C472" s="107"/>
      <c r="D472" s="107"/>
      <c r="E472" s="107"/>
      <c r="F472" s="107"/>
      <c r="G472" s="107"/>
      <c r="H472" s="107"/>
    </row>
    <row r="473" spans="2:8" x14ac:dyDescent="0.25">
      <c r="B473" s="107"/>
      <c r="C473" s="107"/>
      <c r="D473" s="107"/>
      <c r="E473" s="107"/>
      <c r="F473" s="107"/>
      <c r="G473" s="107"/>
      <c r="H473" s="107"/>
    </row>
    <row r="474" spans="2:8" x14ac:dyDescent="0.25">
      <c r="B474" s="107"/>
      <c r="C474" s="107"/>
      <c r="D474" s="107"/>
      <c r="E474" s="107"/>
      <c r="F474" s="107"/>
      <c r="G474" s="107"/>
      <c r="H474" s="107"/>
    </row>
    <row r="475" spans="2:8" x14ac:dyDescent="0.25">
      <c r="B475" s="107"/>
      <c r="C475" s="107"/>
      <c r="D475" s="107"/>
      <c r="E475" s="107"/>
      <c r="F475" s="107"/>
      <c r="G475" s="107"/>
      <c r="H475" s="107"/>
    </row>
    <row r="476" spans="2:8" x14ac:dyDescent="0.25">
      <c r="B476" s="107"/>
      <c r="C476" s="107"/>
      <c r="D476" s="107"/>
      <c r="E476" s="107"/>
      <c r="F476" s="107"/>
      <c r="G476" s="107"/>
      <c r="H476" s="107"/>
    </row>
    <row r="477" spans="2:8" x14ac:dyDescent="0.25">
      <c r="B477" s="107"/>
      <c r="C477" s="107"/>
      <c r="D477" s="107"/>
      <c r="E477" s="107"/>
      <c r="F477" s="107"/>
      <c r="G477" s="107"/>
      <c r="H477" s="107"/>
    </row>
    <row r="478" spans="2:8" x14ac:dyDescent="0.25">
      <c r="B478" s="107"/>
      <c r="C478" s="107"/>
      <c r="D478" s="107"/>
      <c r="E478" s="107"/>
      <c r="F478" s="107"/>
      <c r="G478" s="107"/>
      <c r="H478" s="107"/>
    </row>
    <row r="479" spans="2:8" x14ac:dyDescent="0.25">
      <c r="B479" s="107"/>
      <c r="C479" s="107"/>
      <c r="D479" s="107"/>
      <c r="E479" s="107"/>
      <c r="F479" s="107"/>
      <c r="G479" s="107"/>
      <c r="H479" s="107"/>
    </row>
    <row r="480" spans="2:8" x14ac:dyDescent="0.25">
      <c r="B480" s="107"/>
      <c r="C480" s="107"/>
      <c r="D480" s="107"/>
      <c r="E480" s="107"/>
      <c r="F480" s="107"/>
      <c r="G480" s="107"/>
      <c r="H480" s="107"/>
    </row>
    <row r="481" spans="2:8" x14ac:dyDescent="0.25">
      <c r="B481" s="107"/>
      <c r="C481" s="107"/>
      <c r="D481" s="107"/>
      <c r="E481" s="107"/>
      <c r="F481" s="107"/>
      <c r="G481" s="107"/>
      <c r="H481" s="107"/>
    </row>
    <row r="482" spans="2:8" x14ac:dyDescent="0.25">
      <c r="B482" s="107"/>
      <c r="C482" s="107"/>
      <c r="D482" s="107"/>
      <c r="E482" s="107"/>
      <c r="F482" s="107"/>
      <c r="G482" s="107"/>
      <c r="H482" s="107"/>
    </row>
    <row r="483" spans="2:8" x14ac:dyDescent="0.25">
      <c r="B483" s="107"/>
      <c r="C483" s="107"/>
      <c r="D483" s="107"/>
      <c r="E483" s="107"/>
      <c r="F483" s="107"/>
      <c r="G483" s="107"/>
      <c r="H483" s="107"/>
    </row>
    <row r="484" spans="2:8" x14ac:dyDescent="0.25">
      <c r="B484" s="107"/>
      <c r="C484" s="107"/>
      <c r="D484" s="107"/>
      <c r="E484" s="107"/>
      <c r="F484" s="107"/>
      <c r="G484" s="107"/>
      <c r="H484" s="107"/>
    </row>
    <row r="485" spans="2:8" x14ac:dyDescent="0.25">
      <c r="B485" s="107"/>
      <c r="C485" s="107"/>
      <c r="D485" s="107"/>
      <c r="E485" s="107"/>
      <c r="F485" s="107"/>
      <c r="G485" s="107"/>
      <c r="H485" s="107"/>
    </row>
    <row r="486" spans="2:8" x14ac:dyDescent="0.25">
      <c r="B486" s="107"/>
      <c r="C486" s="107"/>
      <c r="D486" s="107"/>
      <c r="E486" s="107"/>
      <c r="F486" s="107"/>
      <c r="G486" s="107"/>
      <c r="H486" s="107"/>
    </row>
    <row r="487" spans="2:8" x14ac:dyDescent="0.25">
      <c r="B487" s="107"/>
      <c r="C487" s="107"/>
      <c r="D487" s="107"/>
      <c r="E487" s="107"/>
      <c r="F487" s="107"/>
      <c r="G487" s="107"/>
      <c r="H487" s="107"/>
    </row>
    <row r="488" spans="2:8" x14ac:dyDescent="0.25">
      <c r="B488" s="107"/>
      <c r="C488" s="107"/>
      <c r="D488" s="107"/>
      <c r="E488" s="107"/>
      <c r="F488" s="107"/>
      <c r="G488" s="107"/>
      <c r="H488" s="107"/>
    </row>
    <row r="489" spans="2:8" x14ac:dyDescent="0.25">
      <c r="B489" s="107"/>
      <c r="C489" s="107"/>
      <c r="D489" s="107"/>
      <c r="E489" s="107"/>
      <c r="F489" s="107"/>
      <c r="G489" s="107"/>
      <c r="H489" s="107"/>
    </row>
    <row r="490" spans="2:8" x14ac:dyDescent="0.25">
      <c r="B490" s="107"/>
      <c r="C490" s="107"/>
      <c r="D490" s="107"/>
      <c r="E490" s="107"/>
      <c r="F490" s="107"/>
      <c r="G490" s="107"/>
      <c r="H490" s="107"/>
    </row>
    <row r="491" spans="2:8" x14ac:dyDescent="0.25">
      <c r="B491" s="107"/>
      <c r="C491" s="107"/>
      <c r="D491" s="107"/>
      <c r="E491" s="107"/>
      <c r="F491" s="107"/>
      <c r="G491" s="107"/>
      <c r="H491" s="107"/>
    </row>
    <row r="492" spans="2:8" x14ac:dyDescent="0.25">
      <c r="B492" s="107"/>
      <c r="C492" s="107"/>
      <c r="D492" s="107"/>
      <c r="E492" s="107"/>
      <c r="F492" s="107"/>
      <c r="G492" s="107"/>
      <c r="H492" s="107"/>
    </row>
    <row r="493" spans="2:8" x14ac:dyDescent="0.25">
      <c r="B493" s="107"/>
      <c r="C493" s="107"/>
      <c r="D493" s="107"/>
      <c r="E493" s="107"/>
      <c r="F493" s="107"/>
      <c r="G493" s="107"/>
      <c r="H493" s="107"/>
    </row>
    <row r="494" spans="2:8" x14ac:dyDescent="0.25">
      <c r="B494" s="107"/>
      <c r="C494" s="107"/>
      <c r="D494" s="107"/>
      <c r="E494" s="107"/>
      <c r="F494" s="107"/>
      <c r="G494" s="107"/>
      <c r="H494" s="107"/>
    </row>
    <row r="495" spans="2:8" x14ac:dyDescent="0.25">
      <c r="B495" s="107"/>
      <c r="C495" s="107"/>
      <c r="D495" s="107"/>
      <c r="E495" s="107"/>
      <c r="F495" s="107"/>
      <c r="G495" s="107"/>
      <c r="H495" s="107"/>
    </row>
    <row r="496" spans="2:8" x14ac:dyDescent="0.25">
      <c r="B496" s="107"/>
      <c r="C496" s="107"/>
      <c r="D496" s="107"/>
      <c r="E496" s="107"/>
      <c r="F496" s="107"/>
      <c r="G496" s="107"/>
      <c r="H496" s="107"/>
    </row>
    <row r="497" spans="2:8" x14ac:dyDescent="0.25">
      <c r="B497" s="107"/>
      <c r="C497" s="107"/>
      <c r="D497" s="107"/>
      <c r="E497" s="107"/>
      <c r="F497" s="107"/>
      <c r="G497" s="107"/>
      <c r="H497" s="107"/>
    </row>
    <row r="498" spans="2:8" x14ac:dyDescent="0.25">
      <c r="B498" s="107"/>
      <c r="C498" s="107"/>
      <c r="D498" s="107"/>
      <c r="E498" s="107"/>
      <c r="F498" s="107"/>
      <c r="G498" s="107"/>
      <c r="H498" s="107"/>
    </row>
    <row r="499" spans="2:8" x14ac:dyDescent="0.25">
      <c r="B499" s="107"/>
      <c r="C499" s="107"/>
      <c r="D499" s="107"/>
      <c r="E499" s="107"/>
      <c r="F499" s="107"/>
      <c r="G499" s="107"/>
      <c r="H499" s="107"/>
    </row>
    <row r="500" spans="2:8" x14ac:dyDescent="0.25">
      <c r="B500" s="107"/>
      <c r="C500" s="107"/>
      <c r="D500" s="107"/>
      <c r="E500" s="107"/>
      <c r="F500" s="107"/>
      <c r="G500" s="107"/>
      <c r="H500" s="107"/>
    </row>
    <row r="501" spans="2:8" x14ac:dyDescent="0.25">
      <c r="B501" s="107"/>
      <c r="C501" s="107"/>
      <c r="D501" s="107"/>
      <c r="E501" s="107"/>
      <c r="F501" s="107"/>
      <c r="G501" s="107"/>
      <c r="H501" s="107"/>
    </row>
    <row r="502" spans="2:8" x14ac:dyDescent="0.25">
      <c r="B502" s="107"/>
      <c r="C502" s="107"/>
      <c r="D502" s="107"/>
      <c r="E502" s="107"/>
      <c r="F502" s="107"/>
      <c r="G502" s="107"/>
      <c r="H502" s="107"/>
    </row>
    <row r="503" spans="2:8" x14ac:dyDescent="0.25">
      <c r="B503" s="107"/>
      <c r="C503" s="107"/>
      <c r="D503" s="107"/>
      <c r="E503" s="107"/>
      <c r="F503" s="107"/>
      <c r="G503" s="107"/>
      <c r="H503" s="107"/>
    </row>
    <row r="504" spans="2:8" x14ac:dyDescent="0.25">
      <c r="B504" s="107"/>
      <c r="C504" s="107"/>
      <c r="D504" s="107"/>
      <c r="E504" s="107"/>
      <c r="F504" s="107"/>
      <c r="G504" s="107"/>
      <c r="H504" s="107"/>
    </row>
    <row r="505" spans="2:8" x14ac:dyDescent="0.25">
      <c r="B505" s="107"/>
      <c r="C505" s="107"/>
      <c r="D505" s="107"/>
      <c r="E505" s="107"/>
      <c r="F505" s="107"/>
      <c r="G505" s="107"/>
      <c r="H505" s="107"/>
    </row>
    <row r="506" spans="2:8" x14ac:dyDescent="0.25">
      <c r="B506" s="107"/>
      <c r="C506" s="107"/>
      <c r="D506" s="107"/>
      <c r="E506" s="107"/>
      <c r="F506" s="107"/>
      <c r="G506" s="107"/>
      <c r="H506" s="107"/>
    </row>
    <row r="507" spans="2:8" x14ac:dyDescent="0.25">
      <c r="B507" s="107"/>
      <c r="C507" s="107"/>
      <c r="D507" s="107"/>
      <c r="E507" s="107"/>
      <c r="F507" s="107"/>
      <c r="G507" s="107"/>
      <c r="H507" s="107"/>
    </row>
    <row r="508" spans="2:8" x14ac:dyDescent="0.25">
      <c r="B508" s="107"/>
      <c r="C508" s="107"/>
      <c r="D508" s="107"/>
      <c r="E508" s="107"/>
      <c r="F508" s="107"/>
      <c r="G508" s="107"/>
      <c r="H508" s="107"/>
    </row>
    <row r="509" spans="2:8" x14ac:dyDescent="0.25">
      <c r="B509" s="107"/>
      <c r="C509" s="107"/>
      <c r="D509" s="107"/>
      <c r="E509" s="107"/>
      <c r="F509" s="107"/>
      <c r="G509" s="107"/>
      <c r="H509" s="107"/>
    </row>
    <row r="510" spans="2:8" x14ac:dyDescent="0.25">
      <c r="B510" s="107"/>
      <c r="C510" s="107"/>
      <c r="D510" s="107"/>
      <c r="E510" s="107"/>
      <c r="F510" s="107"/>
      <c r="G510" s="107"/>
      <c r="H510" s="107"/>
    </row>
    <row r="511" spans="2:8" x14ac:dyDescent="0.25">
      <c r="B511" s="107"/>
      <c r="C511" s="107"/>
      <c r="D511" s="107"/>
      <c r="E511" s="107"/>
      <c r="F511" s="107"/>
      <c r="G511" s="107"/>
      <c r="H511" s="107"/>
    </row>
    <row r="512" spans="2:8" x14ac:dyDescent="0.25">
      <c r="B512" s="107"/>
      <c r="C512" s="107"/>
      <c r="D512" s="107"/>
      <c r="E512" s="107"/>
      <c r="F512" s="107"/>
      <c r="G512" s="107"/>
      <c r="H512" s="107"/>
    </row>
    <row r="513" spans="2:8" x14ac:dyDescent="0.25">
      <c r="B513" s="107"/>
      <c r="C513" s="107"/>
      <c r="D513" s="107"/>
      <c r="E513" s="107"/>
      <c r="F513" s="107"/>
      <c r="G513" s="107"/>
      <c r="H513" s="107"/>
    </row>
    <row r="514" spans="2:8" x14ac:dyDescent="0.25">
      <c r="B514" s="107"/>
      <c r="C514" s="107"/>
      <c r="D514" s="107"/>
      <c r="E514" s="107"/>
      <c r="F514" s="107"/>
      <c r="G514" s="107"/>
      <c r="H514" s="107"/>
    </row>
    <row r="515" spans="2:8" x14ac:dyDescent="0.25">
      <c r="B515" s="107"/>
      <c r="C515" s="107"/>
      <c r="D515" s="107"/>
      <c r="E515" s="107"/>
      <c r="F515" s="107"/>
      <c r="G515" s="107"/>
      <c r="H515" s="107"/>
    </row>
    <row r="516" spans="2:8" x14ac:dyDescent="0.25">
      <c r="B516" s="107"/>
      <c r="C516" s="107"/>
      <c r="D516" s="107"/>
      <c r="E516" s="107"/>
      <c r="F516" s="107"/>
      <c r="G516" s="107"/>
      <c r="H516" s="107"/>
    </row>
    <row r="517" spans="2:8" x14ac:dyDescent="0.25">
      <c r="B517" s="107"/>
      <c r="C517" s="107"/>
      <c r="D517" s="107"/>
      <c r="E517" s="107"/>
      <c r="F517" s="107"/>
      <c r="G517" s="107"/>
      <c r="H517" s="107"/>
    </row>
    <row r="518" spans="2:8" x14ac:dyDescent="0.25">
      <c r="B518" s="107"/>
      <c r="C518" s="107"/>
      <c r="D518" s="107"/>
      <c r="E518" s="107"/>
      <c r="F518" s="107"/>
      <c r="G518" s="107"/>
      <c r="H518" s="107"/>
    </row>
    <row r="519" spans="2:8" x14ac:dyDescent="0.25">
      <c r="B519" s="107"/>
      <c r="C519" s="107"/>
      <c r="D519" s="107"/>
      <c r="E519" s="107"/>
      <c r="F519" s="107"/>
      <c r="G519" s="107"/>
      <c r="H519" s="107"/>
    </row>
    <row r="520" spans="2:8" x14ac:dyDescent="0.25">
      <c r="B520" s="107"/>
      <c r="C520" s="107"/>
      <c r="D520" s="107"/>
      <c r="E520" s="107"/>
      <c r="F520" s="107"/>
      <c r="G520" s="107"/>
      <c r="H520" s="107"/>
    </row>
    <row r="521" spans="2:8" x14ac:dyDescent="0.25">
      <c r="B521" s="107"/>
      <c r="C521" s="107"/>
      <c r="D521" s="107"/>
      <c r="E521" s="107"/>
      <c r="F521" s="107"/>
      <c r="G521" s="107"/>
      <c r="H521" s="107"/>
    </row>
    <row r="522" spans="2:8" x14ac:dyDescent="0.25">
      <c r="B522" s="107"/>
      <c r="C522" s="107"/>
      <c r="D522" s="107"/>
      <c r="E522" s="107"/>
      <c r="F522" s="107"/>
      <c r="G522" s="107"/>
      <c r="H522" s="107"/>
    </row>
    <row r="523" spans="2:8" x14ac:dyDescent="0.25">
      <c r="B523" s="107"/>
      <c r="C523" s="107"/>
      <c r="D523" s="107"/>
      <c r="E523" s="107"/>
      <c r="F523" s="107"/>
      <c r="G523" s="107"/>
      <c r="H523" s="107"/>
    </row>
    <row r="524" spans="2:8" x14ac:dyDescent="0.25">
      <c r="B524" s="107"/>
      <c r="C524" s="107"/>
      <c r="D524" s="107"/>
      <c r="E524" s="107"/>
      <c r="F524" s="107"/>
      <c r="G524" s="107"/>
      <c r="H524" s="107"/>
    </row>
    <row r="525" spans="2:8" x14ac:dyDescent="0.25">
      <c r="B525" s="107"/>
      <c r="C525" s="107"/>
      <c r="D525" s="107"/>
      <c r="E525" s="107"/>
      <c r="F525" s="107"/>
      <c r="G525" s="107"/>
      <c r="H525" s="107"/>
    </row>
    <row r="526" spans="2:8" x14ac:dyDescent="0.25">
      <c r="B526" s="107"/>
      <c r="C526" s="107"/>
      <c r="D526" s="107"/>
      <c r="E526" s="107"/>
      <c r="F526" s="107"/>
      <c r="G526" s="107"/>
      <c r="H526" s="107"/>
    </row>
    <row r="527" spans="2:8" x14ac:dyDescent="0.25">
      <c r="B527" s="107"/>
      <c r="C527" s="107"/>
      <c r="D527" s="107"/>
      <c r="E527" s="107"/>
      <c r="F527" s="107"/>
      <c r="G527" s="107"/>
      <c r="H527" s="107"/>
    </row>
    <row r="528" spans="2:8" x14ac:dyDescent="0.25">
      <c r="B528" s="107"/>
      <c r="C528" s="107"/>
      <c r="D528" s="107"/>
      <c r="E528" s="107"/>
      <c r="F528" s="107"/>
      <c r="G528" s="107"/>
      <c r="H528" s="107"/>
    </row>
    <row r="529" spans="2:8" x14ac:dyDescent="0.25">
      <c r="B529" s="107"/>
      <c r="C529" s="107"/>
      <c r="D529" s="107"/>
      <c r="E529" s="107"/>
      <c r="F529" s="107"/>
      <c r="G529" s="107"/>
      <c r="H529" s="107"/>
    </row>
    <row r="530" spans="2:8" x14ac:dyDescent="0.25">
      <c r="B530" s="107"/>
      <c r="C530" s="107"/>
      <c r="D530" s="107"/>
      <c r="E530" s="107"/>
      <c r="F530" s="107"/>
      <c r="G530" s="107"/>
      <c r="H530" s="107"/>
    </row>
    <row r="531" spans="2:8" x14ac:dyDescent="0.25">
      <c r="B531" s="107"/>
      <c r="C531" s="107"/>
      <c r="D531" s="107"/>
      <c r="E531" s="107"/>
      <c r="F531" s="107"/>
      <c r="G531" s="107"/>
      <c r="H531" s="107"/>
    </row>
    <row r="532" spans="2:8" x14ac:dyDescent="0.25">
      <c r="B532" s="107"/>
      <c r="C532" s="107"/>
      <c r="D532" s="107"/>
      <c r="E532" s="107"/>
      <c r="F532" s="107"/>
      <c r="G532" s="107"/>
      <c r="H532" s="107"/>
    </row>
    <row r="533" spans="2:8" x14ac:dyDescent="0.25">
      <c r="B533" s="107"/>
      <c r="C533" s="107"/>
      <c r="D533" s="107"/>
      <c r="E533" s="107"/>
      <c r="F533" s="107"/>
      <c r="G533" s="107"/>
      <c r="H533" s="107"/>
    </row>
    <row r="534" spans="2:8" x14ac:dyDescent="0.25">
      <c r="B534" s="107"/>
      <c r="C534" s="107"/>
      <c r="D534" s="107"/>
      <c r="E534" s="107"/>
      <c r="F534" s="107"/>
      <c r="G534" s="107"/>
      <c r="H534" s="107"/>
    </row>
    <row r="535" spans="2:8" x14ac:dyDescent="0.25">
      <c r="B535" s="107"/>
      <c r="C535" s="107"/>
      <c r="D535" s="107"/>
      <c r="E535" s="107"/>
      <c r="F535" s="107"/>
      <c r="G535" s="107"/>
      <c r="H535" s="107"/>
    </row>
    <row r="536" spans="2:8" x14ac:dyDescent="0.25">
      <c r="B536" s="107"/>
      <c r="C536" s="107"/>
      <c r="D536" s="107"/>
      <c r="E536" s="107"/>
      <c r="F536" s="107"/>
      <c r="G536" s="107"/>
      <c r="H536" s="107"/>
    </row>
    <row r="537" spans="2:8" x14ac:dyDescent="0.25">
      <c r="B537" s="107"/>
      <c r="C537" s="107"/>
      <c r="D537" s="107"/>
      <c r="E537" s="107"/>
      <c r="F537" s="107"/>
      <c r="G537" s="107"/>
      <c r="H537" s="107"/>
    </row>
    <row r="538" spans="2:8" x14ac:dyDescent="0.25">
      <c r="B538" s="107"/>
      <c r="C538" s="107"/>
      <c r="D538" s="107"/>
      <c r="E538" s="107"/>
      <c r="F538" s="107"/>
      <c r="G538" s="107"/>
      <c r="H538" s="107"/>
    </row>
    <row r="539" spans="2:8" x14ac:dyDescent="0.25">
      <c r="B539" s="107"/>
      <c r="C539" s="107"/>
      <c r="D539" s="107"/>
      <c r="E539" s="107"/>
      <c r="F539" s="107"/>
      <c r="G539" s="107"/>
      <c r="H539" s="107"/>
    </row>
    <row r="540" spans="2:8" x14ac:dyDescent="0.25">
      <c r="B540" s="107"/>
      <c r="C540" s="107"/>
      <c r="D540" s="107"/>
      <c r="E540" s="107"/>
      <c r="F540" s="107"/>
      <c r="G540" s="107"/>
      <c r="H540" s="107"/>
    </row>
    <row r="541" spans="2:8" x14ac:dyDescent="0.25">
      <c r="B541" s="107"/>
      <c r="C541" s="107"/>
      <c r="D541" s="107"/>
      <c r="E541" s="107"/>
      <c r="F541" s="107"/>
      <c r="G541" s="107"/>
      <c r="H541" s="107"/>
    </row>
    <row r="542" spans="2:8" x14ac:dyDescent="0.25">
      <c r="B542" s="107"/>
      <c r="C542" s="107"/>
      <c r="D542" s="107"/>
      <c r="E542" s="107"/>
      <c r="F542" s="107"/>
      <c r="G542" s="107"/>
      <c r="H542" s="107"/>
    </row>
    <row r="543" spans="2:8" x14ac:dyDescent="0.25">
      <c r="B543" s="107"/>
      <c r="C543" s="107"/>
      <c r="D543" s="107"/>
      <c r="E543" s="107"/>
      <c r="F543" s="107"/>
      <c r="G543" s="107"/>
      <c r="H543" s="107"/>
    </row>
    <row r="544" spans="2:8" x14ac:dyDescent="0.25">
      <c r="B544" s="107"/>
      <c r="C544" s="107"/>
      <c r="D544" s="107"/>
      <c r="E544" s="107"/>
      <c r="F544" s="107"/>
      <c r="G544" s="107"/>
      <c r="H544" s="107"/>
    </row>
    <row r="545" spans="2:8" x14ac:dyDescent="0.25">
      <c r="B545" s="107"/>
      <c r="C545" s="107"/>
      <c r="D545" s="107"/>
      <c r="E545" s="107"/>
      <c r="F545" s="107"/>
      <c r="G545" s="107"/>
      <c r="H545" s="107"/>
    </row>
    <row r="546" spans="2:8" x14ac:dyDescent="0.25">
      <c r="B546" s="107"/>
      <c r="C546" s="107"/>
      <c r="D546" s="107"/>
      <c r="E546" s="107"/>
      <c r="F546" s="107"/>
      <c r="G546" s="107"/>
      <c r="H546" s="107"/>
    </row>
    <row r="547" spans="2:8" x14ac:dyDescent="0.25">
      <c r="B547" s="107"/>
      <c r="C547" s="107"/>
      <c r="D547" s="107"/>
      <c r="E547" s="107"/>
      <c r="F547" s="107"/>
      <c r="G547" s="107"/>
      <c r="H547" s="107"/>
    </row>
    <row r="548" spans="2:8" x14ac:dyDescent="0.25">
      <c r="B548" s="107"/>
      <c r="C548" s="107"/>
      <c r="D548" s="107"/>
      <c r="E548" s="107"/>
      <c r="F548" s="107"/>
      <c r="G548" s="107"/>
      <c r="H548" s="107"/>
    </row>
    <row r="549" spans="2:8" x14ac:dyDescent="0.25">
      <c r="B549" s="107"/>
      <c r="C549" s="107"/>
      <c r="D549" s="107"/>
      <c r="E549" s="107"/>
      <c r="F549" s="107"/>
      <c r="G549" s="107"/>
      <c r="H549" s="107"/>
    </row>
    <row r="550" spans="2:8" x14ac:dyDescent="0.25">
      <c r="B550" s="107"/>
      <c r="C550" s="107"/>
      <c r="D550" s="107"/>
      <c r="E550" s="107"/>
      <c r="F550" s="107"/>
      <c r="G550" s="107"/>
      <c r="H550" s="107"/>
    </row>
    <row r="551" spans="2:8" x14ac:dyDescent="0.25">
      <c r="B551" s="107"/>
      <c r="C551" s="107"/>
      <c r="D551" s="107"/>
      <c r="E551" s="107"/>
      <c r="F551" s="107"/>
      <c r="G551" s="107"/>
      <c r="H551" s="107"/>
    </row>
    <row r="552" spans="2:8" x14ac:dyDescent="0.25">
      <c r="B552" s="107"/>
      <c r="C552" s="107"/>
      <c r="D552" s="107"/>
      <c r="E552" s="107"/>
      <c r="F552" s="107"/>
      <c r="G552" s="107"/>
      <c r="H552" s="107"/>
    </row>
    <row r="553" spans="2:8" x14ac:dyDescent="0.25">
      <c r="B553" s="107"/>
      <c r="C553" s="107"/>
      <c r="D553" s="107"/>
      <c r="E553" s="107"/>
      <c r="F553" s="107"/>
      <c r="G553" s="107"/>
      <c r="H553" s="107"/>
    </row>
    <row r="554" spans="2:8" x14ac:dyDescent="0.25">
      <c r="B554" s="107"/>
      <c r="C554" s="107"/>
      <c r="D554" s="107"/>
      <c r="E554" s="107"/>
      <c r="F554" s="107"/>
      <c r="G554" s="107"/>
      <c r="H554" s="107"/>
    </row>
    <row r="555" spans="2:8" x14ac:dyDescent="0.25">
      <c r="B555" s="107"/>
      <c r="C555" s="107"/>
      <c r="D555" s="107"/>
      <c r="E555" s="107"/>
      <c r="F555" s="107"/>
      <c r="G555" s="107"/>
      <c r="H555" s="107"/>
    </row>
    <row r="556" spans="2:8" x14ac:dyDescent="0.25">
      <c r="B556" s="107"/>
      <c r="C556" s="107"/>
      <c r="D556" s="107"/>
      <c r="E556" s="107"/>
      <c r="F556" s="107"/>
      <c r="G556" s="107"/>
      <c r="H556" s="107"/>
    </row>
    <row r="557" spans="2:8" x14ac:dyDescent="0.25">
      <c r="B557" s="107"/>
      <c r="C557" s="107"/>
      <c r="D557" s="107"/>
      <c r="E557" s="107"/>
      <c r="F557" s="107"/>
      <c r="G557" s="107"/>
      <c r="H557" s="107"/>
    </row>
    <row r="558" spans="2:8" x14ac:dyDescent="0.25">
      <c r="B558" s="107"/>
      <c r="C558" s="107"/>
      <c r="D558" s="107"/>
      <c r="E558" s="107"/>
      <c r="F558" s="107"/>
      <c r="G558" s="107"/>
      <c r="H558" s="107"/>
    </row>
    <row r="559" spans="2:8" x14ac:dyDescent="0.25">
      <c r="B559" s="107"/>
      <c r="C559" s="107"/>
      <c r="D559" s="107"/>
      <c r="E559" s="107"/>
      <c r="F559" s="107"/>
      <c r="G559" s="107"/>
      <c r="H559" s="107"/>
    </row>
    <row r="560" spans="2:8" x14ac:dyDescent="0.25">
      <c r="B560" s="107"/>
      <c r="C560" s="107"/>
      <c r="D560" s="107"/>
      <c r="E560" s="107"/>
      <c r="F560" s="107"/>
      <c r="G560" s="107"/>
      <c r="H560" s="107"/>
    </row>
    <row r="561" spans="2:8" x14ac:dyDescent="0.25">
      <c r="B561" s="107"/>
      <c r="C561" s="107"/>
      <c r="D561" s="107"/>
      <c r="E561" s="107"/>
      <c r="F561" s="107"/>
      <c r="G561" s="107"/>
      <c r="H561" s="107"/>
    </row>
    <row r="562" spans="2:8" x14ac:dyDescent="0.25">
      <c r="B562" s="107"/>
      <c r="C562" s="107"/>
      <c r="D562" s="107"/>
      <c r="E562" s="107"/>
      <c r="F562" s="107"/>
      <c r="G562" s="107"/>
      <c r="H562" s="107"/>
    </row>
    <row r="563" spans="2:8" x14ac:dyDescent="0.25">
      <c r="B563" s="107"/>
      <c r="C563" s="107"/>
      <c r="D563" s="107"/>
      <c r="E563" s="107"/>
      <c r="F563" s="107"/>
      <c r="G563" s="107"/>
      <c r="H563" s="107"/>
    </row>
    <row r="564" spans="2:8" x14ac:dyDescent="0.25">
      <c r="B564" s="107"/>
      <c r="C564" s="107"/>
      <c r="D564" s="107"/>
      <c r="E564" s="107"/>
      <c r="F564" s="107"/>
      <c r="G564" s="107"/>
      <c r="H564" s="107"/>
    </row>
    <row r="565" spans="2:8" x14ac:dyDescent="0.25">
      <c r="B565" s="107"/>
      <c r="C565" s="107"/>
      <c r="D565" s="107"/>
      <c r="E565" s="107"/>
      <c r="F565" s="107"/>
      <c r="G565" s="107"/>
      <c r="H565" s="107"/>
    </row>
    <row r="566" spans="2:8" x14ac:dyDescent="0.25">
      <c r="B566" s="107"/>
      <c r="C566" s="107"/>
      <c r="D566" s="107"/>
      <c r="E566" s="107"/>
      <c r="F566" s="107"/>
      <c r="G566" s="107"/>
      <c r="H566" s="107"/>
    </row>
    <row r="567" spans="2:8" x14ac:dyDescent="0.25">
      <c r="B567" s="107"/>
      <c r="C567" s="107"/>
      <c r="D567" s="107"/>
      <c r="E567" s="107"/>
      <c r="F567" s="107"/>
      <c r="G567" s="107"/>
      <c r="H567" s="107"/>
    </row>
    <row r="568" spans="2:8" x14ac:dyDescent="0.25">
      <c r="B568" s="107"/>
      <c r="C568" s="107"/>
      <c r="D568" s="107"/>
      <c r="E568" s="107"/>
      <c r="F568" s="107"/>
      <c r="G568" s="107"/>
      <c r="H568" s="107"/>
    </row>
    <row r="569" spans="2:8" x14ac:dyDescent="0.25">
      <c r="B569" s="107"/>
      <c r="C569" s="107"/>
      <c r="D569" s="107"/>
      <c r="E569" s="107"/>
      <c r="F569" s="107"/>
      <c r="G569" s="107"/>
      <c r="H569" s="107"/>
    </row>
    <row r="570" spans="2:8" x14ac:dyDescent="0.25">
      <c r="B570" s="107"/>
      <c r="C570" s="107"/>
      <c r="D570" s="107"/>
      <c r="E570" s="107"/>
      <c r="F570" s="107"/>
      <c r="G570" s="107"/>
      <c r="H570" s="107"/>
    </row>
    <row r="571" spans="2:8" x14ac:dyDescent="0.25">
      <c r="B571" s="107"/>
      <c r="C571" s="107"/>
      <c r="D571" s="107"/>
      <c r="E571" s="107"/>
      <c r="F571" s="107"/>
      <c r="G571" s="107"/>
      <c r="H571" s="107"/>
    </row>
    <row r="572" spans="2:8" x14ac:dyDescent="0.25">
      <c r="B572" s="107"/>
      <c r="C572" s="107"/>
      <c r="D572" s="107"/>
      <c r="E572" s="107"/>
      <c r="F572" s="107"/>
      <c r="G572" s="107"/>
      <c r="H572" s="107"/>
    </row>
    <row r="573" spans="2:8" x14ac:dyDescent="0.25">
      <c r="B573" s="107"/>
      <c r="C573" s="107"/>
      <c r="D573" s="107"/>
      <c r="E573" s="107"/>
      <c r="F573" s="107"/>
      <c r="G573" s="107"/>
      <c r="H573" s="107"/>
    </row>
    <row r="574" spans="2:8" x14ac:dyDescent="0.25">
      <c r="B574" s="107"/>
      <c r="C574" s="107"/>
      <c r="D574" s="107"/>
      <c r="E574" s="107"/>
      <c r="F574" s="107"/>
      <c r="G574" s="107"/>
      <c r="H574" s="107"/>
    </row>
    <row r="575" spans="2:8" x14ac:dyDescent="0.25">
      <c r="B575" s="107"/>
      <c r="C575" s="107"/>
      <c r="D575" s="107"/>
      <c r="E575" s="107"/>
      <c r="F575" s="107"/>
      <c r="G575" s="107"/>
      <c r="H575" s="107"/>
    </row>
    <row r="576" spans="2:8" x14ac:dyDescent="0.25">
      <c r="B576" s="107"/>
      <c r="C576" s="107"/>
      <c r="D576" s="107"/>
      <c r="E576" s="107"/>
      <c r="F576" s="107"/>
      <c r="G576" s="107"/>
      <c r="H576" s="107"/>
    </row>
    <row r="577" spans="2:8" x14ac:dyDescent="0.25">
      <c r="B577" s="107"/>
      <c r="C577" s="107"/>
      <c r="D577" s="107"/>
      <c r="E577" s="107"/>
      <c r="F577" s="107"/>
      <c r="G577" s="107"/>
      <c r="H577" s="107"/>
    </row>
    <row r="578" spans="2:8" x14ac:dyDescent="0.25">
      <c r="B578" s="107"/>
      <c r="C578" s="107"/>
      <c r="D578" s="107"/>
      <c r="E578" s="107"/>
      <c r="F578" s="107"/>
      <c r="G578" s="107"/>
      <c r="H578" s="107"/>
    </row>
    <row r="579" spans="2:8" x14ac:dyDescent="0.25">
      <c r="B579" s="107"/>
      <c r="C579" s="107"/>
      <c r="D579" s="107"/>
      <c r="E579" s="107"/>
      <c r="F579" s="107"/>
      <c r="G579" s="107"/>
      <c r="H579" s="107"/>
    </row>
    <row r="580" spans="2:8" x14ac:dyDescent="0.25">
      <c r="B580" s="107"/>
      <c r="C580" s="107"/>
      <c r="D580" s="107"/>
      <c r="E580" s="107"/>
      <c r="F580" s="107"/>
      <c r="G580" s="107"/>
      <c r="H580" s="107"/>
    </row>
    <row r="581" spans="2:8" x14ac:dyDescent="0.25">
      <c r="B581" s="107"/>
      <c r="C581" s="107"/>
      <c r="D581" s="107"/>
      <c r="E581" s="107"/>
      <c r="F581" s="107"/>
      <c r="G581" s="107"/>
      <c r="H581" s="107"/>
    </row>
    <row r="582" spans="2:8" x14ac:dyDescent="0.25">
      <c r="B582" s="107"/>
      <c r="C582" s="107"/>
      <c r="D582" s="107"/>
      <c r="E582" s="107"/>
      <c r="F582" s="107"/>
      <c r="G582" s="107"/>
      <c r="H582" s="107"/>
    </row>
    <row r="583" spans="2:8" x14ac:dyDescent="0.25">
      <c r="B583" s="107"/>
      <c r="C583" s="107"/>
      <c r="D583" s="107"/>
      <c r="E583" s="107"/>
      <c r="F583" s="107"/>
      <c r="G583" s="107"/>
      <c r="H583" s="107"/>
    </row>
    <row r="584" spans="2:8" x14ac:dyDescent="0.25">
      <c r="B584" s="107"/>
      <c r="C584" s="107"/>
      <c r="D584" s="107"/>
      <c r="E584" s="107"/>
      <c r="F584" s="107"/>
      <c r="G584" s="107"/>
      <c r="H584" s="107"/>
    </row>
    <row r="585" spans="2:8" x14ac:dyDescent="0.25">
      <c r="B585" s="107"/>
      <c r="C585" s="107"/>
      <c r="D585" s="107"/>
      <c r="E585" s="107"/>
      <c r="F585" s="107"/>
      <c r="G585" s="107"/>
      <c r="H585" s="107"/>
    </row>
    <row r="586" spans="2:8" x14ac:dyDescent="0.25">
      <c r="B586" s="107"/>
      <c r="C586" s="107"/>
      <c r="D586" s="107"/>
      <c r="E586" s="107"/>
      <c r="F586" s="107"/>
      <c r="G586" s="107"/>
      <c r="H586" s="107"/>
    </row>
    <row r="587" spans="2:8" x14ac:dyDescent="0.25">
      <c r="B587" s="107"/>
      <c r="C587" s="107"/>
      <c r="D587" s="107"/>
      <c r="E587" s="107"/>
      <c r="F587" s="107"/>
      <c r="G587" s="107"/>
      <c r="H587" s="107"/>
    </row>
    <row r="588" spans="2:8" x14ac:dyDescent="0.25">
      <c r="B588" s="107"/>
      <c r="C588" s="107"/>
      <c r="D588" s="107"/>
      <c r="E588" s="107"/>
      <c r="F588" s="107"/>
      <c r="G588" s="107"/>
      <c r="H588" s="107"/>
    </row>
    <row r="589" spans="2:8" x14ac:dyDescent="0.25">
      <c r="B589" s="107"/>
      <c r="C589" s="107"/>
      <c r="D589" s="107"/>
      <c r="E589" s="107"/>
      <c r="F589" s="107"/>
      <c r="G589" s="107"/>
      <c r="H589" s="107"/>
    </row>
    <row r="590" spans="2:8" x14ac:dyDescent="0.25">
      <c r="B590" s="107"/>
      <c r="C590" s="107"/>
      <c r="D590" s="107"/>
      <c r="E590" s="107"/>
      <c r="F590" s="107"/>
      <c r="G590" s="107"/>
      <c r="H590" s="107"/>
    </row>
    <row r="591" spans="2:8" x14ac:dyDescent="0.25">
      <c r="B591" s="107"/>
      <c r="C591" s="107"/>
      <c r="D591" s="107"/>
      <c r="E591" s="107"/>
      <c r="F591" s="107"/>
      <c r="G591" s="107"/>
      <c r="H591" s="107"/>
    </row>
    <row r="592" spans="2:8" x14ac:dyDescent="0.25">
      <c r="B592" s="107"/>
      <c r="C592" s="107"/>
      <c r="D592" s="107"/>
      <c r="E592" s="107"/>
      <c r="F592" s="107"/>
      <c r="G592" s="107"/>
      <c r="H592" s="107"/>
    </row>
    <row r="593" spans="2:8" x14ac:dyDescent="0.25">
      <c r="B593" s="107"/>
      <c r="C593" s="107"/>
      <c r="D593" s="107"/>
      <c r="E593" s="107"/>
      <c r="F593" s="107"/>
      <c r="G593" s="107"/>
      <c r="H593" s="107"/>
    </row>
    <row r="594" spans="2:8" x14ac:dyDescent="0.25">
      <c r="B594" s="107"/>
      <c r="C594" s="107"/>
      <c r="D594" s="107"/>
      <c r="E594" s="107"/>
      <c r="F594" s="107"/>
      <c r="G594" s="107"/>
      <c r="H594" s="107"/>
    </row>
    <row r="595" spans="2:8" x14ac:dyDescent="0.25">
      <c r="B595" s="107"/>
      <c r="C595" s="107"/>
      <c r="D595" s="107"/>
      <c r="E595" s="107"/>
      <c r="F595" s="107"/>
      <c r="G595" s="107"/>
      <c r="H595" s="107"/>
    </row>
    <row r="596" spans="2:8" x14ac:dyDescent="0.25">
      <c r="B596" s="107"/>
      <c r="C596" s="107"/>
      <c r="D596" s="107"/>
      <c r="E596" s="107"/>
      <c r="F596" s="107"/>
      <c r="G596" s="107"/>
      <c r="H596" s="107"/>
    </row>
    <row r="597" spans="2:8" x14ac:dyDescent="0.25">
      <c r="B597" s="107"/>
      <c r="C597" s="107"/>
      <c r="D597" s="107"/>
      <c r="E597" s="107"/>
      <c r="F597" s="107"/>
      <c r="G597" s="107"/>
      <c r="H597" s="107"/>
    </row>
    <row r="598" spans="2:8" x14ac:dyDescent="0.25">
      <c r="B598" s="107"/>
      <c r="C598" s="107"/>
      <c r="D598" s="107"/>
      <c r="E598" s="107"/>
      <c r="F598" s="107"/>
      <c r="G598" s="107"/>
      <c r="H598" s="107"/>
    </row>
    <row r="599" spans="2:8" x14ac:dyDescent="0.25">
      <c r="B599" s="107"/>
      <c r="C599" s="107"/>
      <c r="D599" s="107"/>
      <c r="E599" s="107"/>
      <c r="F599" s="107"/>
      <c r="G599" s="107"/>
      <c r="H599" s="107"/>
    </row>
    <row r="600" spans="2:8" x14ac:dyDescent="0.25">
      <c r="B600" s="107"/>
      <c r="C600" s="107"/>
      <c r="D600" s="107"/>
      <c r="E600" s="107"/>
      <c r="F600" s="107"/>
      <c r="G600" s="107"/>
      <c r="H600" s="107"/>
    </row>
    <row r="601" spans="2:8" x14ac:dyDescent="0.25">
      <c r="B601" s="107"/>
      <c r="C601" s="107"/>
      <c r="D601" s="107"/>
      <c r="E601" s="107"/>
      <c r="F601" s="107"/>
      <c r="G601" s="107"/>
      <c r="H601" s="107"/>
    </row>
    <row r="602" spans="2:8" x14ac:dyDescent="0.25">
      <c r="B602" s="107"/>
      <c r="C602" s="107"/>
      <c r="D602" s="107"/>
      <c r="E602" s="107"/>
      <c r="F602" s="107"/>
      <c r="G602" s="107"/>
      <c r="H602" s="107"/>
    </row>
    <row r="603" spans="2:8" x14ac:dyDescent="0.25">
      <c r="B603" s="107"/>
      <c r="C603" s="107"/>
      <c r="D603" s="107"/>
      <c r="E603" s="107"/>
      <c r="F603" s="107"/>
      <c r="G603" s="107"/>
      <c r="H603" s="107"/>
    </row>
    <row r="604" spans="2:8" x14ac:dyDescent="0.25">
      <c r="B604" s="107"/>
      <c r="C604" s="107"/>
      <c r="D604" s="107"/>
      <c r="E604" s="107"/>
      <c r="F604" s="107"/>
      <c r="G604" s="107"/>
      <c r="H604" s="107"/>
    </row>
    <row r="605" spans="2:8" x14ac:dyDescent="0.25">
      <c r="B605" s="107"/>
      <c r="C605" s="107"/>
      <c r="D605" s="107"/>
      <c r="E605" s="107"/>
      <c r="F605" s="107"/>
      <c r="G605" s="107"/>
      <c r="H605" s="107"/>
    </row>
    <row r="606" spans="2:8" x14ac:dyDescent="0.25">
      <c r="B606" s="107"/>
      <c r="C606" s="107"/>
      <c r="D606" s="107"/>
      <c r="E606" s="107"/>
      <c r="F606" s="107"/>
      <c r="G606" s="107"/>
      <c r="H606" s="107"/>
    </row>
    <row r="607" spans="2:8" x14ac:dyDescent="0.25">
      <c r="B607" s="107"/>
      <c r="C607" s="107"/>
      <c r="D607" s="107"/>
      <c r="E607" s="107"/>
      <c r="F607" s="107"/>
      <c r="G607" s="107"/>
      <c r="H607" s="107"/>
    </row>
    <row r="608" spans="2:8" x14ac:dyDescent="0.25">
      <c r="B608" s="107"/>
      <c r="C608" s="107"/>
      <c r="D608" s="107"/>
      <c r="E608" s="107"/>
      <c r="F608" s="107"/>
      <c r="G608" s="107"/>
      <c r="H608" s="107"/>
    </row>
    <row r="609" spans="2:8" x14ac:dyDescent="0.25">
      <c r="B609" s="107"/>
      <c r="C609" s="107"/>
      <c r="D609" s="107"/>
      <c r="E609" s="107"/>
      <c r="F609" s="107"/>
      <c r="G609" s="107"/>
      <c r="H609" s="107"/>
    </row>
    <row r="610" spans="2:8" x14ac:dyDescent="0.25">
      <c r="B610" s="107"/>
      <c r="C610" s="107"/>
      <c r="D610" s="107"/>
      <c r="E610" s="107"/>
      <c r="F610" s="107"/>
      <c r="G610" s="107"/>
      <c r="H610" s="107"/>
    </row>
    <row r="611" spans="2:8" x14ac:dyDescent="0.25">
      <c r="B611" s="107"/>
      <c r="C611" s="107"/>
      <c r="D611" s="107"/>
      <c r="E611" s="107"/>
      <c r="F611" s="107"/>
      <c r="G611" s="107"/>
      <c r="H611" s="107"/>
    </row>
    <row r="612" spans="2:8" x14ac:dyDescent="0.25">
      <c r="B612" s="107"/>
      <c r="C612" s="107"/>
      <c r="D612" s="107"/>
      <c r="E612" s="107"/>
      <c r="F612" s="107"/>
      <c r="G612" s="107"/>
      <c r="H612" s="107"/>
    </row>
    <row r="613" spans="2:8" x14ac:dyDescent="0.25">
      <c r="B613" s="107"/>
      <c r="C613" s="107"/>
      <c r="D613" s="107"/>
      <c r="E613" s="107"/>
      <c r="F613" s="107"/>
      <c r="G613" s="107"/>
      <c r="H613" s="107"/>
    </row>
    <row r="614" spans="2:8" x14ac:dyDescent="0.25">
      <c r="B614" s="107"/>
      <c r="C614" s="107"/>
      <c r="D614" s="107"/>
      <c r="E614" s="107"/>
      <c r="F614" s="107"/>
      <c r="G614" s="107"/>
      <c r="H614" s="107"/>
    </row>
    <row r="615" spans="2:8" x14ac:dyDescent="0.25">
      <c r="B615" s="107"/>
      <c r="C615" s="107"/>
      <c r="D615" s="107"/>
      <c r="E615" s="107"/>
      <c r="F615" s="107"/>
      <c r="G615" s="107"/>
      <c r="H615" s="107"/>
    </row>
    <row r="616" spans="2:8" x14ac:dyDescent="0.25">
      <c r="B616" s="107"/>
      <c r="C616" s="107"/>
      <c r="D616" s="107"/>
      <c r="E616" s="107"/>
      <c r="F616" s="107"/>
      <c r="G616" s="107"/>
      <c r="H616" s="107"/>
    </row>
    <row r="617" spans="2:8" x14ac:dyDescent="0.25">
      <c r="B617" s="107"/>
      <c r="C617" s="107"/>
      <c r="D617" s="107"/>
      <c r="E617" s="107"/>
      <c r="F617" s="107"/>
      <c r="G617" s="107"/>
      <c r="H617" s="107"/>
    </row>
    <row r="618" spans="2:8" x14ac:dyDescent="0.25">
      <c r="B618" s="107"/>
      <c r="C618" s="107"/>
      <c r="D618" s="107"/>
      <c r="E618" s="107"/>
      <c r="F618" s="107"/>
      <c r="G618" s="107"/>
      <c r="H618" s="107"/>
    </row>
    <row r="619" spans="2:8" x14ac:dyDescent="0.25">
      <c r="B619" s="107"/>
      <c r="C619" s="107"/>
      <c r="D619" s="107"/>
      <c r="E619" s="107"/>
      <c r="F619" s="107"/>
      <c r="G619" s="107"/>
      <c r="H619" s="107"/>
    </row>
    <row r="620" spans="2:8" x14ac:dyDescent="0.25">
      <c r="B620" s="107"/>
      <c r="C620" s="107"/>
      <c r="D620" s="107"/>
      <c r="E620" s="107"/>
      <c r="F620" s="107"/>
      <c r="G620" s="107"/>
      <c r="H620" s="107"/>
    </row>
    <row r="621" spans="2:8" x14ac:dyDescent="0.25">
      <c r="B621" s="107"/>
      <c r="C621" s="107"/>
      <c r="D621" s="107"/>
      <c r="E621" s="107"/>
      <c r="F621" s="107"/>
      <c r="G621" s="107"/>
      <c r="H621" s="107"/>
    </row>
    <row r="622" spans="2:8" x14ac:dyDescent="0.25">
      <c r="B622" s="107"/>
      <c r="C622" s="107"/>
      <c r="D622" s="107"/>
      <c r="E622" s="107"/>
      <c r="F622" s="107"/>
      <c r="G622" s="107"/>
      <c r="H622" s="107"/>
    </row>
    <row r="623" spans="2:8" x14ac:dyDescent="0.25">
      <c r="B623" s="107"/>
      <c r="C623" s="107"/>
      <c r="D623" s="107"/>
      <c r="E623" s="107"/>
      <c r="F623" s="107"/>
      <c r="G623" s="107"/>
      <c r="H623" s="107"/>
    </row>
    <row r="624" spans="2:8" x14ac:dyDescent="0.25">
      <c r="B624" s="107"/>
      <c r="C624" s="107"/>
      <c r="D624" s="107"/>
      <c r="E624" s="107"/>
      <c r="F624" s="107"/>
      <c r="G624" s="107"/>
      <c r="H624" s="107"/>
    </row>
    <row r="625" spans="2:8" x14ac:dyDescent="0.25">
      <c r="B625" s="107"/>
      <c r="C625" s="107"/>
      <c r="D625" s="107"/>
      <c r="E625" s="107"/>
      <c r="F625" s="107"/>
      <c r="G625" s="107"/>
      <c r="H625" s="107"/>
    </row>
    <row r="626" spans="2:8" x14ac:dyDescent="0.25">
      <c r="B626" s="107"/>
      <c r="C626" s="107"/>
      <c r="D626" s="107"/>
      <c r="E626" s="107"/>
      <c r="F626" s="107"/>
      <c r="G626" s="107"/>
      <c r="H626" s="107"/>
    </row>
    <row r="627" spans="2:8" x14ac:dyDescent="0.25">
      <c r="B627" s="107"/>
      <c r="C627" s="107"/>
      <c r="D627" s="107"/>
      <c r="E627" s="107"/>
      <c r="F627" s="107"/>
      <c r="G627" s="107"/>
      <c r="H627" s="107"/>
    </row>
    <row r="628" spans="2:8" x14ac:dyDescent="0.25">
      <c r="B628" s="107"/>
      <c r="C628" s="107"/>
      <c r="D628" s="107"/>
      <c r="E628" s="107"/>
      <c r="F628" s="107"/>
      <c r="G628" s="107"/>
      <c r="H628" s="107"/>
    </row>
    <row r="629" spans="2:8" x14ac:dyDescent="0.25">
      <c r="B629" s="107"/>
      <c r="C629" s="107"/>
      <c r="D629" s="107"/>
      <c r="E629" s="107"/>
      <c r="F629" s="107"/>
      <c r="G629" s="107"/>
      <c r="H629" s="107"/>
    </row>
    <row r="630" spans="2:8" x14ac:dyDescent="0.25">
      <c r="B630" s="107"/>
      <c r="C630" s="107"/>
      <c r="D630" s="107"/>
      <c r="E630" s="107"/>
      <c r="F630" s="107"/>
      <c r="G630" s="107"/>
      <c r="H630" s="107"/>
    </row>
    <row r="631" spans="2:8" x14ac:dyDescent="0.25">
      <c r="B631" s="107"/>
      <c r="C631" s="107"/>
      <c r="D631" s="107"/>
      <c r="E631" s="107"/>
      <c r="F631" s="107"/>
      <c r="G631" s="107"/>
      <c r="H631" s="107"/>
    </row>
    <row r="632" spans="2:8" x14ac:dyDescent="0.25">
      <c r="B632" s="107"/>
      <c r="C632" s="107"/>
      <c r="D632" s="107"/>
      <c r="E632" s="107"/>
      <c r="F632" s="107"/>
      <c r="G632" s="107"/>
      <c r="H632" s="107"/>
    </row>
    <row r="633" spans="2:8" x14ac:dyDescent="0.25">
      <c r="B633" s="107"/>
      <c r="C633" s="107"/>
      <c r="D633" s="107"/>
      <c r="E633" s="107"/>
      <c r="F633" s="107"/>
      <c r="G633" s="107"/>
      <c r="H633" s="107"/>
    </row>
    <row r="634" spans="2:8" x14ac:dyDescent="0.25">
      <c r="B634" s="107"/>
      <c r="C634" s="107"/>
      <c r="D634" s="107"/>
      <c r="E634" s="107"/>
      <c r="F634" s="107"/>
      <c r="G634" s="107"/>
      <c r="H634" s="107"/>
    </row>
    <row r="635" spans="2:8" x14ac:dyDescent="0.25">
      <c r="B635" s="107"/>
      <c r="C635" s="107"/>
      <c r="D635" s="107"/>
      <c r="E635" s="107"/>
      <c r="F635" s="107"/>
      <c r="G635" s="107"/>
      <c r="H635" s="107"/>
    </row>
    <row r="636" spans="2:8" x14ac:dyDescent="0.25">
      <c r="B636" s="107"/>
      <c r="C636" s="107"/>
      <c r="D636" s="107"/>
      <c r="E636" s="107"/>
      <c r="F636" s="107"/>
      <c r="G636" s="107"/>
      <c r="H636" s="107"/>
    </row>
    <row r="637" spans="2:8" x14ac:dyDescent="0.25">
      <c r="B637" s="107"/>
      <c r="C637" s="107"/>
      <c r="D637" s="107"/>
      <c r="E637" s="107"/>
      <c r="F637" s="107"/>
      <c r="G637" s="107"/>
      <c r="H637" s="107"/>
    </row>
    <row r="638" spans="2:8" x14ac:dyDescent="0.25">
      <c r="B638" s="107"/>
      <c r="C638" s="107"/>
      <c r="D638" s="107"/>
      <c r="E638" s="107"/>
      <c r="F638" s="107"/>
      <c r="G638" s="107"/>
      <c r="H638" s="107"/>
    </row>
    <row r="639" spans="2:8" x14ac:dyDescent="0.25">
      <c r="B639" s="107"/>
      <c r="C639" s="107"/>
      <c r="D639" s="107"/>
      <c r="E639" s="107"/>
      <c r="F639" s="107"/>
      <c r="G639" s="107"/>
      <c r="H639" s="107"/>
    </row>
    <row r="640" spans="2:8" x14ac:dyDescent="0.25">
      <c r="B640" s="107"/>
      <c r="C640" s="107"/>
      <c r="D640" s="107"/>
      <c r="E640" s="107"/>
      <c r="F640" s="107"/>
      <c r="G640" s="107"/>
      <c r="H640" s="107"/>
    </row>
    <row r="641" spans="2:8" x14ac:dyDescent="0.25">
      <c r="B641" s="107"/>
      <c r="C641" s="107"/>
      <c r="D641" s="107"/>
      <c r="E641" s="107"/>
      <c r="F641" s="107"/>
      <c r="G641" s="107"/>
      <c r="H641" s="107"/>
    </row>
    <row r="642" spans="2:8" x14ac:dyDescent="0.25">
      <c r="B642" s="107"/>
      <c r="C642" s="107"/>
      <c r="D642" s="107"/>
      <c r="E642" s="107"/>
      <c r="F642" s="107"/>
      <c r="G642" s="107"/>
      <c r="H642" s="107"/>
    </row>
    <row r="643" spans="2:8" x14ac:dyDescent="0.25">
      <c r="B643" s="107"/>
      <c r="C643" s="107"/>
      <c r="D643" s="107"/>
      <c r="E643" s="107"/>
      <c r="F643" s="107"/>
      <c r="G643" s="107"/>
      <c r="H643" s="107"/>
    </row>
    <row r="644" spans="2:8" x14ac:dyDescent="0.25">
      <c r="B644" s="107"/>
      <c r="C644" s="107"/>
      <c r="D644" s="107"/>
      <c r="E644" s="107"/>
      <c r="F644" s="107"/>
      <c r="G644" s="107"/>
      <c r="H644" s="107"/>
    </row>
    <row r="645" spans="2:8" x14ac:dyDescent="0.25">
      <c r="B645" s="107"/>
      <c r="C645" s="107"/>
      <c r="D645" s="107"/>
      <c r="E645" s="107"/>
      <c r="F645" s="107"/>
      <c r="G645" s="107"/>
      <c r="H645" s="107"/>
    </row>
    <row r="646" spans="2:8" x14ac:dyDescent="0.25">
      <c r="B646" s="107"/>
      <c r="C646" s="107"/>
      <c r="D646" s="107"/>
      <c r="E646" s="107"/>
      <c r="F646" s="107"/>
      <c r="G646" s="107"/>
      <c r="H646" s="107"/>
    </row>
    <row r="647" spans="2:8" x14ac:dyDescent="0.25">
      <c r="B647" s="107"/>
      <c r="C647" s="107"/>
      <c r="D647" s="107"/>
      <c r="E647" s="107"/>
      <c r="F647" s="107"/>
      <c r="G647" s="107"/>
      <c r="H647" s="107"/>
    </row>
    <row r="648" spans="2:8" x14ac:dyDescent="0.25">
      <c r="B648" s="107"/>
      <c r="C648" s="107"/>
      <c r="D648" s="107"/>
      <c r="E648" s="107"/>
      <c r="F648" s="107"/>
      <c r="G648" s="107"/>
      <c r="H648" s="107"/>
    </row>
    <row r="649" spans="2:8" x14ac:dyDescent="0.25">
      <c r="B649" s="107"/>
      <c r="C649" s="107"/>
      <c r="D649" s="107"/>
      <c r="E649" s="107"/>
      <c r="F649" s="107"/>
      <c r="G649" s="107"/>
      <c r="H649" s="107"/>
    </row>
    <row r="650" spans="2:8" x14ac:dyDescent="0.25">
      <c r="B650" s="107"/>
      <c r="C650" s="107"/>
      <c r="D650" s="107"/>
      <c r="E650" s="107"/>
      <c r="F650" s="107"/>
      <c r="G650" s="107"/>
      <c r="H650" s="107"/>
    </row>
    <row r="651" spans="2:8" x14ac:dyDescent="0.25">
      <c r="B651" s="107"/>
      <c r="C651" s="107"/>
      <c r="D651" s="107"/>
      <c r="E651" s="107"/>
      <c r="F651" s="107"/>
      <c r="G651" s="107"/>
      <c r="H651" s="107"/>
    </row>
    <row r="652" spans="2:8" x14ac:dyDescent="0.25">
      <c r="B652" s="107"/>
      <c r="C652" s="107"/>
      <c r="D652" s="107"/>
      <c r="E652" s="107"/>
      <c r="F652" s="107"/>
      <c r="G652" s="107"/>
      <c r="H652" s="107"/>
    </row>
    <row r="653" spans="2:8" x14ac:dyDescent="0.25">
      <c r="B653" s="107"/>
      <c r="C653" s="107"/>
      <c r="D653" s="107"/>
      <c r="E653" s="107"/>
      <c r="F653" s="107"/>
      <c r="G653" s="107"/>
      <c r="H653" s="107"/>
    </row>
    <row r="654" spans="2:8" x14ac:dyDescent="0.25">
      <c r="B654" s="107"/>
      <c r="C654" s="107"/>
      <c r="D654" s="107"/>
      <c r="E654" s="107"/>
      <c r="F654" s="107"/>
      <c r="G654" s="107"/>
      <c r="H654" s="107"/>
    </row>
    <row r="655" spans="2:8" x14ac:dyDescent="0.25">
      <c r="B655" s="107"/>
      <c r="C655" s="107"/>
      <c r="D655" s="107"/>
      <c r="E655" s="107"/>
      <c r="F655" s="107"/>
      <c r="G655" s="107"/>
      <c r="H655" s="107"/>
    </row>
    <row r="656" spans="2:8" x14ac:dyDescent="0.25">
      <c r="B656" s="107"/>
      <c r="C656" s="107"/>
      <c r="D656" s="107"/>
      <c r="E656" s="107"/>
      <c r="F656" s="107"/>
      <c r="G656" s="107"/>
      <c r="H656" s="107"/>
    </row>
    <row r="657" spans="2:8" x14ac:dyDescent="0.25">
      <c r="B657" s="107"/>
      <c r="C657" s="107"/>
      <c r="D657" s="107"/>
      <c r="E657" s="107"/>
      <c r="F657" s="107"/>
      <c r="G657" s="107"/>
      <c r="H657" s="107"/>
    </row>
    <row r="658" spans="2:8" x14ac:dyDescent="0.25">
      <c r="B658" s="107"/>
      <c r="C658" s="107"/>
      <c r="D658" s="107"/>
      <c r="E658" s="107"/>
      <c r="F658" s="107"/>
      <c r="G658" s="107"/>
      <c r="H658" s="107"/>
    </row>
    <row r="659" spans="2:8" x14ac:dyDescent="0.25">
      <c r="B659" s="107"/>
      <c r="C659" s="107"/>
      <c r="D659" s="107"/>
      <c r="E659" s="107"/>
      <c r="F659" s="107"/>
      <c r="G659" s="107"/>
      <c r="H659" s="107"/>
    </row>
    <row r="660" spans="2:8" x14ac:dyDescent="0.25">
      <c r="B660" s="107"/>
      <c r="C660" s="107"/>
      <c r="D660" s="107"/>
      <c r="E660" s="107"/>
      <c r="F660" s="107"/>
      <c r="G660" s="107"/>
      <c r="H660" s="107"/>
    </row>
    <row r="661" spans="2:8" x14ac:dyDescent="0.25">
      <c r="B661" s="107"/>
      <c r="C661" s="107"/>
      <c r="D661" s="107"/>
      <c r="E661" s="107"/>
      <c r="F661" s="107"/>
      <c r="G661" s="107"/>
      <c r="H661" s="107"/>
    </row>
    <row r="662" spans="2:8" x14ac:dyDescent="0.25">
      <c r="B662" s="107"/>
      <c r="C662" s="107"/>
      <c r="D662" s="107"/>
      <c r="E662" s="107"/>
      <c r="F662" s="107"/>
      <c r="G662" s="107"/>
      <c r="H662" s="107"/>
    </row>
    <row r="663" spans="2:8" x14ac:dyDescent="0.25">
      <c r="B663" s="107"/>
      <c r="C663" s="107"/>
      <c r="D663" s="107"/>
      <c r="E663" s="107"/>
      <c r="F663" s="107"/>
      <c r="G663" s="107"/>
      <c r="H663" s="107"/>
    </row>
    <row r="664" spans="2:8" x14ac:dyDescent="0.25">
      <c r="B664" s="107"/>
      <c r="C664" s="107"/>
      <c r="D664" s="107"/>
      <c r="E664" s="107"/>
      <c r="F664" s="107"/>
      <c r="G664" s="107"/>
      <c r="H664" s="107"/>
    </row>
    <row r="665" spans="2:8" x14ac:dyDescent="0.25">
      <c r="B665" s="107"/>
      <c r="C665" s="107"/>
      <c r="D665" s="107"/>
      <c r="E665" s="107"/>
      <c r="F665" s="107"/>
      <c r="G665" s="107"/>
      <c r="H665" s="107"/>
    </row>
    <row r="666" spans="2:8" x14ac:dyDescent="0.25">
      <c r="B666" s="107"/>
      <c r="C666" s="107"/>
      <c r="D666" s="107"/>
      <c r="E666" s="107"/>
      <c r="F666" s="107"/>
      <c r="G666" s="107"/>
      <c r="H666" s="107"/>
    </row>
    <row r="667" spans="2:8" x14ac:dyDescent="0.25">
      <c r="B667" s="107"/>
      <c r="C667" s="107"/>
      <c r="D667" s="107"/>
      <c r="E667" s="107"/>
      <c r="F667" s="107"/>
      <c r="G667" s="107"/>
      <c r="H667" s="107"/>
    </row>
    <row r="668" spans="2:8" x14ac:dyDescent="0.25">
      <c r="B668" s="107"/>
      <c r="C668" s="107"/>
      <c r="D668" s="107"/>
      <c r="E668" s="107"/>
      <c r="F668" s="107"/>
      <c r="G668" s="107"/>
      <c r="H668" s="107"/>
    </row>
    <row r="669" spans="2:8" x14ac:dyDescent="0.25">
      <c r="B669" s="107"/>
      <c r="C669" s="107"/>
      <c r="D669" s="107"/>
      <c r="E669" s="107"/>
      <c r="F669" s="107"/>
      <c r="G669" s="107"/>
      <c r="H669" s="107"/>
    </row>
    <row r="670" spans="2:8" x14ac:dyDescent="0.25">
      <c r="B670" s="107"/>
      <c r="C670" s="107"/>
      <c r="D670" s="107"/>
      <c r="E670" s="107"/>
      <c r="F670" s="107"/>
      <c r="G670" s="107"/>
      <c r="H670" s="107"/>
    </row>
    <row r="671" spans="2:8" x14ac:dyDescent="0.25">
      <c r="B671" s="107"/>
      <c r="C671" s="107"/>
      <c r="D671" s="107"/>
      <c r="E671" s="107"/>
      <c r="F671" s="107"/>
      <c r="G671" s="107"/>
      <c r="H671" s="107"/>
    </row>
    <row r="672" spans="2:8" x14ac:dyDescent="0.25">
      <c r="B672" s="107"/>
      <c r="C672" s="107"/>
      <c r="D672" s="107"/>
      <c r="E672" s="107"/>
      <c r="F672" s="107"/>
      <c r="G672" s="107"/>
      <c r="H672" s="107"/>
    </row>
    <row r="673" spans="2:8" x14ac:dyDescent="0.25">
      <c r="B673" s="107"/>
      <c r="C673" s="107"/>
      <c r="D673" s="107"/>
      <c r="E673" s="107"/>
      <c r="F673" s="107"/>
      <c r="G673" s="107"/>
      <c r="H673" s="107"/>
    </row>
    <row r="674" spans="2:8" x14ac:dyDescent="0.25">
      <c r="B674" s="107"/>
      <c r="C674" s="107"/>
      <c r="D674" s="107"/>
      <c r="E674" s="107"/>
      <c r="F674" s="107"/>
      <c r="G674" s="107"/>
      <c r="H674" s="107"/>
    </row>
    <row r="675" spans="2:8" x14ac:dyDescent="0.25">
      <c r="B675" s="107"/>
      <c r="C675" s="107"/>
      <c r="D675" s="107"/>
      <c r="E675" s="107"/>
      <c r="F675" s="107"/>
      <c r="G675" s="107"/>
      <c r="H675" s="107"/>
    </row>
    <row r="676" spans="2:8" x14ac:dyDescent="0.25">
      <c r="B676" s="107"/>
      <c r="C676" s="107"/>
      <c r="D676" s="107"/>
      <c r="E676" s="107"/>
      <c r="F676" s="107"/>
      <c r="G676" s="107"/>
      <c r="H676" s="107"/>
    </row>
    <row r="677" spans="2:8" x14ac:dyDescent="0.25">
      <c r="B677" s="107"/>
      <c r="C677" s="107"/>
      <c r="D677" s="107"/>
      <c r="E677" s="107"/>
      <c r="F677" s="107"/>
      <c r="G677" s="107"/>
      <c r="H677" s="107"/>
    </row>
    <row r="678" spans="2:8" x14ac:dyDescent="0.25">
      <c r="B678" s="107"/>
      <c r="C678" s="107"/>
      <c r="D678" s="107"/>
      <c r="E678" s="107"/>
      <c r="F678" s="107"/>
      <c r="G678" s="107"/>
      <c r="H678" s="107"/>
    </row>
    <row r="679" spans="2:8" x14ac:dyDescent="0.25">
      <c r="B679" s="107"/>
      <c r="C679" s="107"/>
      <c r="D679" s="107"/>
      <c r="E679" s="107"/>
      <c r="F679" s="107"/>
      <c r="G679" s="107"/>
      <c r="H679" s="107"/>
    </row>
    <row r="680" spans="2:8" x14ac:dyDescent="0.25">
      <c r="B680" s="107"/>
      <c r="C680" s="107"/>
      <c r="D680" s="107"/>
      <c r="E680" s="107"/>
      <c r="F680" s="107"/>
      <c r="G680" s="107"/>
      <c r="H680" s="107"/>
    </row>
    <row r="681" spans="2:8" x14ac:dyDescent="0.25">
      <c r="B681" s="107"/>
      <c r="C681" s="107"/>
      <c r="D681" s="107"/>
      <c r="E681" s="107"/>
      <c r="F681" s="107"/>
      <c r="G681" s="107"/>
      <c r="H681" s="107"/>
    </row>
    <row r="682" spans="2:8" x14ac:dyDescent="0.25">
      <c r="B682" s="107"/>
      <c r="C682" s="107"/>
      <c r="D682" s="107"/>
      <c r="E682" s="107"/>
      <c r="F682" s="107"/>
      <c r="G682" s="107"/>
      <c r="H682" s="107"/>
    </row>
    <row r="683" spans="2:8" x14ac:dyDescent="0.25">
      <c r="B683" s="107"/>
      <c r="C683" s="107"/>
      <c r="D683" s="107"/>
      <c r="E683" s="107"/>
      <c r="F683" s="107"/>
      <c r="G683" s="107"/>
      <c r="H683" s="107"/>
    </row>
    <row r="684" spans="2:8" x14ac:dyDescent="0.25">
      <c r="B684" s="107"/>
      <c r="C684" s="107"/>
      <c r="D684" s="107"/>
      <c r="E684" s="107"/>
      <c r="F684" s="107"/>
      <c r="G684" s="107"/>
      <c r="H684" s="107"/>
    </row>
    <row r="685" spans="2:8" x14ac:dyDescent="0.25">
      <c r="B685" s="107"/>
      <c r="C685" s="107"/>
      <c r="D685" s="107"/>
      <c r="E685" s="107"/>
      <c r="F685" s="107"/>
      <c r="G685" s="107"/>
      <c r="H685" s="107"/>
    </row>
    <row r="686" spans="2:8" x14ac:dyDescent="0.25">
      <c r="B686" s="107"/>
      <c r="C686" s="107"/>
      <c r="D686" s="107"/>
      <c r="E686" s="107"/>
      <c r="F686" s="107"/>
      <c r="G686" s="107"/>
      <c r="H686" s="107"/>
    </row>
    <row r="687" spans="2:8" x14ac:dyDescent="0.25">
      <c r="B687" s="107"/>
      <c r="C687" s="107"/>
      <c r="D687" s="107"/>
      <c r="E687" s="107"/>
      <c r="F687" s="107"/>
      <c r="G687" s="107"/>
      <c r="H687" s="107"/>
    </row>
    <row r="688" spans="2:8" x14ac:dyDescent="0.25">
      <c r="B688" s="107"/>
      <c r="C688" s="107"/>
      <c r="D688" s="107"/>
      <c r="E688" s="107"/>
      <c r="F688" s="107"/>
      <c r="G688" s="107"/>
      <c r="H688" s="107"/>
    </row>
    <row r="689" spans="2:8" x14ac:dyDescent="0.25">
      <c r="B689" s="107"/>
      <c r="C689" s="107"/>
      <c r="D689" s="107"/>
      <c r="E689" s="107"/>
      <c r="F689" s="107"/>
      <c r="G689" s="107"/>
      <c r="H689" s="107"/>
    </row>
    <row r="690" spans="2:8" x14ac:dyDescent="0.25">
      <c r="B690" s="107"/>
      <c r="C690" s="107"/>
      <c r="D690" s="107"/>
      <c r="E690" s="107"/>
      <c r="F690" s="107"/>
      <c r="G690" s="107"/>
      <c r="H690" s="107"/>
    </row>
    <row r="691" spans="2:8" x14ac:dyDescent="0.25">
      <c r="B691" s="107"/>
      <c r="C691" s="107"/>
      <c r="D691" s="107"/>
      <c r="E691" s="107"/>
      <c r="F691" s="107"/>
      <c r="G691" s="107"/>
      <c r="H691" s="107"/>
    </row>
    <row r="692" spans="2:8" x14ac:dyDescent="0.25">
      <c r="B692" s="107"/>
      <c r="C692" s="107"/>
      <c r="D692" s="107"/>
      <c r="E692" s="107"/>
      <c r="F692" s="107"/>
      <c r="G692" s="107"/>
      <c r="H692" s="107"/>
    </row>
    <row r="693" spans="2:8" x14ac:dyDescent="0.25">
      <c r="B693" s="107"/>
      <c r="C693" s="107"/>
      <c r="D693" s="107"/>
      <c r="E693" s="107"/>
      <c r="F693" s="107"/>
      <c r="G693" s="107"/>
      <c r="H693" s="107"/>
    </row>
    <row r="694" spans="2:8" x14ac:dyDescent="0.25">
      <c r="B694" s="107"/>
      <c r="C694" s="107"/>
      <c r="D694" s="107"/>
      <c r="E694" s="107"/>
      <c r="F694" s="107"/>
      <c r="G694" s="107"/>
      <c r="H694" s="107"/>
    </row>
    <row r="695" spans="2:8" x14ac:dyDescent="0.25">
      <c r="B695" s="107"/>
      <c r="C695" s="107"/>
      <c r="D695" s="107"/>
      <c r="E695" s="107"/>
      <c r="F695" s="107"/>
      <c r="G695" s="107"/>
      <c r="H695" s="107"/>
    </row>
    <row r="696" spans="2:8" x14ac:dyDescent="0.25">
      <c r="B696" s="107"/>
      <c r="C696" s="107"/>
      <c r="D696" s="107"/>
      <c r="E696" s="107"/>
      <c r="F696" s="107"/>
      <c r="G696" s="107"/>
      <c r="H696" s="107"/>
    </row>
    <row r="697" spans="2:8" x14ac:dyDescent="0.25">
      <c r="B697" s="107"/>
      <c r="C697" s="107"/>
      <c r="D697" s="107"/>
      <c r="E697" s="107"/>
      <c r="F697" s="107"/>
      <c r="G697" s="107"/>
      <c r="H697" s="107"/>
    </row>
    <row r="698" spans="2:8" x14ac:dyDescent="0.25">
      <c r="B698" s="107"/>
      <c r="C698" s="107"/>
      <c r="D698" s="107"/>
      <c r="E698" s="107"/>
      <c r="F698" s="107"/>
      <c r="G698" s="107"/>
      <c r="H698" s="107"/>
    </row>
    <row r="699" spans="2:8" x14ac:dyDescent="0.25">
      <c r="B699" s="107"/>
      <c r="C699" s="107"/>
      <c r="D699" s="107"/>
      <c r="E699" s="107"/>
      <c r="F699" s="107"/>
      <c r="G699" s="107"/>
      <c r="H699" s="107"/>
    </row>
    <row r="700" spans="2:8" x14ac:dyDescent="0.25">
      <c r="B700" s="107"/>
      <c r="C700" s="107"/>
      <c r="D700" s="107"/>
      <c r="E700" s="107"/>
      <c r="F700" s="107"/>
      <c r="G700" s="107"/>
      <c r="H700" s="107"/>
    </row>
    <row r="701" spans="2:8" x14ac:dyDescent="0.25">
      <c r="B701" s="107"/>
      <c r="C701" s="107"/>
      <c r="D701" s="107"/>
      <c r="E701" s="107"/>
      <c r="F701" s="107"/>
      <c r="G701" s="107"/>
      <c r="H701" s="107"/>
    </row>
    <row r="702" spans="2:8" x14ac:dyDescent="0.25">
      <c r="B702" s="107"/>
      <c r="C702" s="107"/>
      <c r="D702" s="107"/>
      <c r="E702" s="107"/>
      <c r="F702" s="107"/>
      <c r="G702" s="107"/>
      <c r="H702" s="107"/>
    </row>
    <row r="703" spans="2:8" x14ac:dyDescent="0.25">
      <c r="B703" s="107"/>
      <c r="C703" s="107"/>
      <c r="D703" s="107"/>
      <c r="E703" s="107"/>
      <c r="F703" s="107"/>
      <c r="G703" s="107"/>
      <c r="H703" s="107"/>
    </row>
    <row r="704" spans="2:8" x14ac:dyDescent="0.25">
      <c r="B704" s="107"/>
      <c r="C704" s="107"/>
      <c r="D704" s="107"/>
      <c r="E704" s="107"/>
      <c r="F704" s="107"/>
      <c r="G704" s="107"/>
      <c r="H704" s="107"/>
    </row>
    <row r="705" spans="2:8" x14ac:dyDescent="0.25">
      <c r="B705" s="107"/>
      <c r="C705" s="107"/>
      <c r="D705" s="107"/>
      <c r="E705" s="107"/>
      <c r="F705" s="107"/>
      <c r="G705" s="107"/>
      <c r="H705" s="107"/>
    </row>
    <row r="706" spans="2:8" x14ac:dyDescent="0.25">
      <c r="B706" s="107"/>
      <c r="C706" s="107"/>
      <c r="D706" s="107"/>
      <c r="E706" s="107"/>
      <c r="F706" s="107"/>
      <c r="G706" s="107"/>
      <c r="H706" s="107"/>
    </row>
    <row r="707" spans="2:8" x14ac:dyDescent="0.25">
      <c r="B707" s="107"/>
      <c r="C707" s="107"/>
      <c r="D707" s="107"/>
      <c r="E707" s="107"/>
      <c r="F707" s="107"/>
      <c r="G707" s="107"/>
      <c r="H707" s="107"/>
    </row>
    <row r="708" spans="2:8" x14ac:dyDescent="0.25">
      <c r="B708" s="107"/>
      <c r="C708" s="107"/>
      <c r="D708" s="107"/>
      <c r="E708" s="107"/>
      <c r="F708" s="107"/>
      <c r="G708" s="107"/>
      <c r="H708" s="107"/>
    </row>
    <row r="709" spans="2:8" x14ac:dyDescent="0.25">
      <c r="B709" s="107"/>
      <c r="C709" s="107"/>
      <c r="D709" s="107"/>
      <c r="E709" s="107"/>
      <c r="F709" s="107"/>
      <c r="G709" s="107"/>
      <c r="H709" s="107"/>
    </row>
    <row r="710" spans="2:8" x14ac:dyDescent="0.25">
      <c r="B710" s="107"/>
      <c r="C710" s="107"/>
      <c r="D710" s="107"/>
      <c r="E710" s="107"/>
      <c r="F710" s="107"/>
      <c r="G710" s="107"/>
      <c r="H710" s="107"/>
    </row>
    <row r="711" spans="2:8" x14ac:dyDescent="0.25">
      <c r="B711" s="107"/>
      <c r="C711" s="107"/>
      <c r="D711" s="107"/>
      <c r="E711" s="107"/>
      <c r="F711" s="107"/>
      <c r="G711" s="107"/>
      <c r="H711" s="107"/>
    </row>
    <row r="712" spans="2:8" x14ac:dyDescent="0.25">
      <c r="B712" s="107"/>
      <c r="C712" s="107"/>
      <c r="D712" s="107"/>
      <c r="E712" s="107"/>
      <c r="F712" s="107"/>
      <c r="G712" s="107"/>
      <c r="H712" s="107"/>
    </row>
    <row r="713" spans="2:8" x14ac:dyDescent="0.25">
      <c r="B713" s="107"/>
      <c r="C713" s="107"/>
      <c r="D713" s="107"/>
      <c r="E713" s="107"/>
      <c r="F713" s="107"/>
      <c r="G713" s="107"/>
      <c r="H713" s="107"/>
    </row>
    <row r="714" spans="2:8" x14ac:dyDescent="0.25">
      <c r="B714" s="107"/>
      <c r="C714" s="107"/>
      <c r="D714" s="107"/>
      <c r="E714" s="107"/>
      <c r="F714" s="107"/>
      <c r="G714" s="107"/>
      <c r="H714" s="107"/>
    </row>
    <row r="715" spans="2:8" x14ac:dyDescent="0.25">
      <c r="B715" s="107"/>
      <c r="C715" s="107"/>
      <c r="D715" s="107"/>
      <c r="E715" s="107"/>
      <c r="F715" s="107"/>
      <c r="G715" s="107"/>
      <c r="H715" s="107"/>
    </row>
    <row r="716" spans="2:8" x14ac:dyDescent="0.25">
      <c r="B716" s="107"/>
      <c r="C716" s="107"/>
      <c r="D716" s="107"/>
      <c r="E716" s="107"/>
      <c r="F716" s="107"/>
      <c r="G716" s="107"/>
      <c r="H716" s="107"/>
    </row>
    <row r="717" spans="2:8" x14ac:dyDescent="0.25">
      <c r="B717" s="107"/>
      <c r="C717" s="107"/>
      <c r="D717" s="107"/>
      <c r="E717" s="107"/>
      <c r="F717" s="107"/>
      <c r="G717" s="107"/>
      <c r="H717" s="107"/>
    </row>
    <row r="718" spans="2:8" x14ac:dyDescent="0.25">
      <c r="B718" s="107"/>
      <c r="C718" s="107"/>
      <c r="D718" s="107"/>
      <c r="E718" s="107"/>
      <c r="F718" s="107"/>
      <c r="G718" s="107"/>
      <c r="H718" s="107"/>
    </row>
    <row r="719" spans="2:8" x14ac:dyDescent="0.25">
      <c r="B719" s="107"/>
      <c r="C719" s="107"/>
      <c r="D719" s="107"/>
      <c r="E719" s="107"/>
      <c r="F719" s="107"/>
      <c r="G719" s="107"/>
      <c r="H719" s="107"/>
    </row>
    <row r="720" spans="2:8" x14ac:dyDescent="0.25">
      <c r="B720" s="107"/>
      <c r="C720" s="107"/>
      <c r="D720" s="107"/>
      <c r="E720" s="107"/>
      <c r="F720" s="107"/>
      <c r="G720" s="107"/>
      <c r="H720" s="107"/>
    </row>
    <row r="721" spans="2:8" x14ac:dyDescent="0.25">
      <c r="B721" s="107"/>
      <c r="C721" s="107"/>
      <c r="D721" s="107"/>
      <c r="E721" s="107"/>
      <c r="F721" s="107"/>
      <c r="G721" s="107"/>
      <c r="H721" s="107"/>
    </row>
    <row r="722" spans="2:8" x14ac:dyDescent="0.25">
      <c r="B722" s="107"/>
      <c r="C722" s="107"/>
      <c r="D722" s="107"/>
      <c r="E722" s="107"/>
      <c r="F722" s="107"/>
      <c r="G722" s="107"/>
      <c r="H722" s="107"/>
    </row>
    <row r="723" spans="2:8" x14ac:dyDescent="0.25">
      <c r="B723" s="107"/>
      <c r="C723" s="107"/>
      <c r="D723" s="107"/>
      <c r="E723" s="107"/>
      <c r="F723" s="107"/>
      <c r="G723" s="107"/>
      <c r="H723" s="107"/>
    </row>
    <row r="724" spans="2:8" x14ac:dyDescent="0.25">
      <c r="B724" s="107"/>
      <c r="C724" s="107"/>
      <c r="D724" s="107"/>
      <c r="E724" s="107"/>
      <c r="F724" s="107"/>
      <c r="G724" s="107"/>
      <c r="H724" s="107"/>
    </row>
    <row r="725" spans="2:8" x14ac:dyDescent="0.25">
      <c r="B725" s="107"/>
      <c r="C725" s="107"/>
      <c r="D725" s="107"/>
      <c r="E725" s="107"/>
      <c r="F725" s="107"/>
      <c r="G725" s="107"/>
      <c r="H725" s="107"/>
    </row>
    <row r="726" spans="2:8" x14ac:dyDescent="0.25">
      <c r="B726" s="107"/>
      <c r="C726" s="107"/>
      <c r="D726" s="107"/>
      <c r="E726" s="107"/>
      <c r="F726" s="107"/>
      <c r="G726" s="107"/>
      <c r="H726" s="107"/>
    </row>
    <row r="727" spans="2:8" x14ac:dyDescent="0.25">
      <c r="B727" s="107"/>
      <c r="C727" s="107"/>
      <c r="D727" s="107"/>
      <c r="E727" s="107"/>
      <c r="F727" s="107"/>
      <c r="G727" s="107"/>
      <c r="H727" s="107"/>
    </row>
    <row r="728" spans="2:8" x14ac:dyDescent="0.25">
      <c r="B728" s="107"/>
      <c r="C728" s="107"/>
      <c r="D728" s="107"/>
      <c r="E728" s="107"/>
      <c r="F728" s="107"/>
      <c r="G728" s="107"/>
      <c r="H728" s="107"/>
    </row>
    <row r="729" spans="2:8" x14ac:dyDescent="0.25">
      <c r="B729" s="107"/>
      <c r="C729" s="107"/>
      <c r="D729" s="107"/>
      <c r="E729" s="107"/>
      <c r="F729" s="107"/>
      <c r="G729" s="107"/>
      <c r="H729" s="107"/>
    </row>
    <row r="730" spans="2:8" x14ac:dyDescent="0.25">
      <c r="B730" s="107"/>
      <c r="C730" s="107"/>
      <c r="D730" s="107"/>
      <c r="E730" s="107"/>
      <c r="F730" s="107"/>
      <c r="G730" s="107"/>
      <c r="H730" s="107"/>
    </row>
    <row r="731" spans="2:8" x14ac:dyDescent="0.25">
      <c r="B731" s="107"/>
      <c r="C731" s="107"/>
      <c r="D731" s="107"/>
      <c r="E731" s="107"/>
      <c r="F731" s="107"/>
      <c r="G731" s="107"/>
      <c r="H731" s="107"/>
    </row>
    <row r="732" spans="2:8" x14ac:dyDescent="0.25">
      <c r="B732" s="107"/>
      <c r="C732" s="107"/>
      <c r="D732" s="107"/>
      <c r="E732" s="107"/>
      <c r="F732" s="107"/>
      <c r="G732" s="107"/>
      <c r="H732" s="107"/>
    </row>
    <row r="733" spans="2:8" x14ac:dyDescent="0.25">
      <c r="B733" s="107"/>
      <c r="C733" s="107"/>
      <c r="D733" s="107"/>
      <c r="E733" s="107"/>
      <c r="F733" s="107"/>
      <c r="G733" s="107"/>
      <c r="H733" s="107"/>
    </row>
    <row r="734" spans="2:8" x14ac:dyDescent="0.25">
      <c r="B734" s="107"/>
      <c r="C734" s="107"/>
      <c r="D734" s="107"/>
      <c r="E734" s="107"/>
      <c r="F734" s="107"/>
      <c r="G734" s="107"/>
      <c r="H734" s="107"/>
    </row>
    <row r="735" spans="2:8" x14ac:dyDescent="0.25">
      <c r="B735" s="107"/>
      <c r="C735" s="107"/>
      <c r="D735" s="107"/>
      <c r="E735" s="107"/>
      <c r="F735" s="107"/>
      <c r="G735" s="107"/>
      <c r="H735" s="107"/>
    </row>
    <row r="736" spans="2:8" x14ac:dyDescent="0.25">
      <c r="B736" s="107"/>
      <c r="C736" s="107"/>
      <c r="D736" s="107"/>
      <c r="E736" s="107"/>
      <c r="F736" s="107"/>
      <c r="G736" s="107"/>
      <c r="H736" s="107"/>
    </row>
    <row r="737" spans="2:8" x14ac:dyDescent="0.25">
      <c r="B737" s="107"/>
      <c r="C737" s="107"/>
      <c r="D737" s="107"/>
      <c r="E737" s="107"/>
      <c r="F737" s="107"/>
      <c r="G737" s="107"/>
      <c r="H737" s="107"/>
    </row>
    <row r="738" spans="2:8" x14ac:dyDescent="0.25">
      <c r="B738" s="107"/>
      <c r="C738" s="107"/>
      <c r="D738" s="107"/>
      <c r="E738" s="107"/>
      <c r="F738" s="107"/>
      <c r="G738" s="107"/>
      <c r="H738" s="107"/>
    </row>
    <row r="739" spans="2:8" x14ac:dyDescent="0.25">
      <c r="B739" s="107"/>
      <c r="C739" s="107"/>
      <c r="D739" s="107"/>
      <c r="E739" s="107"/>
      <c r="F739" s="107"/>
      <c r="G739" s="107"/>
      <c r="H739" s="107"/>
    </row>
    <row r="740" spans="2:8" x14ac:dyDescent="0.25">
      <c r="B740" s="107"/>
      <c r="C740" s="107"/>
      <c r="D740" s="107"/>
      <c r="E740" s="107"/>
      <c r="F740" s="107"/>
      <c r="G740" s="107"/>
      <c r="H740" s="107"/>
    </row>
    <row r="741" spans="2:8" x14ac:dyDescent="0.25">
      <c r="B741" s="107"/>
      <c r="C741" s="107"/>
      <c r="D741" s="107"/>
      <c r="E741" s="107"/>
      <c r="F741" s="107"/>
      <c r="G741" s="107"/>
      <c r="H741" s="107"/>
    </row>
    <row r="742" spans="2:8" x14ac:dyDescent="0.25">
      <c r="B742" s="107"/>
      <c r="C742" s="107"/>
      <c r="D742" s="107"/>
      <c r="E742" s="107"/>
      <c r="F742" s="107"/>
      <c r="G742" s="107"/>
      <c r="H742" s="107"/>
    </row>
    <row r="743" spans="2:8" x14ac:dyDescent="0.25">
      <c r="B743" s="107"/>
      <c r="C743" s="107"/>
      <c r="D743" s="107"/>
      <c r="E743" s="107"/>
      <c r="F743" s="107"/>
      <c r="G743" s="107"/>
      <c r="H743" s="107"/>
    </row>
    <row r="744" spans="2:8" x14ac:dyDescent="0.25">
      <c r="B744" s="107"/>
      <c r="C744" s="107"/>
      <c r="D744" s="107"/>
      <c r="E744" s="107"/>
      <c r="F744" s="107"/>
      <c r="G744" s="107"/>
      <c r="H744" s="107"/>
    </row>
    <row r="745" spans="2:8" x14ac:dyDescent="0.25">
      <c r="B745" s="107"/>
      <c r="C745" s="107"/>
      <c r="D745" s="107"/>
      <c r="E745" s="107"/>
      <c r="F745" s="107"/>
      <c r="G745" s="107"/>
      <c r="H745" s="107"/>
    </row>
    <row r="746" spans="2:8" x14ac:dyDescent="0.25">
      <c r="B746" s="107"/>
      <c r="C746" s="107"/>
      <c r="D746" s="107"/>
      <c r="E746" s="107"/>
      <c r="F746" s="107"/>
      <c r="G746" s="107"/>
      <c r="H746" s="107"/>
    </row>
    <row r="747" spans="2:8" x14ac:dyDescent="0.25">
      <c r="B747" s="107"/>
      <c r="C747" s="107"/>
      <c r="D747" s="107"/>
      <c r="E747" s="107"/>
      <c r="F747" s="107"/>
      <c r="G747" s="107"/>
      <c r="H747" s="107"/>
    </row>
    <row r="748" spans="2:8" x14ac:dyDescent="0.25">
      <c r="B748" s="107"/>
      <c r="C748" s="107"/>
      <c r="D748" s="107"/>
      <c r="E748" s="107"/>
      <c r="F748" s="107"/>
      <c r="G748" s="107"/>
      <c r="H748" s="107"/>
    </row>
    <row r="749" spans="2:8" x14ac:dyDescent="0.25">
      <c r="B749" s="107"/>
      <c r="C749" s="107"/>
      <c r="D749" s="107"/>
      <c r="E749" s="107"/>
      <c r="F749" s="107"/>
      <c r="G749" s="107"/>
      <c r="H749" s="107"/>
    </row>
    <row r="750" spans="2:8" x14ac:dyDescent="0.25">
      <c r="B750" s="107"/>
      <c r="C750" s="107"/>
      <c r="D750" s="107"/>
      <c r="E750" s="107"/>
      <c r="F750" s="107"/>
      <c r="G750" s="107"/>
      <c r="H750" s="107"/>
    </row>
    <row r="751" spans="2:8" x14ac:dyDescent="0.25">
      <c r="B751" s="107"/>
      <c r="C751" s="107"/>
      <c r="D751" s="107"/>
      <c r="E751" s="107"/>
      <c r="F751" s="107"/>
      <c r="G751" s="107"/>
      <c r="H751" s="107"/>
    </row>
    <row r="752" spans="2:8" x14ac:dyDescent="0.25">
      <c r="B752" s="107"/>
      <c r="C752" s="107"/>
      <c r="D752" s="107"/>
      <c r="E752" s="107"/>
      <c r="F752" s="107"/>
      <c r="G752" s="107"/>
      <c r="H752" s="107"/>
    </row>
    <row r="753" spans="2:8" x14ac:dyDescent="0.25">
      <c r="B753" s="107"/>
      <c r="C753" s="107"/>
      <c r="D753" s="107"/>
      <c r="E753" s="107"/>
      <c r="F753" s="107"/>
      <c r="G753" s="107"/>
      <c r="H753" s="107"/>
    </row>
    <row r="754" spans="2:8" x14ac:dyDescent="0.25">
      <c r="B754" s="107"/>
      <c r="C754" s="107"/>
      <c r="D754" s="107"/>
      <c r="E754" s="107"/>
      <c r="F754" s="107"/>
      <c r="G754" s="107"/>
      <c r="H754" s="107"/>
    </row>
    <row r="755" spans="2:8" x14ac:dyDescent="0.25">
      <c r="B755" s="107"/>
      <c r="C755" s="107"/>
      <c r="D755" s="107"/>
      <c r="E755" s="107"/>
      <c r="F755" s="107"/>
      <c r="G755" s="107"/>
      <c r="H755" s="107"/>
    </row>
    <row r="756" spans="2:8" x14ac:dyDescent="0.25">
      <c r="B756" s="107"/>
      <c r="C756" s="107"/>
      <c r="D756" s="107"/>
      <c r="E756" s="107"/>
      <c r="F756" s="107"/>
      <c r="G756" s="107"/>
      <c r="H756" s="107"/>
    </row>
    <row r="757" spans="2:8" x14ac:dyDescent="0.25">
      <c r="B757" s="107"/>
      <c r="C757" s="107"/>
      <c r="D757" s="107"/>
      <c r="E757" s="107"/>
      <c r="F757" s="107"/>
      <c r="G757" s="107"/>
      <c r="H757" s="107"/>
    </row>
    <row r="758" spans="2:8" x14ac:dyDescent="0.25">
      <c r="B758" s="107"/>
      <c r="C758" s="107"/>
      <c r="D758" s="107"/>
      <c r="E758" s="107"/>
      <c r="F758" s="107"/>
      <c r="G758" s="107"/>
      <c r="H758" s="107"/>
    </row>
    <row r="759" spans="2:8" x14ac:dyDescent="0.25">
      <c r="B759" s="107"/>
      <c r="C759" s="107"/>
      <c r="D759" s="107"/>
      <c r="E759" s="107"/>
      <c r="F759" s="107"/>
      <c r="G759" s="107"/>
      <c r="H759" s="107"/>
    </row>
    <row r="760" spans="2:8" x14ac:dyDescent="0.25">
      <c r="B760" s="107"/>
      <c r="C760" s="107"/>
      <c r="D760" s="107"/>
      <c r="E760" s="107"/>
      <c r="F760" s="107"/>
      <c r="G760" s="107"/>
      <c r="H760" s="107"/>
    </row>
    <row r="761" spans="2:8" x14ac:dyDescent="0.25">
      <c r="B761" s="107"/>
      <c r="C761" s="107"/>
      <c r="D761" s="107"/>
      <c r="E761" s="107"/>
      <c r="F761" s="107"/>
      <c r="G761" s="107"/>
      <c r="H761" s="107"/>
    </row>
    <row r="762" spans="2:8" x14ac:dyDescent="0.25">
      <c r="B762" s="107"/>
      <c r="C762" s="107"/>
      <c r="D762" s="107"/>
      <c r="E762" s="107"/>
      <c r="F762" s="107"/>
      <c r="G762" s="107"/>
      <c r="H762" s="107"/>
    </row>
    <row r="763" spans="2:8" x14ac:dyDescent="0.25">
      <c r="B763" s="107"/>
      <c r="C763" s="107"/>
      <c r="D763" s="107"/>
      <c r="E763" s="107"/>
      <c r="F763" s="107"/>
      <c r="G763" s="107"/>
      <c r="H763" s="107"/>
    </row>
    <row r="764" spans="2:8" x14ac:dyDescent="0.25">
      <c r="B764" s="107"/>
      <c r="C764" s="107"/>
      <c r="D764" s="107"/>
      <c r="E764" s="107"/>
      <c r="F764" s="107"/>
      <c r="G764" s="107"/>
      <c r="H764" s="107"/>
    </row>
    <row r="765" spans="2:8" x14ac:dyDescent="0.25">
      <c r="B765" s="107"/>
      <c r="C765" s="107"/>
      <c r="D765" s="107"/>
      <c r="E765" s="107"/>
      <c r="F765" s="107"/>
      <c r="G765" s="107"/>
      <c r="H765" s="107"/>
    </row>
    <row r="766" spans="2:8" x14ac:dyDescent="0.25">
      <c r="B766" s="107"/>
      <c r="C766" s="107"/>
      <c r="D766" s="107"/>
      <c r="E766" s="107"/>
      <c r="F766" s="107"/>
      <c r="G766" s="107"/>
      <c r="H766" s="107"/>
    </row>
    <row r="767" spans="2:8" x14ac:dyDescent="0.25">
      <c r="B767" s="107"/>
      <c r="C767" s="107"/>
      <c r="D767" s="107"/>
      <c r="E767" s="107"/>
      <c r="F767" s="107"/>
      <c r="G767" s="107"/>
      <c r="H767" s="107"/>
    </row>
    <row r="768" spans="2:8" x14ac:dyDescent="0.25">
      <c r="B768" s="107"/>
      <c r="C768" s="107"/>
      <c r="D768" s="107"/>
      <c r="E768" s="107"/>
      <c r="F768" s="107"/>
      <c r="G768" s="107"/>
      <c r="H768" s="107"/>
    </row>
    <row r="769" spans="2:8" x14ac:dyDescent="0.25">
      <c r="B769" s="107"/>
      <c r="C769" s="107"/>
      <c r="D769" s="107"/>
      <c r="E769" s="107"/>
      <c r="F769" s="107"/>
      <c r="G769" s="107"/>
      <c r="H769" s="107"/>
    </row>
    <row r="770" spans="2:8" x14ac:dyDescent="0.25">
      <c r="B770" s="107"/>
      <c r="C770" s="107"/>
      <c r="D770" s="107"/>
      <c r="E770" s="107"/>
      <c r="F770" s="107"/>
      <c r="G770" s="107"/>
      <c r="H770" s="107"/>
    </row>
    <row r="771" spans="2:8" x14ac:dyDescent="0.25">
      <c r="B771" s="107"/>
      <c r="C771" s="107"/>
      <c r="D771" s="107"/>
      <c r="E771" s="107"/>
      <c r="F771" s="107"/>
      <c r="G771" s="107"/>
      <c r="H771" s="107"/>
    </row>
    <row r="772" spans="2:8" x14ac:dyDescent="0.25">
      <c r="B772" s="107"/>
      <c r="C772" s="107"/>
      <c r="D772" s="107"/>
      <c r="E772" s="107"/>
      <c r="F772" s="107"/>
      <c r="G772" s="107"/>
      <c r="H772" s="107"/>
    </row>
    <row r="773" spans="2:8" x14ac:dyDescent="0.25">
      <c r="B773" s="107"/>
      <c r="C773" s="107"/>
      <c r="D773" s="107"/>
      <c r="E773" s="107"/>
      <c r="F773" s="107"/>
      <c r="G773" s="107"/>
      <c r="H773" s="107"/>
    </row>
    <row r="774" spans="2:8" x14ac:dyDescent="0.25">
      <c r="B774" s="107"/>
      <c r="C774" s="107"/>
      <c r="D774" s="107"/>
      <c r="E774" s="107"/>
      <c r="F774" s="107"/>
      <c r="G774" s="107"/>
      <c r="H774" s="107"/>
    </row>
    <row r="775" spans="2:8" x14ac:dyDescent="0.25">
      <c r="B775" s="107"/>
      <c r="C775" s="107"/>
      <c r="D775" s="107"/>
      <c r="E775" s="107"/>
      <c r="F775" s="107"/>
      <c r="G775" s="107"/>
      <c r="H775" s="107"/>
    </row>
    <row r="776" spans="2:8" x14ac:dyDescent="0.25">
      <c r="B776" s="107"/>
      <c r="C776" s="107"/>
      <c r="D776" s="107"/>
      <c r="E776" s="107"/>
      <c r="F776" s="107"/>
      <c r="G776" s="107"/>
      <c r="H776" s="107"/>
    </row>
    <row r="777" spans="2:8" x14ac:dyDescent="0.25">
      <c r="B777" s="107"/>
      <c r="C777" s="107"/>
      <c r="D777" s="107"/>
      <c r="E777" s="107"/>
      <c r="F777" s="107"/>
      <c r="G777" s="107"/>
      <c r="H777" s="107"/>
    </row>
    <row r="778" spans="2:8" x14ac:dyDescent="0.25">
      <c r="B778" s="107"/>
      <c r="C778" s="107"/>
      <c r="D778" s="107"/>
      <c r="E778" s="107"/>
      <c r="F778" s="107"/>
      <c r="G778" s="107"/>
      <c r="H778" s="107"/>
    </row>
    <row r="779" spans="2:8" x14ac:dyDescent="0.25">
      <c r="B779" s="107"/>
      <c r="C779" s="107"/>
      <c r="D779" s="107"/>
      <c r="E779" s="107"/>
      <c r="F779" s="107"/>
      <c r="G779" s="107"/>
      <c r="H779" s="107"/>
    </row>
    <row r="780" spans="2:8" x14ac:dyDescent="0.25">
      <c r="B780" s="107"/>
      <c r="C780" s="107"/>
      <c r="D780" s="107"/>
      <c r="E780" s="107"/>
      <c r="F780" s="107"/>
      <c r="G780" s="107"/>
      <c r="H780" s="107"/>
    </row>
    <row r="781" spans="2:8" x14ac:dyDescent="0.25">
      <c r="B781" s="107"/>
      <c r="C781" s="107"/>
      <c r="D781" s="107"/>
      <c r="E781" s="107"/>
      <c r="F781" s="107"/>
      <c r="G781" s="107"/>
      <c r="H781" s="107"/>
    </row>
    <row r="782" spans="2:8" x14ac:dyDescent="0.25">
      <c r="B782" s="107"/>
      <c r="C782" s="107"/>
      <c r="D782" s="107"/>
      <c r="E782" s="107"/>
      <c r="F782" s="107"/>
      <c r="G782" s="107"/>
      <c r="H782" s="107"/>
    </row>
    <row r="783" spans="2:8" x14ac:dyDescent="0.25">
      <c r="B783" s="107"/>
      <c r="C783" s="107"/>
      <c r="D783" s="107"/>
      <c r="E783" s="107"/>
      <c r="F783" s="107"/>
      <c r="G783" s="107"/>
      <c r="H783" s="107"/>
    </row>
    <row r="784" spans="2:8" x14ac:dyDescent="0.25">
      <c r="B784" s="107"/>
      <c r="C784" s="107"/>
      <c r="D784" s="107"/>
      <c r="E784" s="107"/>
      <c r="F784" s="107"/>
      <c r="G784" s="107"/>
      <c r="H784" s="107"/>
    </row>
    <row r="785" spans="2:8" x14ac:dyDescent="0.25">
      <c r="B785" s="107"/>
      <c r="C785" s="107"/>
      <c r="D785" s="107"/>
      <c r="E785" s="107"/>
      <c r="F785" s="107"/>
      <c r="G785" s="107"/>
      <c r="H785" s="107"/>
    </row>
    <row r="786" spans="2:8" x14ac:dyDescent="0.25">
      <c r="B786" s="107"/>
      <c r="C786" s="107"/>
      <c r="D786" s="107"/>
      <c r="E786" s="107"/>
      <c r="F786" s="107"/>
      <c r="G786" s="107"/>
      <c r="H786" s="107"/>
    </row>
    <row r="787" spans="2:8" x14ac:dyDescent="0.25">
      <c r="B787" s="107"/>
      <c r="C787" s="107"/>
      <c r="D787" s="107"/>
      <c r="E787" s="107"/>
      <c r="F787" s="107"/>
      <c r="G787" s="107"/>
      <c r="H787" s="107"/>
    </row>
    <row r="788" spans="2:8" x14ac:dyDescent="0.25">
      <c r="B788" s="107"/>
      <c r="C788" s="107"/>
      <c r="D788" s="107"/>
      <c r="E788" s="107"/>
      <c r="F788" s="107"/>
      <c r="G788" s="107"/>
      <c r="H788" s="107"/>
    </row>
    <row r="789" spans="2:8" x14ac:dyDescent="0.25">
      <c r="B789" s="107"/>
      <c r="C789" s="107"/>
      <c r="D789" s="107"/>
      <c r="E789" s="107"/>
      <c r="F789" s="107"/>
      <c r="G789" s="107"/>
      <c r="H789" s="107"/>
    </row>
    <row r="790" spans="2:8" x14ac:dyDescent="0.25">
      <c r="B790" s="107"/>
      <c r="C790" s="107"/>
      <c r="D790" s="107"/>
      <c r="E790" s="107"/>
      <c r="F790" s="107"/>
      <c r="G790" s="107"/>
      <c r="H790" s="107"/>
    </row>
    <row r="791" spans="2:8" x14ac:dyDescent="0.25">
      <c r="B791" s="107"/>
      <c r="C791" s="107"/>
      <c r="D791" s="107"/>
      <c r="E791" s="107"/>
      <c r="F791" s="107"/>
      <c r="G791" s="107"/>
      <c r="H791" s="107"/>
    </row>
    <row r="792" spans="2:8" x14ac:dyDescent="0.25">
      <c r="B792" s="107"/>
      <c r="C792" s="107"/>
      <c r="D792" s="107"/>
      <c r="E792" s="107"/>
      <c r="F792" s="107"/>
      <c r="G792" s="107"/>
      <c r="H792" s="107"/>
    </row>
    <row r="793" spans="2:8" x14ac:dyDescent="0.25">
      <c r="B793" s="107"/>
      <c r="C793" s="107"/>
      <c r="D793" s="107"/>
      <c r="E793" s="107"/>
      <c r="F793" s="107"/>
      <c r="G793" s="107"/>
      <c r="H793" s="107"/>
    </row>
    <row r="794" spans="2:8" x14ac:dyDescent="0.25">
      <c r="B794" s="107"/>
      <c r="C794" s="107"/>
      <c r="D794" s="107"/>
      <c r="E794" s="107"/>
      <c r="F794" s="107"/>
      <c r="G794" s="107"/>
      <c r="H794" s="107"/>
    </row>
    <row r="795" spans="2:8" x14ac:dyDescent="0.25">
      <c r="B795" s="107"/>
      <c r="C795" s="107"/>
      <c r="D795" s="107"/>
      <c r="E795" s="107"/>
      <c r="F795" s="107"/>
      <c r="G795" s="107"/>
      <c r="H795" s="107"/>
    </row>
    <row r="796" spans="2:8" x14ac:dyDescent="0.25">
      <c r="B796" s="107"/>
      <c r="C796" s="107"/>
      <c r="D796" s="107"/>
      <c r="E796" s="107"/>
      <c r="F796" s="107"/>
      <c r="G796" s="107"/>
      <c r="H796" s="107"/>
    </row>
    <row r="797" spans="2:8" x14ac:dyDescent="0.25">
      <c r="B797" s="107"/>
      <c r="C797" s="107"/>
      <c r="D797" s="107"/>
      <c r="E797" s="107"/>
      <c r="F797" s="107"/>
      <c r="G797" s="107"/>
      <c r="H797" s="107"/>
    </row>
    <row r="798" spans="2:8" x14ac:dyDescent="0.25">
      <c r="B798" s="107"/>
      <c r="C798" s="107"/>
      <c r="D798" s="107"/>
      <c r="E798" s="107"/>
      <c r="F798" s="107"/>
      <c r="G798" s="107"/>
      <c r="H798" s="107"/>
    </row>
    <row r="799" spans="2:8" x14ac:dyDescent="0.25">
      <c r="B799" s="107"/>
      <c r="C799" s="107"/>
      <c r="D799" s="107"/>
      <c r="E799" s="107"/>
      <c r="F799" s="107"/>
      <c r="G799" s="107"/>
      <c r="H799" s="107"/>
    </row>
    <row r="800" spans="2:8" x14ac:dyDescent="0.25">
      <c r="B800" s="107"/>
      <c r="C800" s="107"/>
      <c r="D800" s="107"/>
      <c r="E800" s="107"/>
      <c r="F800" s="107"/>
      <c r="G800" s="107"/>
      <c r="H800" s="107"/>
    </row>
    <row r="801" spans="2:8" x14ac:dyDescent="0.25">
      <c r="B801" s="107"/>
      <c r="C801" s="107"/>
      <c r="D801" s="107"/>
      <c r="E801" s="107"/>
      <c r="F801" s="107"/>
      <c r="G801" s="107"/>
      <c r="H801" s="107"/>
    </row>
    <row r="802" spans="2:8" x14ac:dyDescent="0.25">
      <c r="B802" s="107"/>
      <c r="C802" s="107"/>
      <c r="D802" s="107"/>
      <c r="E802" s="107"/>
      <c r="F802" s="107"/>
      <c r="G802" s="107"/>
      <c r="H802" s="107"/>
    </row>
    <row r="803" spans="2:8" x14ac:dyDescent="0.25">
      <c r="B803" s="107"/>
      <c r="C803" s="107"/>
      <c r="D803" s="107"/>
      <c r="E803" s="107"/>
      <c r="F803" s="107"/>
      <c r="G803" s="107"/>
      <c r="H803" s="107"/>
    </row>
    <row r="804" spans="2:8" x14ac:dyDescent="0.25">
      <c r="B804" s="107"/>
      <c r="C804" s="107"/>
      <c r="D804" s="107"/>
      <c r="E804" s="107"/>
      <c r="F804" s="107"/>
      <c r="G804" s="107"/>
      <c r="H804" s="107"/>
    </row>
    <row r="805" spans="2:8" x14ac:dyDescent="0.25">
      <c r="B805" s="107"/>
      <c r="C805" s="107"/>
      <c r="D805" s="107"/>
      <c r="E805" s="107"/>
      <c r="F805" s="107"/>
      <c r="G805" s="107"/>
      <c r="H805" s="107"/>
    </row>
    <row r="806" spans="2:8" x14ac:dyDescent="0.25">
      <c r="B806" s="107"/>
      <c r="C806" s="107"/>
      <c r="D806" s="107"/>
      <c r="E806" s="107"/>
      <c r="F806" s="107"/>
      <c r="G806" s="107"/>
      <c r="H806" s="107"/>
    </row>
    <row r="807" spans="2:8" x14ac:dyDescent="0.25">
      <c r="B807" s="107"/>
      <c r="C807" s="107"/>
      <c r="D807" s="107"/>
      <c r="E807" s="107"/>
      <c r="F807" s="107"/>
      <c r="G807" s="107"/>
      <c r="H807" s="107"/>
    </row>
    <row r="808" spans="2:8" x14ac:dyDescent="0.25">
      <c r="B808" s="107"/>
      <c r="C808" s="107"/>
      <c r="D808" s="107"/>
      <c r="E808" s="107"/>
      <c r="F808" s="107"/>
      <c r="G808" s="107"/>
      <c r="H808" s="107"/>
    </row>
    <row r="809" spans="2:8" x14ac:dyDescent="0.25">
      <c r="B809" s="107"/>
      <c r="C809" s="107"/>
      <c r="D809" s="107"/>
      <c r="E809" s="107"/>
      <c r="F809" s="107"/>
      <c r="G809" s="107"/>
      <c r="H809" s="107"/>
    </row>
    <row r="810" spans="2:8" x14ac:dyDescent="0.25">
      <c r="B810" s="107"/>
      <c r="C810" s="107"/>
      <c r="D810" s="107"/>
      <c r="E810" s="107"/>
      <c r="F810" s="107"/>
      <c r="G810" s="107"/>
      <c r="H810" s="107"/>
    </row>
    <row r="811" spans="2:8" x14ac:dyDescent="0.25">
      <c r="B811" s="107"/>
      <c r="C811" s="107"/>
      <c r="D811" s="107"/>
      <c r="E811" s="107"/>
      <c r="F811" s="107"/>
      <c r="G811" s="107"/>
      <c r="H811" s="107"/>
    </row>
    <row r="812" spans="2:8" x14ac:dyDescent="0.25">
      <c r="B812" s="107"/>
      <c r="C812" s="107"/>
      <c r="D812" s="107"/>
      <c r="E812" s="107"/>
      <c r="F812" s="107"/>
      <c r="G812" s="107"/>
      <c r="H812" s="107"/>
    </row>
    <row r="813" spans="2:8" x14ac:dyDescent="0.25">
      <c r="B813" s="107"/>
      <c r="C813" s="107"/>
      <c r="D813" s="107"/>
      <c r="E813" s="107"/>
      <c r="F813" s="107"/>
      <c r="G813" s="107"/>
      <c r="H813" s="107"/>
    </row>
    <row r="814" spans="2:8" x14ac:dyDescent="0.25">
      <c r="B814" s="107"/>
      <c r="C814" s="107"/>
      <c r="D814" s="107"/>
      <c r="E814" s="107"/>
      <c r="F814" s="107"/>
      <c r="G814" s="107"/>
      <c r="H814" s="107"/>
    </row>
    <row r="815" spans="2:8" x14ac:dyDescent="0.25">
      <c r="B815" s="107"/>
      <c r="C815" s="107"/>
      <c r="D815" s="107"/>
      <c r="E815" s="107"/>
      <c r="F815" s="107"/>
      <c r="G815" s="107"/>
      <c r="H815" s="107"/>
    </row>
    <row r="816" spans="2:8" x14ac:dyDescent="0.25">
      <c r="B816" s="107"/>
      <c r="C816" s="107"/>
      <c r="D816" s="107"/>
      <c r="E816" s="107"/>
      <c r="F816" s="107"/>
      <c r="G816" s="107"/>
      <c r="H816" s="107"/>
    </row>
    <row r="817" spans="2:8" x14ac:dyDescent="0.25">
      <c r="B817" s="107"/>
      <c r="C817" s="107"/>
      <c r="D817" s="107"/>
      <c r="E817" s="107"/>
      <c r="F817" s="107"/>
      <c r="G817" s="107"/>
      <c r="H817" s="107"/>
    </row>
    <row r="818" spans="2:8" x14ac:dyDescent="0.25">
      <c r="B818" s="107"/>
      <c r="C818" s="107"/>
      <c r="D818" s="107"/>
      <c r="E818" s="107"/>
      <c r="F818" s="107"/>
      <c r="G818" s="107"/>
      <c r="H818" s="107"/>
    </row>
    <row r="819" spans="2:8" x14ac:dyDescent="0.25">
      <c r="B819" s="107"/>
      <c r="C819" s="107"/>
      <c r="D819" s="107"/>
      <c r="E819" s="107"/>
      <c r="F819" s="107"/>
      <c r="G819" s="107"/>
      <c r="H819" s="107"/>
    </row>
    <row r="820" spans="2:8" x14ac:dyDescent="0.25">
      <c r="B820" s="107"/>
      <c r="C820" s="107"/>
      <c r="D820" s="107"/>
      <c r="E820" s="107"/>
      <c r="F820" s="107"/>
      <c r="G820" s="107"/>
      <c r="H820" s="107"/>
    </row>
    <row r="821" spans="2:8" x14ac:dyDescent="0.25">
      <c r="B821" s="107"/>
      <c r="C821" s="107"/>
      <c r="D821" s="107"/>
      <c r="E821" s="107"/>
      <c r="F821" s="107"/>
      <c r="G821" s="107"/>
      <c r="H821" s="107"/>
    </row>
    <row r="822" spans="2:8" x14ac:dyDescent="0.25">
      <c r="B822" s="107"/>
      <c r="C822" s="107"/>
      <c r="D822" s="107"/>
      <c r="E822" s="107"/>
      <c r="F822" s="107"/>
      <c r="G822" s="107"/>
      <c r="H822" s="107"/>
    </row>
    <row r="823" spans="2:8" x14ac:dyDescent="0.25">
      <c r="B823" s="107"/>
      <c r="C823" s="107"/>
      <c r="D823" s="107"/>
      <c r="E823" s="107"/>
      <c r="F823" s="107"/>
      <c r="G823" s="107"/>
      <c r="H823" s="107"/>
    </row>
    <row r="824" spans="2:8" x14ac:dyDescent="0.25">
      <c r="B824" s="107"/>
      <c r="C824" s="107"/>
      <c r="D824" s="107"/>
      <c r="E824" s="107"/>
      <c r="F824" s="107"/>
      <c r="G824" s="107"/>
      <c r="H824" s="107"/>
    </row>
    <row r="825" spans="2:8" x14ac:dyDescent="0.25">
      <c r="B825" s="107"/>
      <c r="C825" s="107"/>
      <c r="D825" s="107"/>
      <c r="E825" s="107"/>
      <c r="F825" s="107"/>
      <c r="G825" s="107"/>
      <c r="H825" s="107"/>
    </row>
    <row r="826" spans="2:8" x14ac:dyDescent="0.25">
      <c r="B826" s="107"/>
      <c r="C826" s="107"/>
      <c r="D826" s="107"/>
      <c r="E826" s="107"/>
      <c r="F826" s="107"/>
      <c r="G826" s="107"/>
      <c r="H826" s="107"/>
    </row>
    <row r="827" spans="2:8" x14ac:dyDescent="0.25">
      <c r="B827" s="107"/>
      <c r="C827" s="107"/>
      <c r="D827" s="107"/>
      <c r="E827" s="107"/>
      <c r="F827" s="107"/>
      <c r="G827" s="107"/>
      <c r="H827" s="107"/>
    </row>
    <row r="828" spans="2:8" x14ac:dyDescent="0.25">
      <c r="B828" s="107"/>
      <c r="C828" s="107"/>
      <c r="D828" s="107"/>
      <c r="E828" s="107"/>
      <c r="F828" s="107"/>
      <c r="G828" s="107"/>
      <c r="H828" s="107"/>
    </row>
    <row r="829" spans="2:8" x14ac:dyDescent="0.25">
      <c r="B829" s="107"/>
      <c r="C829" s="107"/>
      <c r="D829" s="107"/>
      <c r="E829" s="107"/>
      <c r="F829" s="107"/>
      <c r="G829" s="107"/>
      <c r="H829" s="107"/>
    </row>
    <row r="830" spans="2:8" x14ac:dyDescent="0.25">
      <c r="B830" s="107"/>
      <c r="C830" s="107"/>
      <c r="D830" s="107"/>
      <c r="E830" s="107"/>
      <c r="F830" s="107"/>
      <c r="G830" s="107"/>
      <c r="H830" s="107"/>
    </row>
    <row r="831" spans="2:8" x14ac:dyDescent="0.25">
      <c r="B831" s="107"/>
      <c r="C831" s="107"/>
      <c r="D831" s="107"/>
      <c r="E831" s="107"/>
      <c r="F831" s="107"/>
      <c r="G831" s="107"/>
      <c r="H831" s="107"/>
    </row>
    <row r="832" spans="2:8" x14ac:dyDescent="0.25">
      <c r="B832" s="107"/>
      <c r="C832" s="107"/>
      <c r="D832" s="107"/>
      <c r="E832" s="107"/>
      <c r="F832" s="107"/>
      <c r="G832" s="107"/>
      <c r="H832" s="107"/>
    </row>
    <row r="833" spans="2:8" x14ac:dyDescent="0.25">
      <c r="B833" s="107"/>
      <c r="C833" s="107"/>
      <c r="D833" s="107"/>
      <c r="E833" s="107"/>
      <c r="F833" s="107"/>
      <c r="G833" s="107"/>
      <c r="H833" s="107"/>
    </row>
    <row r="834" spans="2:8" x14ac:dyDescent="0.25">
      <c r="B834" s="107"/>
      <c r="C834" s="107"/>
      <c r="D834" s="107"/>
      <c r="E834" s="107"/>
      <c r="F834" s="107"/>
      <c r="G834" s="107"/>
      <c r="H834" s="107"/>
    </row>
    <row r="835" spans="2:8" x14ac:dyDescent="0.25">
      <c r="B835" s="107"/>
      <c r="C835" s="107"/>
      <c r="D835" s="107"/>
      <c r="E835" s="107"/>
      <c r="F835" s="107"/>
      <c r="G835" s="107"/>
      <c r="H835" s="107"/>
    </row>
    <row r="836" spans="2:8" x14ac:dyDescent="0.25">
      <c r="B836" s="107"/>
      <c r="C836" s="107"/>
      <c r="D836" s="107"/>
      <c r="E836" s="107"/>
      <c r="F836" s="107"/>
      <c r="G836" s="107"/>
      <c r="H836" s="107"/>
    </row>
    <row r="837" spans="2:8" x14ac:dyDescent="0.25">
      <c r="B837" s="107"/>
      <c r="C837" s="107"/>
      <c r="D837" s="107"/>
      <c r="E837" s="107"/>
      <c r="F837" s="107"/>
      <c r="G837" s="107"/>
      <c r="H837" s="107"/>
    </row>
    <row r="838" spans="2:8" x14ac:dyDescent="0.25">
      <c r="B838" s="107"/>
      <c r="C838" s="107"/>
      <c r="D838" s="107"/>
      <c r="E838" s="107"/>
      <c r="F838" s="107"/>
      <c r="G838" s="107"/>
      <c r="H838" s="107"/>
    </row>
    <row r="839" spans="2:8" x14ac:dyDescent="0.25">
      <c r="B839" s="107"/>
      <c r="C839" s="107"/>
      <c r="D839" s="107"/>
      <c r="E839" s="107"/>
      <c r="F839" s="107"/>
      <c r="G839" s="107"/>
      <c r="H839" s="107"/>
    </row>
    <row r="840" spans="2:8" x14ac:dyDescent="0.25">
      <c r="B840" s="107"/>
      <c r="C840" s="107"/>
      <c r="D840" s="107"/>
      <c r="E840" s="107"/>
      <c r="F840" s="107"/>
      <c r="G840" s="107"/>
      <c r="H840" s="107"/>
    </row>
    <row r="841" spans="2:8" x14ac:dyDescent="0.25">
      <c r="B841" s="107"/>
      <c r="C841" s="107"/>
      <c r="D841" s="107"/>
      <c r="E841" s="107"/>
      <c r="F841" s="107"/>
      <c r="G841" s="107"/>
      <c r="H841" s="107"/>
    </row>
    <row r="842" spans="2:8" x14ac:dyDescent="0.25">
      <c r="B842" s="107"/>
      <c r="C842" s="107"/>
      <c r="D842" s="107"/>
      <c r="E842" s="107"/>
      <c r="F842" s="107"/>
      <c r="G842" s="107"/>
      <c r="H842" s="107"/>
    </row>
    <row r="843" spans="2:8" x14ac:dyDescent="0.25">
      <c r="B843" s="107"/>
      <c r="C843" s="107"/>
      <c r="D843" s="107"/>
      <c r="E843" s="107"/>
      <c r="F843" s="107"/>
      <c r="G843" s="107"/>
      <c r="H843" s="107"/>
    </row>
    <row r="844" spans="2:8" x14ac:dyDescent="0.25">
      <c r="B844" s="107"/>
      <c r="C844" s="107"/>
      <c r="D844" s="107"/>
      <c r="E844" s="107"/>
      <c r="F844" s="107"/>
      <c r="G844" s="107"/>
      <c r="H844" s="107"/>
    </row>
    <row r="845" spans="2:8" x14ac:dyDescent="0.25">
      <c r="B845" s="107"/>
      <c r="C845" s="107"/>
      <c r="D845" s="107"/>
      <c r="E845" s="107"/>
      <c r="F845" s="107"/>
      <c r="G845" s="107"/>
      <c r="H845" s="107"/>
    </row>
    <row r="846" spans="2:8" x14ac:dyDescent="0.25">
      <c r="B846" s="107"/>
      <c r="C846" s="107"/>
      <c r="D846" s="107"/>
      <c r="E846" s="107"/>
      <c r="F846" s="107"/>
      <c r="G846" s="107"/>
      <c r="H846" s="107"/>
    </row>
    <row r="847" spans="2:8" x14ac:dyDescent="0.25">
      <c r="B847" s="107"/>
      <c r="C847" s="107"/>
      <c r="D847" s="107"/>
      <c r="E847" s="107"/>
      <c r="F847" s="107"/>
      <c r="G847" s="107"/>
      <c r="H847" s="107"/>
    </row>
    <row r="848" spans="2:8" x14ac:dyDescent="0.25">
      <c r="B848" s="107"/>
      <c r="C848" s="107"/>
      <c r="D848" s="107"/>
      <c r="E848" s="107"/>
      <c r="F848" s="107"/>
      <c r="G848" s="107"/>
      <c r="H848" s="107"/>
    </row>
    <row r="849" spans="2:8" x14ac:dyDescent="0.25">
      <c r="B849" s="107"/>
      <c r="C849" s="107"/>
      <c r="D849" s="107"/>
      <c r="E849" s="107"/>
      <c r="F849" s="107"/>
      <c r="G849" s="107"/>
      <c r="H849" s="107"/>
    </row>
    <row r="850" spans="2:8" x14ac:dyDescent="0.25">
      <c r="B850" s="107"/>
      <c r="C850" s="107"/>
      <c r="D850" s="107"/>
      <c r="E850" s="107"/>
      <c r="F850" s="107"/>
      <c r="G850" s="107"/>
      <c r="H850" s="107"/>
    </row>
    <row r="851" spans="2:8" x14ac:dyDescent="0.25">
      <c r="B851" s="107"/>
      <c r="C851" s="107"/>
      <c r="D851" s="107"/>
      <c r="E851" s="107"/>
      <c r="F851" s="107"/>
      <c r="G851" s="107"/>
      <c r="H851" s="107"/>
    </row>
    <row r="852" spans="2:8" x14ac:dyDescent="0.25">
      <c r="B852" s="107"/>
      <c r="C852" s="107"/>
      <c r="D852" s="107"/>
      <c r="E852" s="107"/>
      <c r="F852" s="107"/>
      <c r="G852" s="107"/>
      <c r="H852" s="107"/>
    </row>
    <row r="853" spans="2:8" x14ac:dyDescent="0.25">
      <c r="B853" s="107"/>
      <c r="C853" s="107"/>
      <c r="D853" s="107"/>
      <c r="E853" s="107"/>
      <c r="F853" s="107"/>
      <c r="G853" s="107"/>
      <c r="H853" s="107"/>
    </row>
    <row r="854" spans="2:8" x14ac:dyDescent="0.25">
      <c r="B854" s="107"/>
      <c r="C854" s="107"/>
      <c r="D854" s="107"/>
      <c r="E854" s="107"/>
      <c r="F854" s="107"/>
      <c r="G854" s="107"/>
      <c r="H854" s="107"/>
    </row>
    <row r="855" spans="2:8" x14ac:dyDescent="0.25">
      <c r="B855" s="107"/>
      <c r="C855" s="107"/>
      <c r="D855" s="107"/>
      <c r="E855" s="107"/>
      <c r="F855" s="107"/>
      <c r="G855" s="107"/>
      <c r="H855" s="107"/>
    </row>
    <row r="856" spans="2:8" x14ac:dyDescent="0.25">
      <c r="B856" s="107"/>
      <c r="C856" s="107"/>
      <c r="D856" s="107"/>
      <c r="E856" s="107"/>
      <c r="F856" s="107"/>
      <c r="G856" s="107"/>
      <c r="H856" s="107"/>
    </row>
    <row r="857" spans="2:8" x14ac:dyDescent="0.25">
      <c r="B857" s="107"/>
      <c r="C857" s="107"/>
      <c r="D857" s="107"/>
      <c r="E857" s="107"/>
      <c r="F857" s="107"/>
      <c r="G857" s="107"/>
      <c r="H857" s="107"/>
    </row>
    <row r="858" spans="2:8" x14ac:dyDescent="0.25">
      <c r="B858" s="107"/>
      <c r="C858" s="107"/>
      <c r="D858" s="107"/>
      <c r="E858" s="107"/>
      <c r="F858" s="107"/>
      <c r="G858" s="107"/>
      <c r="H858" s="107"/>
    </row>
    <row r="859" spans="2:8" x14ac:dyDescent="0.25">
      <c r="B859" s="107"/>
      <c r="C859" s="107"/>
      <c r="D859" s="107"/>
      <c r="E859" s="107"/>
      <c r="F859" s="107"/>
      <c r="G859" s="107"/>
      <c r="H859" s="107"/>
    </row>
    <row r="860" spans="2:8" x14ac:dyDescent="0.25">
      <c r="B860" s="107"/>
      <c r="C860" s="107"/>
      <c r="D860" s="107"/>
      <c r="E860" s="107"/>
      <c r="F860" s="107"/>
      <c r="G860" s="107"/>
      <c r="H860" s="107"/>
    </row>
    <row r="861" spans="2:8" x14ac:dyDescent="0.25">
      <c r="B861" s="107"/>
      <c r="C861" s="107"/>
      <c r="D861" s="107"/>
      <c r="E861" s="107"/>
      <c r="F861" s="107"/>
      <c r="G861" s="107"/>
      <c r="H861" s="107"/>
    </row>
    <row r="862" spans="2:8" x14ac:dyDescent="0.25">
      <c r="B862" s="107"/>
      <c r="C862" s="107"/>
      <c r="D862" s="107"/>
      <c r="E862" s="107"/>
      <c r="F862" s="107"/>
      <c r="G862" s="107"/>
      <c r="H862" s="107"/>
    </row>
    <row r="863" spans="2:8" x14ac:dyDescent="0.25">
      <c r="B863" s="107"/>
      <c r="C863" s="107"/>
      <c r="D863" s="107"/>
      <c r="E863" s="107"/>
      <c r="F863" s="107"/>
      <c r="G863" s="107"/>
      <c r="H863" s="107"/>
    </row>
    <row r="864" spans="2:8" x14ac:dyDescent="0.25">
      <c r="B864" s="107"/>
      <c r="C864" s="107"/>
      <c r="D864" s="107"/>
      <c r="E864" s="107"/>
      <c r="F864" s="107"/>
      <c r="G864" s="107"/>
      <c r="H864" s="107"/>
    </row>
    <row r="865" spans="2:8" x14ac:dyDescent="0.25">
      <c r="B865" s="107"/>
      <c r="C865" s="107"/>
      <c r="D865" s="107"/>
      <c r="E865" s="107"/>
      <c r="F865" s="107"/>
      <c r="G865" s="107"/>
      <c r="H865" s="107"/>
    </row>
    <row r="866" spans="2:8" x14ac:dyDescent="0.25">
      <c r="B866" s="107"/>
      <c r="C866" s="107"/>
      <c r="D866" s="107"/>
      <c r="E866" s="107"/>
      <c r="F866" s="107"/>
      <c r="G866" s="107"/>
      <c r="H866" s="107"/>
    </row>
    <row r="867" spans="2:8" x14ac:dyDescent="0.25">
      <c r="B867" s="107"/>
      <c r="C867" s="107"/>
      <c r="D867" s="107"/>
      <c r="E867" s="107"/>
      <c r="F867" s="107"/>
      <c r="G867" s="107"/>
      <c r="H867" s="107"/>
    </row>
    <row r="868" spans="2:8" x14ac:dyDescent="0.25">
      <c r="B868" s="107"/>
      <c r="C868" s="107"/>
      <c r="D868" s="107"/>
      <c r="E868" s="107"/>
      <c r="F868" s="107"/>
      <c r="G868" s="107"/>
      <c r="H868" s="107"/>
    </row>
    <row r="869" spans="2:8" x14ac:dyDescent="0.25">
      <c r="B869" s="107"/>
      <c r="C869" s="107"/>
      <c r="D869" s="107"/>
      <c r="E869" s="107"/>
      <c r="F869" s="107"/>
      <c r="G869" s="107"/>
      <c r="H869" s="107"/>
    </row>
    <row r="870" spans="2:8" x14ac:dyDescent="0.25">
      <c r="B870" s="107"/>
      <c r="C870" s="107"/>
      <c r="D870" s="107"/>
      <c r="E870" s="107"/>
      <c r="F870" s="107"/>
      <c r="G870" s="107"/>
      <c r="H870" s="107"/>
    </row>
    <row r="871" spans="2:8" x14ac:dyDescent="0.25">
      <c r="B871" s="107"/>
      <c r="C871" s="107"/>
      <c r="D871" s="107"/>
      <c r="E871" s="107"/>
      <c r="F871" s="107"/>
      <c r="G871" s="107"/>
      <c r="H871" s="107"/>
    </row>
    <row r="872" spans="2:8" x14ac:dyDescent="0.25">
      <c r="B872" s="107"/>
      <c r="C872" s="107"/>
      <c r="D872" s="107"/>
      <c r="E872" s="107"/>
      <c r="F872" s="107"/>
      <c r="G872" s="107"/>
      <c r="H872" s="107"/>
    </row>
    <row r="873" spans="2:8" x14ac:dyDescent="0.25">
      <c r="B873" s="107"/>
      <c r="C873" s="107"/>
      <c r="D873" s="107"/>
      <c r="E873" s="107"/>
      <c r="F873" s="107"/>
      <c r="G873" s="107"/>
      <c r="H873" s="107"/>
    </row>
    <row r="874" spans="2:8" x14ac:dyDescent="0.25">
      <c r="B874" s="107"/>
      <c r="C874" s="107"/>
      <c r="D874" s="107"/>
      <c r="E874" s="107"/>
      <c r="F874" s="107"/>
      <c r="G874" s="107"/>
      <c r="H874" s="107"/>
    </row>
    <row r="875" spans="2:8" x14ac:dyDescent="0.25">
      <c r="B875" s="107"/>
      <c r="C875" s="107"/>
      <c r="D875" s="107"/>
      <c r="E875" s="107"/>
      <c r="F875" s="107"/>
      <c r="G875" s="107"/>
      <c r="H875" s="107"/>
    </row>
    <row r="876" spans="2:8" x14ac:dyDescent="0.25">
      <c r="B876" s="107"/>
      <c r="C876" s="107"/>
      <c r="D876" s="107"/>
      <c r="E876" s="107"/>
      <c r="F876" s="107"/>
      <c r="G876" s="107"/>
      <c r="H876" s="107"/>
    </row>
    <row r="877" spans="2:8" x14ac:dyDescent="0.25">
      <c r="B877" s="107"/>
      <c r="C877" s="107"/>
      <c r="D877" s="107"/>
      <c r="E877" s="107"/>
      <c r="F877" s="107"/>
      <c r="G877" s="107"/>
      <c r="H877" s="107"/>
    </row>
    <row r="878" spans="2:8" x14ac:dyDescent="0.25">
      <c r="B878" s="107"/>
      <c r="C878" s="107"/>
      <c r="D878" s="107"/>
      <c r="E878" s="107"/>
      <c r="F878" s="107"/>
      <c r="G878" s="107"/>
      <c r="H878" s="107"/>
    </row>
    <row r="879" spans="2:8" x14ac:dyDescent="0.25">
      <c r="B879" s="107"/>
      <c r="C879" s="107"/>
      <c r="D879" s="107"/>
      <c r="E879" s="107"/>
      <c r="F879" s="107"/>
      <c r="G879" s="107"/>
      <c r="H879" s="107"/>
    </row>
    <row r="880" spans="2:8" x14ac:dyDescent="0.25">
      <c r="B880" s="107"/>
      <c r="C880" s="107"/>
      <c r="D880" s="107"/>
      <c r="E880" s="107"/>
      <c r="F880" s="107"/>
      <c r="G880" s="107"/>
      <c r="H880" s="107"/>
    </row>
    <row r="881" spans="2:8" x14ac:dyDescent="0.25">
      <c r="B881" s="107"/>
      <c r="C881" s="107"/>
      <c r="D881" s="107"/>
      <c r="E881" s="107"/>
      <c r="F881" s="107"/>
      <c r="G881" s="107"/>
      <c r="H881" s="107"/>
    </row>
    <row r="882" spans="2:8" x14ac:dyDescent="0.25">
      <c r="B882" s="107"/>
      <c r="C882" s="107"/>
      <c r="D882" s="107"/>
      <c r="E882" s="107"/>
      <c r="F882" s="107"/>
      <c r="G882" s="107"/>
      <c r="H882" s="107"/>
    </row>
    <row r="883" spans="2:8" x14ac:dyDescent="0.25">
      <c r="B883" s="107"/>
      <c r="C883" s="107"/>
      <c r="D883" s="107"/>
      <c r="E883" s="107"/>
      <c r="F883" s="107"/>
      <c r="G883" s="107"/>
      <c r="H883" s="107"/>
    </row>
    <row r="884" spans="2:8" x14ac:dyDescent="0.25">
      <c r="B884" s="107"/>
      <c r="C884" s="107"/>
      <c r="D884" s="107"/>
      <c r="E884" s="107"/>
      <c r="F884" s="107"/>
      <c r="G884" s="107"/>
      <c r="H884" s="107"/>
    </row>
    <row r="885" spans="2:8" x14ac:dyDescent="0.25">
      <c r="B885" s="107"/>
      <c r="C885" s="107"/>
      <c r="D885" s="107"/>
      <c r="E885" s="107"/>
      <c r="F885" s="107"/>
      <c r="G885" s="107"/>
      <c r="H885" s="107"/>
    </row>
    <row r="886" spans="2:8" x14ac:dyDescent="0.25">
      <c r="B886" s="107"/>
      <c r="C886" s="107"/>
      <c r="D886" s="107"/>
      <c r="E886" s="107"/>
      <c r="F886" s="107"/>
      <c r="G886" s="107"/>
      <c r="H886" s="107"/>
    </row>
    <row r="887" spans="2:8" x14ac:dyDescent="0.25">
      <c r="B887" s="107"/>
      <c r="C887" s="107"/>
      <c r="D887" s="107"/>
      <c r="E887" s="107"/>
      <c r="F887" s="107"/>
      <c r="G887" s="107"/>
      <c r="H887" s="107"/>
    </row>
    <row r="888" spans="2:8" x14ac:dyDescent="0.25">
      <c r="B888" s="107"/>
      <c r="C888" s="107"/>
      <c r="D888" s="107"/>
      <c r="E888" s="107"/>
      <c r="F888" s="107"/>
      <c r="G888" s="107"/>
      <c r="H888" s="107"/>
    </row>
    <row r="889" spans="2:8" x14ac:dyDescent="0.25">
      <c r="B889" s="107"/>
      <c r="C889" s="107"/>
      <c r="D889" s="107"/>
      <c r="E889" s="107"/>
      <c r="F889" s="107"/>
      <c r="G889" s="107"/>
      <c r="H889" s="107"/>
    </row>
    <row r="890" spans="2:8" x14ac:dyDescent="0.25">
      <c r="B890" s="107"/>
      <c r="C890" s="107"/>
      <c r="D890" s="107"/>
      <c r="E890" s="107"/>
      <c r="F890" s="107"/>
      <c r="G890" s="107"/>
      <c r="H890" s="107"/>
    </row>
    <row r="891" spans="2:8" x14ac:dyDescent="0.25">
      <c r="B891" s="107"/>
      <c r="C891" s="107"/>
      <c r="D891" s="107"/>
      <c r="E891" s="107"/>
      <c r="F891" s="107"/>
      <c r="G891" s="107"/>
      <c r="H891" s="107"/>
    </row>
    <row r="892" spans="2:8" x14ac:dyDescent="0.25">
      <c r="B892" s="107"/>
      <c r="C892" s="107"/>
      <c r="D892" s="107"/>
      <c r="E892" s="107"/>
      <c r="F892" s="107"/>
      <c r="G892" s="107"/>
      <c r="H892" s="107"/>
    </row>
    <row r="893" spans="2:8" x14ac:dyDescent="0.25">
      <c r="B893" s="107"/>
      <c r="C893" s="107"/>
      <c r="D893" s="107"/>
      <c r="E893" s="107"/>
      <c r="F893" s="107"/>
      <c r="G893" s="107"/>
      <c r="H893" s="107"/>
    </row>
    <row r="894" spans="2:8" x14ac:dyDescent="0.25">
      <c r="B894" s="107"/>
      <c r="C894" s="107"/>
      <c r="D894" s="107"/>
      <c r="E894" s="107"/>
      <c r="F894" s="107"/>
      <c r="G894" s="107"/>
      <c r="H894" s="107"/>
    </row>
    <row r="895" spans="2:8" x14ac:dyDescent="0.25">
      <c r="B895" s="107"/>
      <c r="C895" s="107"/>
      <c r="D895" s="107"/>
      <c r="E895" s="107"/>
      <c r="F895" s="107"/>
      <c r="G895" s="107"/>
      <c r="H895" s="107"/>
    </row>
    <row r="896" spans="2:8" x14ac:dyDescent="0.25">
      <c r="B896" s="107"/>
      <c r="C896" s="107"/>
      <c r="D896" s="107"/>
      <c r="E896" s="107"/>
      <c r="F896" s="107"/>
      <c r="G896" s="107"/>
      <c r="H896" s="107"/>
    </row>
    <row r="897" spans="2:8" x14ac:dyDescent="0.25">
      <c r="B897" s="107"/>
      <c r="C897" s="107"/>
      <c r="D897" s="107"/>
      <c r="E897" s="107"/>
      <c r="F897" s="107"/>
      <c r="G897" s="107"/>
      <c r="H897" s="107"/>
    </row>
    <row r="898" spans="2:8" x14ac:dyDescent="0.25">
      <c r="B898" s="107"/>
      <c r="C898" s="107"/>
      <c r="D898" s="107"/>
      <c r="E898" s="107"/>
      <c r="F898" s="107"/>
      <c r="G898" s="107"/>
      <c r="H898" s="107"/>
    </row>
    <row r="899" spans="2:8" x14ac:dyDescent="0.25">
      <c r="B899" s="107"/>
      <c r="C899" s="107"/>
      <c r="D899" s="107"/>
      <c r="E899" s="107"/>
      <c r="F899" s="107"/>
      <c r="G899" s="107"/>
      <c r="H899" s="107"/>
    </row>
    <row r="900" spans="2:8" x14ac:dyDescent="0.25">
      <c r="B900" s="107"/>
      <c r="C900" s="107"/>
      <c r="D900" s="107"/>
      <c r="E900" s="107"/>
      <c r="F900" s="107"/>
      <c r="G900" s="107"/>
      <c r="H900" s="107"/>
    </row>
    <row r="901" spans="2:8" x14ac:dyDescent="0.25">
      <c r="B901" s="107"/>
      <c r="C901" s="107"/>
      <c r="D901" s="107"/>
      <c r="E901" s="107"/>
      <c r="F901" s="107"/>
      <c r="G901" s="107"/>
      <c r="H901" s="107"/>
    </row>
    <row r="902" spans="2:8" x14ac:dyDescent="0.25">
      <c r="B902" s="107"/>
      <c r="C902" s="107"/>
      <c r="D902" s="107"/>
      <c r="E902" s="107"/>
      <c r="F902" s="107"/>
      <c r="G902" s="107"/>
      <c r="H902" s="107"/>
    </row>
    <row r="903" spans="2:8" x14ac:dyDescent="0.25">
      <c r="B903" s="107"/>
      <c r="C903" s="107"/>
      <c r="D903" s="107"/>
      <c r="E903" s="107"/>
      <c r="F903" s="107"/>
      <c r="G903" s="107"/>
      <c r="H903" s="107"/>
    </row>
    <row r="904" spans="2:8" x14ac:dyDescent="0.25">
      <c r="B904" s="107"/>
      <c r="C904" s="107"/>
      <c r="D904" s="107"/>
      <c r="E904" s="107"/>
      <c r="F904" s="107"/>
      <c r="G904" s="107"/>
      <c r="H904" s="107"/>
    </row>
    <row r="905" spans="2:8" x14ac:dyDescent="0.25">
      <c r="B905" s="107"/>
      <c r="C905" s="107"/>
      <c r="D905" s="107"/>
      <c r="E905" s="107"/>
      <c r="F905" s="107"/>
      <c r="G905" s="107"/>
      <c r="H905" s="107"/>
    </row>
    <row r="906" spans="2:8" x14ac:dyDescent="0.25">
      <c r="B906" s="107"/>
      <c r="C906" s="107"/>
      <c r="D906" s="107"/>
      <c r="E906" s="107"/>
      <c r="F906" s="107"/>
      <c r="G906" s="107"/>
      <c r="H906" s="107"/>
    </row>
    <row r="907" spans="2:8" x14ac:dyDescent="0.25">
      <c r="B907" s="107"/>
      <c r="C907" s="107"/>
      <c r="D907" s="107"/>
      <c r="E907" s="107"/>
      <c r="F907" s="107"/>
      <c r="G907" s="107"/>
      <c r="H907" s="107"/>
    </row>
    <row r="908" spans="2:8" x14ac:dyDescent="0.25">
      <c r="B908" s="107"/>
      <c r="C908" s="107"/>
      <c r="D908" s="107"/>
      <c r="E908" s="107"/>
      <c r="F908" s="107"/>
      <c r="G908" s="107"/>
      <c r="H908" s="107"/>
    </row>
    <row r="909" spans="2:8" x14ac:dyDescent="0.25">
      <c r="B909" s="107"/>
      <c r="C909" s="107"/>
      <c r="D909" s="107"/>
      <c r="E909" s="107"/>
      <c r="F909" s="107"/>
      <c r="G909" s="107"/>
      <c r="H909" s="107"/>
    </row>
    <row r="910" spans="2:8" x14ac:dyDescent="0.25">
      <c r="B910" s="107"/>
      <c r="C910" s="107"/>
      <c r="D910" s="107"/>
      <c r="E910" s="107"/>
      <c r="F910" s="107"/>
      <c r="G910" s="107"/>
      <c r="H910" s="107"/>
    </row>
    <row r="911" spans="2:8" x14ac:dyDescent="0.25">
      <c r="B911" s="107"/>
      <c r="C911" s="107"/>
      <c r="D911" s="107"/>
      <c r="E911" s="107"/>
      <c r="F911" s="107"/>
      <c r="G911" s="107"/>
      <c r="H911" s="107"/>
    </row>
    <row r="912" spans="2:8" x14ac:dyDescent="0.25">
      <c r="B912" s="107"/>
      <c r="C912" s="107"/>
      <c r="D912" s="107"/>
      <c r="E912" s="107"/>
      <c r="F912" s="107"/>
      <c r="G912" s="107"/>
      <c r="H912" s="107"/>
    </row>
    <row r="913" spans="2:8" x14ac:dyDescent="0.25">
      <c r="B913" s="107"/>
      <c r="C913" s="107"/>
      <c r="D913" s="107"/>
      <c r="E913" s="107"/>
      <c r="F913" s="107"/>
      <c r="G913" s="107"/>
      <c r="H913" s="107"/>
    </row>
    <row r="914" spans="2:8" x14ac:dyDescent="0.25">
      <c r="B914" s="107"/>
      <c r="C914" s="107"/>
      <c r="D914" s="107"/>
      <c r="E914" s="107"/>
      <c r="F914" s="107"/>
      <c r="G914" s="107"/>
      <c r="H914" s="107"/>
    </row>
    <row r="915" spans="2:8" x14ac:dyDescent="0.25">
      <c r="B915" s="107"/>
      <c r="C915" s="107"/>
      <c r="D915" s="107"/>
      <c r="E915" s="107"/>
      <c r="F915" s="107"/>
      <c r="G915" s="107"/>
      <c r="H915" s="107"/>
    </row>
    <row r="916" spans="2:8" x14ac:dyDescent="0.25">
      <c r="B916" s="107"/>
      <c r="C916" s="107"/>
      <c r="D916" s="107"/>
      <c r="E916" s="107"/>
      <c r="F916" s="107"/>
      <c r="G916" s="107"/>
      <c r="H916" s="107"/>
    </row>
    <row r="917" spans="2:8" x14ac:dyDescent="0.25">
      <c r="B917" s="107"/>
      <c r="C917" s="107"/>
      <c r="D917" s="107"/>
      <c r="E917" s="107"/>
      <c r="F917" s="107"/>
      <c r="G917" s="107"/>
      <c r="H917" s="107"/>
    </row>
    <row r="918" spans="2:8" x14ac:dyDescent="0.25">
      <c r="B918" s="107"/>
      <c r="C918" s="107"/>
      <c r="D918" s="107"/>
      <c r="E918" s="107"/>
      <c r="F918" s="107"/>
      <c r="G918" s="107"/>
      <c r="H918" s="107"/>
    </row>
    <row r="919" spans="2:8" x14ac:dyDescent="0.25">
      <c r="B919" s="107"/>
      <c r="C919" s="107"/>
      <c r="D919" s="107"/>
      <c r="E919" s="107"/>
      <c r="F919" s="107"/>
      <c r="G919" s="107"/>
      <c r="H919" s="107"/>
    </row>
    <row r="920" spans="2:8" x14ac:dyDescent="0.25">
      <c r="B920" s="107"/>
      <c r="C920" s="107"/>
      <c r="D920" s="107"/>
      <c r="E920" s="107"/>
      <c r="F920" s="107"/>
      <c r="G920" s="107"/>
      <c r="H920" s="107"/>
    </row>
    <row r="921" spans="2:8" x14ac:dyDescent="0.25">
      <c r="B921" s="107"/>
      <c r="C921" s="107"/>
      <c r="D921" s="107"/>
      <c r="E921" s="107"/>
      <c r="F921" s="107"/>
      <c r="G921" s="107"/>
      <c r="H921" s="107"/>
    </row>
    <row r="922" spans="2:8" x14ac:dyDescent="0.25">
      <c r="B922" s="107"/>
      <c r="C922" s="107"/>
      <c r="D922" s="107"/>
      <c r="E922" s="107"/>
      <c r="F922" s="107"/>
      <c r="G922" s="107"/>
      <c r="H922" s="107"/>
    </row>
    <row r="923" spans="2:8" x14ac:dyDescent="0.25">
      <c r="B923" s="107"/>
      <c r="C923" s="107"/>
      <c r="D923" s="107"/>
      <c r="E923" s="107"/>
      <c r="F923" s="107"/>
      <c r="G923" s="107"/>
      <c r="H923" s="107"/>
    </row>
    <row r="924" spans="2:8" x14ac:dyDescent="0.25">
      <c r="B924" s="107"/>
      <c r="C924" s="107"/>
      <c r="D924" s="107"/>
      <c r="E924" s="107"/>
      <c r="F924" s="107"/>
      <c r="G924" s="107"/>
      <c r="H924" s="107"/>
    </row>
    <row r="925" spans="2:8" x14ac:dyDescent="0.25">
      <c r="B925" s="107"/>
      <c r="C925" s="107"/>
      <c r="D925" s="107"/>
      <c r="E925" s="107"/>
      <c r="F925" s="107"/>
      <c r="G925" s="107"/>
      <c r="H925" s="107"/>
    </row>
    <row r="926" spans="2:8" x14ac:dyDescent="0.25">
      <c r="B926" s="107"/>
      <c r="C926" s="107"/>
      <c r="D926" s="107"/>
      <c r="E926" s="107"/>
      <c r="F926" s="107"/>
      <c r="G926" s="107"/>
      <c r="H926" s="107"/>
    </row>
    <row r="927" spans="2:8" x14ac:dyDescent="0.25">
      <c r="B927" s="107"/>
      <c r="C927" s="107"/>
      <c r="D927" s="107"/>
      <c r="E927" s="107"/>
      <c r="F927" s="107"/>
      <c r="G927" s="107"/>
      <c r="H927" s="107"/>
    </row>
    <row r="928" spans="2:8" x14ac:dyDescent="0.25">
      <c r="B928" s="107"/>
      <c r="C928" s="107"/>
      <c r="D928" s="107"/>
      <c r="E928" s="107"/>
      <c r="F928" s="107"/>
      <c r="G928" s="107"/>
      <c r="H928" s="107"/>
    </row>
    <row r="929" spans="2:8" x14ac:dyDescent="0.25">
      <c r="B929" s="107"/>
      <c r="C929" s="107"/>
      <c r="D929" s="107"/>
      <c r="E929" s="107"/>
      <c r="F929" s="107"/>
      <c r="G929" s="107"/>
      <c r="H929" s="107"/>
    </row>
    <row r="930" spans="2:8" x14ac:dyDescent="0.25">
      <c r="B930" s="107"/>
      <c r="C930" s="107"/>
      <c r="D930" s="107"/>
      <c r="E930" s="107"/>
      <c r="F930" s="107"/>
      <c r="G930" s="107"/>
      <c r="H930" s="107"/>
    </row>
    <row r="931" spans="2:8" x14ac:dyDescent="0.25">
      <c r="B931" s="107"/>
      <c r="C931" s="107"/>
      <c r="D931" s="107"/>
      <c r="E931" s="107"/>
      <c r="F931" s="107"/>
      <c r="G931" s="107"/>
      <c r="H931" s="107"/>
    </row>
    <row r="932" spans="2:8" x14ac:dyDescent="0.25">
      <c r="B932" s="107"/>
      <c r="C932" s="107"/>
      <c r="D932" s="107"/>
      <c r="E932" s="107"/>
      <c r="F932" s="107"/>
      <c r="G932" s="107"/>
      <c r="H932" s="107"/>
    </row>
    <row r="933" spans="2:8" x14ac:dyDescent="0.25">
      <c r="B933" s="107"/>
      <c r="C933" s="107"/>
      <c r="D933" s="107"/>
      <c r="E933" s="107"/>
      <c r="F933" s="107"/>
      <c r="G933" s="107"/>
      <c r="H933" s="107"/>
    </row>
    <row r="934" spans="2:8" x14ac:dyDescent="0.25">
      <c r="B934" s="107"/>
      <c r="C934" s="107"/>
      <c r="D934" s="107"/>
      <c r="E934" s="107"/>
      <c r="F934" s="107"/>
      <c r="G934" s="107"/>
      <c r="H934" s="107"/>
    </row>
    <row r="935" spans="2:8" x14ac:dyDescent="0.25">
      <c r="B935" s="107"/>
      <c r="C935" s="107"/>
      <c r="D935" s="107"/>
      <c r="E935" s="107"/>
      <c r="F935" s="107"/>
      <c r="G935" s="107"/>
      <c r="H935" s="107"/>
    </row>
    <row r="936" spans="2:8" x14ac:dyDescent="0.25">
      <c r="B936" s="107"/>
      <c r="C936" s="107"/>
      <c r="D936" s="107"/>
      <c r="E936" s="107"/>
      <c r="F936" s="107"/>
      <c r="G936" s="107"/>
      <c r="H936" s="107"/>
    </row>
    <row r="937" spans="2:8" x14ac:dyDescent="0.25">
      <c r="B937" s="107"/>
      <c r="C937" s="107"/>
      <c r="D937" s="107"/>
      <c r="E937" s="107"/>
      <c r="F937" s="107"/>
      <c r="G937" s="107"/>
      <c r="H937" s="107"/>
    </row>
    <row r="938" spans="2:8" x14ac:dyDescent="0.25">
      <c r="B938" s="107"/>
      <c r="C938" s="107"/>
      <c r="D938" s="107"/>
      <c r="E938" s="107"/>
      <c r="F938" s="107"/>
      <c r="G938" s="107"/>
      <c r="H938" s="107"/>
    </row>
    <row r="939" spans="2:8" x14ac:dyDescent="0.25">
      <c r="B939" s="107"/>
      <c r="C939" s="107"/>
      <c r="D939" s="107"/>
      <c r="E939" s="107"/>
      <c r="F939" s="107"/>
      <c r="G939" s="107"/>
      <c r="H939" s="107"/>
    </row>
    <row r="940" spans="2:8" x14ac:dyDescent="0.25">
      <c r="B940" s="107"/>
      <c r="C940" s="107"/>
      <c r="D940" s="107"/>
      <c r="E940" s="107"/>
      <c r="F940" s="107"/>
      <c r="G940" s="107"/>
      <c r="H940" s="107"/>
    </row>
    <row r="941" spans="2:8" x14ac:dyDescent="0.25">
      <c r="B941" s="107"/>
      <c r="C941" s="107"/>
      <c r="D941" s="107"/>
      <c r="E941" s="107"/>
      <c r="F941" s="107"/>
      <c r="G941" s="107"/>
      <c r="H941" s="107"/>
    </row>
    <row r="942" spans="2:8" x14ac:dyDescent="0.25">
      <c r="B942" s="107"/>
      <c r="C942" s="107"/>
      <c r="D942" s="107"/>
      <c r="E942" s="107"/>
      <c r="F942" s="107"/>
      <c r="G942" s="107"/>
      <c r="H942" s="107"/>
    </row>
    <row r="943" spans="2:8" x14ac:dyDescent="0.25">
      <c r="B943" s="107"/>
      <c r="C943" s="107"/>
      <c r="D943" s="107"/>
      <c r="E943" s="107"/>
      <c r="F943" s="107"/>
      <c r="G943" s="107"/>
      <c r="H943" s="107"/>
    </row>
    <row r="944" spans="2:8" x14ac:dyDescent="0.25">
      <c r="B944" s="107"/>
      <c r="C944" s="107"/>
      <c r="D944" s="107"/>
      <c r="E944" s="107"/>
      <c r="F944" s="107"/>
      <c r="G944" s="107"/>
      <c r="H944" s="107"/>
    </row>
    <row r="945" spans="2:8" x14ac:dyDescent="0.25">
      <c r="B945" s="107"/>
      <c r="C945" s="107"/>
      <c r="D945" s="107"/>
      <c r="E945" s="107"/>
      <c r="F945" s="107"/>
      <c r="G945" s="107"/>
      <c r="H945" s="107"/>
    </row>
    <row r="946" spans="2:8" x14ac:dyDescent="0.25">
      <c r="B946" s="107"/>
      <c r="C946" s="107"/>
      <c r="D946" s="107"/>
      <c r="E946" s="107"/>
      <c r="F946" s="107"/>
      <c r="G946" s="107"/>
      <c r="H946" s="107"/>
    </row>
    <row r="947" spans="2:8" x14ac:dyDescent="0.25">
      <c r="B947" s="107"/>
      <c r="C947" s="107"/>
      <c r="D947" s="107"/>
      <c r="E947" s="107"/>
      <c r="F947" s="107"/>
      <c r="G947" s="107"/>
      <c r="H947" s="107"/>
    </row>
    <row r="948" spans="2:8" x14ac:dyDescent="0.25">
      <c r="B948" s="107"/>
      <c r="C948" s="107"/>
      <c r="D948" s="107"/>
      <c r="E948" s="107"/>
      <c r="F948" s="107"/>
      <c r="G948" s="107"/>
      <c r="H948" s="107"/>
    </row>
    <row r="949" spans="2:8" x14ac:dyDescent="0.25">
      <c r="B949" s="107"/>
      <c r="C949" s="107"/>
      <c r="D949" s="107"/>
      <c r="E949" s="107"/>
      <c r="F949" s="107"/>
      <c r="G949" s="107"/>
      <c r="H949" s="107"/>
    </row>
    <row r="950" spans="2:8" x14ac:dyDescent="0.25">
      <c r="B950" s="107"/>
      <c r="C950" s="107"/>
      <c r="D950" s="107"/>
      <c r="E950" s="107"/>
      <c r="F950" s="107"/>
      <c r="G950" s="107"/>
      <c r="H950" s="107"/>
    </row>
    <row r="951" spans="2:8" x14ac:dyDescent="0.25">
      <c r="B951" s="107"/>
      <c r="C951" s="107"/>
      <c r="D951" s="107"/>
      <c r="E951" s="107"/>
      <c r="F951" s="107"/>
      <c r="G951" s="107"/>
      <c r="H951" s="107"/>
    </row>
    <row r="952" spans="2:8" x14ac:dyDescent="0.25">
      <c r="B952" s="107"/>
      <c r="C952" s="107"/>
      <c r="D952" s="107"/>
      <c r="E952" s="107"/>
      <c r="F952" s="107"/>
      <c r="G952" s="107"/>
      <c r="H952" s="107"/>
    </row>
    <row r="953" spans="2:8" x14ac:dyDescent="0.25">
      <c r="B953" s="107"/>
      <c r="C953" s="107"/>
      <c r="D953" s="107"/>
      <c r="E953" s="107"/>
      <c r="F953" s="107"/>
      <c r="G953" s="107"/>
      <c r="H953" s="107"/>
    </row>
    <row r="954" spans="2:8" x14ac:dyDescent="0.25">
      <c r="B954" s="107"/>
      <c r="C954" s="107"/>
      <c r="D954" s="107"/>
      <c r="E954" s="107"/>
      <c r="F954" s="107"/>
      <c r="G954" s="107"/>
      <c r="H954" s="107"/>
    </row>
    <row r="955" spans="2:8" x14ac:dyDescent="0.25">
      <c r="B955" s="107"/>
      <c r="C955" s="107"/>
      <c r="D955" s="107"/>
      <c r="E955" s="107"/>
      <c r="F955" s="107"/>
      <c r="G955" s="107"/>
      <c r="H955" s="107"/>
    </row>
    <row r="956" spans="2:8" x14ac:dyDescent="0.25">
      <c r="B956" s="107"/>
      <c r="C956" s="107"/>
      <c r="D956" s="107"/>
      <c r="E956" s="107"/>
      <c r="F956" s="107"/>
      <c r="G956" s="107"/>
      <c r="H956" s="107"/>
    </row>
    <row r="957" spans="2:8" x14ac:dyDescent="0.25">
      <c r="B957" s="107"/>
      <c r="C957" s="107"/>
      <c r="D957" s="107"/>
      <c r="E957" s="107"/>
      <c r="F957" s="107"/>
      <c r="G957" s="107"/>
      <c r="H957" s="107"/>
    </row>
    <row r="958" spans="2:8" x14ac:dyDescent="0.25">
      <c r="B958" s="107"/>
      <c r="C958" s="107"/>
      <c r="D958" s="107"/>
      <c r="E958" s="107"/>
      <c r="F958" s="107"/>
      <c r="G958" s="107"/>
      <c r="H958" s="107"/>
    </row>
    <row r="959" spans="2:8" x14ac:dyDescent="0.25">
      <c r="B959" s="107"/>
      <c r="C959" s="107"/>
      <c r="D959" s="107"/>
      <c r="E959" s="107"/>
      <c r="F959" s="107"/>
      <c r="G959" s="107"/>
      <c r="H959" s="107"/>
    </row>
    <row r="960" spans="2:8" x14ac:dyDescent="0.25">
      <c r="B960" s="107"/>
      <c r="C960" s="107"/>
      <c r="D960" s="107"/>
      <c r="E960" s="107"/>
      <c r="F960" s="107"/>
      <c r="G960" s="107"/>
      <c r="H960" s="107"/>
    </row>
    <row r="961" spans="2:8" x14ac:dyDescent="0.25">
      <c r="B961" s="107"/>
      <c r="C961" s="107"/>
      <c r="D961" s="107"/>
      <c r="E961" s="107"/>
      <c r="F961" s="107"/>
      <c r="G961" s="107"/>
      <c r="H961" s="107"/>
    </row>
    <row r="962" spans="2:8" x14ac:dyDescent="0.25">
      <c r="B962" s="107"/>
      <c r="C962" s="107"/>
      <c r="D962" s="107"/>
      <c r="E962" s="107"/>
      <c r="F962" s="107"/>
      <c r="G962" s="107"/>
      <c r="H962" s="107"/>
    </row>
    <row r="963" spans="2:8" x14ac:dyDescent="0.25">
      <c r="B963" s="107"/>
      <c r="C963" s="107"/>
      <c r="D963" s="107"/>
      <c r="E963" s="107"/>
      <c r="F963" s="107"/>
      <c r="G963" s="107"/>
      <c r="H963" s="107"/>
    </row>
    <row r="964" spans="2:8" x14ac:dyDescent="0.25">
      <c r="B964" s="107"/>
      <c r="C964" s="107"/>
      <c r="D964" s="107"/>
      <c r="E964" s="107"/>
      <c r="F964" s="107"/>
      <c r="G964" s="107"/>
      <c r="H964" s="107"/>
    </row>
    <row r="965" spans="2:8" x14ac:dyDescent="0.25">
      <c r="B965" s="107"/>
      <c r="C965" s="107"/>
      <c r="D965" s="107"/>
      <c r="E965" s="107"/>
      <c r="F965" s="107"/>
      <c r="G965" s="107"/>
      <c r="H965" s="107"/>
    </row>
    <row r="966" spans="2:8" x14ac:dyDescent="0.25">
      <c r="B966" s="107"/>
      <c r="C966" s="107"/>
      <c r="D966" s="107"/>
      <c r="E966" s="107"/>
      <c r="F966" s="107"/>
      <c r="G966" s="107"/>
      <c r="H966" s="107"/>
    </row>
    <row r="967" spans="2:8" x14ac:dyDescent="0.25">
      <c r="B967" s="107"/>
      <c r="C967" s="107"/>
      <c r="D967" s="107"/>
      <c r="E967" s="107"/>
      <c r="F967" s="107"/>
      <c r="G967" s="107"/>
      <c r="H967" s="107"/>
    </row>
    <row r="968" spans="2:8" x14ac:dyDescent="0.25">
      <c r="B968" s="107"/>
      <c r="C968" s="107"/>
      <c r="D968" s="107"/>
      <c r="E968" s="107"/>
      <c r="F968" s="107"/>
      <c r="G968" s="107"/>
      <c r="H968" s="107"/>
    </row>
    <row r="969" spans="2:8" x14ac:dyDescent="0.25">
      <c r="B969" s="107"/>
      <c r="C969" s="107"/>
      <c r="D969" s="107"/>
      <c r="E969" s="107"/>
      <c r="F969" s="107"/>
      <c r="G969" s="107"/>
      <c r="H969" s="107"/>
    </row>
    <row r="970" spans="2:8" x14ac:dyDescent="0.25">
      <c r="B970" s="107"/>
      <c r="C970" s="107"/>
      <c r="D970" s="107"/>
      <c r="E970" s="107"/>
      <c r="F970" s="107"/>
      <c r="G970" s="107"/>
      <c r="H970" s="107"/>
    </row>
    <row r="971" spans="2:8" x14ac:dyDescent="0.25">
      <c r="B971" s="107"/>
      <c r="C971" s="107"/>
      <c r="D971" s="107"/>
      <c r="E971" s="107"/>
      <c r="F971" s="107"/>
      <c r="G971" s="107"/>
      <c r="H971" s="107"/>
    </row>
    <row r="972" spans="2:8" x14ac:dyDescent="0.25">
      <c r="B972" s="107"/>
      <c r="C972" s="107"/>
      <c r="D972" s="107"/>
      <c r="E972" s="107"/>
      <c r="F972" s="107"/>
      <c r="G972" s="107"/>
      <c r="H972" s="107"/>
    </row>
    <row r="973" spans="2:8" x14ac:dyDescent="0.25">
      <c r="B973" s="107"/>
      <c r="C973" s="107"/>
      <c r="D973" s="107"/>
      <c r="E973" s="107"/>
      <c r="F973" s="107"/>
      <c r="G973" s="107"/>
      <c r="H973" s="107"/>
    </row>
    <row r="974" spans="2:8" x14ac:dyDescent="0.25">
      <c r="B974" s="107"/>
      <c r="C974" s="107"/>
      <c r="D974" s="107"/>
      <c r="E974" s="107"/>
      <c r="F974" s="107"/>
      <c r="G974" s="107"/>
      <c r="H974" s="107"/>
    </row>
    <row r="975" spans="2:8" x14ac:dyDescent="0.25">
      <c r="B975" s="107"/>
      <c r="C975" s="107"/>
      <c r="D975" s="107"/>
      <c r="E975" s="107"/>
      <c r="F975" s="107"/>
      <c r="G975" s="107"/>
      <c r="H975" s="107"/>
    </row>
    <row r="976" spans="2:8" x14ac:dyDescent="0.25">
      <c r="B976" s="107"/>
      <c r="C976" s="107"/>
      <c r="D976" s="107"/>
      <c r="E976" s="107"/>
      <c r="F976" s="107"/>
      <c r="G976" s="107"/>
      <c r="H976" s="107"/>
    </row>
    <row r="977" spans="2:8" x14ac:dyDescent="0.25">
      <c r="B977" s="107"/>
      <c r="C977" s="107"/>
      <c r="D977" s="107"/>
      <c r="E977" s="107"/>
      <c r="F977" s="107"/>
      <c r="G977" s="107"/>
      <c r="H977" s="107"/>
    </row>
    <row r="978" spans="2:8" x14ac:dyDescent="0.25">
      <c r="B978" s="107"/>
      <c r="C978" s="107"/>
      <c r="D978" s="107"/>
      <c r="E978" s="107"/>
      <c r="F978" s="107"/>
      <c r="G978" s="107"/>
      <c r="H978" s="107"/>
    </row>
    <row r="979" spans="2:8" x14ac:dyDescent="0.25">
      <c r="B979" s="107"/>
      <c r="C979" s="107"/>
      <c r="D979" s="107"/>
      <c r="E979" s="107"/>
      <c r="F979" s="107"/>
      <c r="G979" s="107"/>
      <c r="H979" s="107"/>
    </row>
    <row r="980" spans="2:8" x14ac:dyDescent="0.25">
      <c r="B980" s="107"/>
      <c r="C980" s="107"/>
      <c r="D980" s="107"/>
      <c r="E980" s="107"/>
      <c r="F980" s="107"/>
      <c r="G980" s="107"/>
      <c r="H980" s="107"/>
    </row>
    <row r="981" spans="2:8" x14ac:dyDescent="0.25">
      <c r="B981" s="107"/>
      <c r="C981" s="107"/>
      <c r="D981" s="107"/>
      <c r="E981" s="107"/>
      <c r="F981" s="107"/>
      <c r="G981" s="107"/>
      <c r="H981" s="107"/>
    </row>
    <row r="982" spans="2:8" x14ac:dyDescent="0.25">
      <c r="B982" s="107"/>
      <c r="C982" s="107"/>
      <c r="D982" s="107"/>
      <c r="E982" s="107"/>
      <c r="F982" s="107"/>
      <c r="G982" s="107"/>
      <c r="H982" s="107"/>
    </row>
    <row r="983" spans="2:8" x14ac:dyDescent="0.25">
      <c r="B983" s="107"/>
      <c r="C983" s="107"/>
      <c r="D983" s="107"/>
      <c r="E983" s="107"/>
      <c r="F983" s="107"/>
      <c r="G983" s="107"/>
      <c r="H983" s="107"/>
    </row>
    <row r="984" spans="2:8" x14ac:dyDescent="0.25">
      <c r="B984" s="107"/>
      <c r="C984" s="107"/>
      <c r="D984" s="107"/>
      <c r="E984" s="107"/>
      <c r="F984" s="107"/>
      <c r="G984" s="107"/>
      <c r="H984" s="107"/>
    </row>
    <row r="985" spans="2:8" x14ac:dyDescent="0.25">
      <c r="B985" s="107"/>
      <c r="C985" s="107"/>
      <c r="D985" s="107"/>
      <c r="E985" s="107"/>
      <c r="F985" s="107"/>
      <c r="G985" s="107"/>
      <c r="H985" s="107"/>
    </row>
    <row r="986" spans="2:8" x14ac:dyDescent="0.25">
      <c r="B986" s="107"/>
      <c r="C986" s="107"/>
      <c r="D986" s="107"/>
      <c r="E986" s="107"/>
      <c r="F986" s="107"/>
      <c r="G986" s="107"/>
      <c r="H986" s="107"/>
    </row>
    <row r="987" spans="2:8" x14ac:dyDescent="0.25">
      <c r="B987" s="107"/>
      <c r="C987" s="107"/>
      <c r="D987" s="107"/>
      <c r="E987" s="107"/>
      <c r="F987" s="107"/>
      <c r="G987" s="107"/>
      <c r="H987" s="107"/>
    </row>
    <row r="988" spans="2:8" x14ac:dyDescent="0.25">
      <c r="B988" s="107"/>
      <c r="C988" s="107"/>
      <c r="D988" s="107"/>
      <c r="E988" s="107"/>
      <c r="F988" s="107"/>
      <c r="G988" s="107"/>
      <c r="H988" s="107"/>
    </row>
    <row r="989" spans="2:8" x14ac:dyDescent="0.25">
      <c r="B989" s="107"/>
      <c r="C989" s="107"/>
      <c r="D989" s="107"/>
      <c r="E989" s="107"/>
      <c r="F989" s="107"/>
      <c r="G989" s="107"/>
      <c r="H989" s="107"/>
    </row>
    <row r="990" spans="2:8" x14ac:dyDescent="0.25">
      <c r="B990" s="107"/>
      <c r="C990" s="107"/>
      <c r="D990" s="107"/>
      <c r="E990" s="107"/>
      <c r="F990" s="107"/>
      <c r="G990" s="107"/>
      <c r="H990" s="107"/>
    </row>
    <row r="991" spans="2:8" x14ac:dyDescent="0.25">
      <c r="B991" s="107"/>
      <c r="C991" s="107"/>
      <c r="D991" s="107"/>
      <c r="E991" s="107"/>
      <c r="F991" s="107"/>
      <c r="G991" s="107"/>
      <c r="H991" s="107"/>
    </row>
    <row r="992" spans="2:8" x14ac:dyDescent="0.25">
      <c r="B992" s="107"/>
      <c r="C992" s="107"/>
      <c r="D992" s="107"/>
      <c r="E992" s="107"/>
      <c r="F992" s="107"/>
      <c r="G992" s="107"/>
      <c r="H992" s="107"/>
    </row>
    <row r="993" spans="2:8" x14ac:dyDescent="0.25">
      <c r="B993" s="107"/>
      <c r="C993" s="107"/>
      <c r="D993" s="107"/>
      <c r="E993" s="107"/>
      <c r="F993" s="107"/>
      <c r="G993" s="107"/>
      <c r="H993" s="107"/>
    </row>
    <row r="994" spans="2:8" x14ac:dyDescent="0.25">
      <c r="B994" s="107"/>
      <c r="C994" s="107"/>
      <c r="D994" s="107"/>
      <c r="E994" s="107"/>
      <c r="F994" s="107"/>
      <c r="G994" s="107"/>
      <c r="H994" s="107"/>
    </row>
    <row r="995" spans="2:8" x14ac:dyDescent="0.25">
      <c r="B995" s="107"/>
      <c r="C995" s="107"/>
      <c r="D995" s="107"/>
      <c r="E995" s="107"/>
      <c r="F995" s="107"/>
      <c r="G995" s="107"/>
      <c r="H995" s="107"/>
    </row>
    <row r="996" spans="2:8" x14ac:dyDescent="0.25">
      <c r="B996" s="107"/>
      <c r="C996" s="107"/>
      <c r="D996" s="107"/>
      <c r="E996" s="107"/>
      <c r="F996" s="107"/>
      <c r="G996" s="107"/>
      <c r="H996" s="107"/>
    </row>
    <row r="997" spans="2:8" x14ac:dyDescent="0.25">
      <c r="B997" s="107"/>
      <c r="C997" s="107"/>
      <c r="D997" s="107"/>
      <c r="E997" s="107"/>
      <c r="F997" s="107"/>
      <c r="G997" s="107"/>
      <c r="H997" s="107"/>
    </row>
    <row r="998" spans="2:8" x14ac:dyDescent="0.25">
      <c r="B998" s="107"/>
      <c r="C998" s="107"/>
      <c r="D998" s="107"/>
      <c r="E998" s="107"/>
      <c r="F998" s="107"/>
      <c r="G998" s="107"/>
      <c r="H998" s="107"/>
    </row>
    <row r="999" spans="2:8" x14ac:dyDescent="0.25">
      <c r="B999" s="107"/>
      <c r="C999" s="107"/>
      <c r="D999" s="107"/>
      <c r="E999" s="107"/>
      <c r="F999" s="107"/>
      <c r="G999" s="107"/>
      <c r="H999" s="107"/>
    </row>
    <row r="1000" spans="2:8" x14ac:dyDescent="0.25">
      <c r="B1000" s="107"/>
      <c r="C1000" s="107"/>
      <c r="D1000" s="107"/>
      <c r="E1000" s="107"/>
      <c r="F1000" s="107"/>
      <c r="G1000" s="107"/>
      <c r="H1000" s="107"/>
    </row>
    <row r="1001" spans="2:8" x14ac:dyDescent="0.25">
      <c r="B1001" s="107"/>
      <c r="C1001" s="107"/>
      <c r="D1001" s="107"/>
      <c r="E1001" s="107"/>
      <c r="F1001" s="107"/>
      <c r="G1001" s="107"/>
      <c r="H1001" s="107"/>
    </row>
    <row r="1002" spans="2:8" x14ac:dyDescent="0.25">
      <c r="B1002" s="107"/>
      <c r="C1002" s="107"/>
      <c r="D1002" s="107"/>
      <c r="E1002" s="107"/>
      <c r="F1002" s="107"/>
      <c r="G1002" s="107"/>
      <c r="H1002" s="107"/>
    </row>
    <row r="1003" spans="2:8" x14ac:dyDescent="0.25">
      <c r="B1003" s="107"/>
      <c r="C1003" s="107"/>
      <c r="D1003" s="107"/>
      <c r="E1003" s="107"/>
      <c r="F1003" s="107"/>
      <c r="G1003" s="107"/>
      <c r="H1003" s="107"/>
    </row>
    <row r="1004" spans="2:8" x14ac:dyDescent="0.25">
      <c r="B1004" s="107"/>
      <c r="C1004" s="107"/>
      <c r="D1004" s="107"/>
      <c r="E1004" s="107"/>
      <c r="F1004" s="107"/>
      <c r="G1004" s="107"/>
    </row>
    <row r="1005" spans="2:8" x14ac:dyDescent="0.25">
      <c r="B1005" s="107"/>
      <c r="C1005" s="107"/>
      <c r="D1005" s="107"/>
      <c r="E1005" s="107"/>
      <c r="F1005" s="107"/>
      <c r="G1005" s="107"/>
    </row>
  </sheetData>
  <sheetProtection password="E218"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C243-6115-480D-962A-E5CC54AFDBA7}">
  <sheetPr codeName="Sheet7"/>
  <dimension ref="A1:M25"/>
  <sheetViews>
    <sheetView workbookViewId="0">
      <selection activeCell="D14" sqref="D14"/>
    </sheetView>
  </sheetViews>
  <sheetFormatPr defaultRowHeight="12.75" x14ac:dyDescent="0.2"/>
  <cols>
    <col min="1" max="1" width="2.7109375" customWidth="1"/>
    <col min="2" max="2" width="64" customWidth="1"/>
    <col min="3" max="3" width="6.85546875" customWidth="1"/>
    <col min="4" max="4" width="6.85546875" bestFit="1" customWidth="1"/>
    <col min="5" max="5" width="9.28515625" bestFit="1" customWidth="1"/>
    <col min="6" max="6" width="8.7109375" bestFit="1" customWidth="1"/>
    <col min="7" max="7" width="12.5703125" bestFit="1" customWidth="1"/>
    <col min="8" max="8" width="10.140625" customWidth="1"/>
    <col min="9" max="9" width="10.7109375" bestFit="1" customWidth="1"/>
    <col min="10" max="10" width="2.28515625" customWidth="1"/>
    <col min="11" max="11" width="11.42578125" bestFit="1" customWidth="1"/>
    <col min="12" max="12" width="9.42578125" bestFit="1" customWidth="1"/>
    <col min="13" max="13" width="13.5703125" bestFit="1" customWidth="1"/>
  </cols>
  <sheetData>
    <row r="1" spans="1:13" ht="138" customHeight="1" x14ac:dyDescent="0.2"/>
    <row r="2" spans="1:13" x14ac:dyDescent="0.2">
      <c r="G2" s="309" t="s">
        <v>400</v>
      </c>
    </row>
    <row r="3" spans="1:13" x14ac:dyDescent="0.2">
      <c r="C3" s="308" t="s">
        <v>397</v>
      </c>
      <c r="D3" s="308" t="s">
        <v>398</v>
      </c>
      <c r="E3" s="308" t="s">
        <v>401</v>
      </c>
      <c r="F3" s="308" t="s">
        <v>402</v>
      </c>
      <c r="G3" s="308" t="s">
        <v>399</v>
      </c>
      <c r="H3" s="308" t="s">
        <v>403</v>
      </c>
      <c r="I3" s="308" t="s">
        <v>64</v>
      </c>
      <c r="J3" s="308"/>
      <c r="K3" s="308" t="s">
        <v>62</v>
      </c>
      <c r="L3" s="308" t="s">
        <v>61</v>
      </c>
      <c r="M3" s="308" t="s">
        <v>63</v>
      </c>
    </row>
    <row r="4" spans="1:13" ht="13.5" x14ac:dyDescent="0.25">
      <c r="B4" s="318" t="s">
        <v>50</v>
      </c>
      <c r="C4" s="315">
        <f>IF('Reporting Worksheet'!E14="n/a",0,'Reporting Worksheet'!E14)</f>
        <v>8</v>
      </c>
      <c r="D4" s="316">
        <f>IF('Reporting Worksheet'!G14=0,0,IF('Reporting Worksheet'!G14&gt;'Reporting Worksheet'!G16,20,8))</f>
        <v>20</v>
      </c>
      <c r="E4" s="317">
        <f>D4/$D$23</f>
        <v>23.529411764705884</v>
      </c>
      <c r="F4" s="317">
        <f>IF(D4&lt;&gt;0,E4/10,0)</f>
        <v>2.3529411764705883</v>
      </c>
      <c r="G4" s="313">
        <f t="shared" ref="G4:G21" si="0">C4*F4</f>
        <v>18.823529411764707</v>
      </c>
      <c r="H4" s="314">
        <f t="shared" ref="H4:H21" si="1">IF(F4=0,0,E4-G4)</f>
        <v>4.7058823529411775</v>
      </c>
      <c r="I4">
        <f t="array" aca="1" ref="I4" ca="1">SUM(1*(H4&lt;$H$4:$H$21))+1+IF(ROW(H4)-ROW($H$4)=0,0,SUM(1*(H4=OFFSET($H$4,0,0,INDEX(ROW(H4)-ROW($H$4)+1,1)-1,1))))</f>
        <v>1</v>
      </c>
      <c r="J4" s="312" t="s">
        <v>475</v>
      </c>
      <c r="K4">
        <f>IF(D4&lt;&gt;0,1,0)</f>
        <v>1</v>
      </c>
      <c r="L4">
        <f t="shared" ref="L4:L21" si="2">IF(C4&gt;0,1,0)</f>
        <v>1</v>
      </c>
      <c r="M4">
        <f t="shared" ref="M4:M21" si="3">IF(AND(K4=1,L4=0),1,0)</f>
        <v>0</v>
      </c>
    </row>
    <row r="5" spans="1:13" ht="13.5" x14ac:dyDescent="0.25">
      <c r="B5" s="318" t="s">
        <v>51</v>
      </c>
      <c r="C5" s="315">
        <f>IF('Reporting Worksheet'!E15="n/a",0,'Reporting Worksheet'!E15)</f>
        <v>8</v>
      </c>
      <c r="D5" s="316">
        <f>IF('Reporting Worksheet'!G15=0,0,8)</f>
        <v>8</v>
      </c>
      <c r="E5" s="317">
        <f t="shared" ref="E5:E21" si="4">D5/$D$23</f>
        <v>9.4117647058823533</v>
      </c>
      <c r="F5" s="317">
        <f t="shared" ref="F5:F21" si="5">IF(D5&lt;&gt;0,E5/10,0)</f>
        <v>0.94117647058823528</v>
      </c>
      <c r="G5" s="313">
        <f t="shared" si="0"/>
        <v>7.5294117647058822</v>
      </c>
      <c r="H5" s="314">
        <f t="shared" si="1"/>
        <v>1.882352941176471</v>
      </c>
      <c r="I5">
        <f t="array" aca="1" ref="I5" ca="1">SUM(1*(H5&lt;$H$4:$H$21))+1+IF(ROW(H5)-ROW($H$4)=0,0,SUM(1*(H5=OFFSET($H$4,0,0,INDEX(ROW(H5)-ROW($H$4)+1,1)-1,1))))</f>
        <v>8</v>
      </c>
      <c r="J5" s="312" t="s">
        <v>152</v>
      </c>
      <c r="K5">
        <f t="shared" ref="K5:K21" si="6">IF(D5&lt;&gt;0,1,0)</f>
        <v>1</v>
      </c>
      <c r="L5">
        <f t="shared" si="2"/>
        <v>1</v>
      </c>
      <c r="M5">
        <f t="shared" si="3"/>
        <v>0</v>
      </c>
    </row>
    <row r="6" spans="1:13" ht="13.5" x14ac:dyDescent="0.25">
      <c r="B6" s="318" t="s">
        <v>117</v>
      </c>
      <c r="C6" s="315">
        <f>IF('Reporting Worksheet'!E16="n/a",0,'Reporting Worksheet'!E16)</f>
        <v>0</v>
      </c>
      <c r="D6" s="316">
        <f>IF('Reporting Worksheet'!G16=0,0,IF('Reporting Worksheet'!G16&gt;'Reporting Worksheet'!G14,20,8))</f>
        <v>0</v>
      </c>
      <c r="E6" s="317">
        <f t="shared" si="4"/>
        <v>0</v>
      </c>
      <c r="F6" s="317">
        <f t="shared" si="5"/>
        <v>0</v>
      </c>
      <c r="G6" s="313">
        <f t="shared" si="0"/>
        <v>0</v>
      </c>
      <c r="H6" s="314">
        <f t="shared" si="1"/>
        <v>0</v>
      </c>
      <c r="I6">
        <f t="array" aca="1" ref="I6" ca="1">SUM(1*(H6&lt;$H$4:$H$21))+1+IF(ROW(H6)-ROW($H$4)=0,0,SUM(1*(H6=OFFSET($H$4,0,0,INDEX(ROW(H6)-ROW($H$4)+1,1)-1,1))))</f>
        <v>17</v>
      </c>
      <c r="J6" s="312" t="s">
        <v>474</v>
      </c>
      <c r="K6">
        <f t="shared" si="6"/>
        <v>0</v>
      </c>
      <c r="L6">
        <f t="shared" si="2"/>
        <v>0</v>
      </c>
      <c r="M6">
        <f t="shared" si="3"/>
        <v>0</v>
      </c>
    </row>
    <row r="7" spans="1:13" ht="13.5" x14ac:dyDescent="0.25">
      <c r="B7" s="318" t="s">
        <v>118</v>
      </c>
      <c r="C7" s="315">
        <f>IF('Reporting Worksheet'!E17="n/a",0,'Reporting Worksheet'!E17)</f>
        <v>0</v>
      </c>
      <c r="D7" s="316">
        <f>IF('Reporting Worksheet'!G17=0,0,8)</f>
        <v>0</v>
      </c>
      <c r="E7" s="317">
        <f t="shared" si="4"/>
        <v>0</v>
      </c>
      <c r="F7" s="317">
        <f t="shared" si="5"/>
        <v>0</v>
      </c>
      <c r="G7" s="313">
        <f t="shared" si="0"/>
        <v>0</v>
      </c>
      <c r="H7" s="314">
        <f t="shared" si="1"/>
        <v>0</v>
      </c>
      <c r="I7">
        <f t="array" aca="1" ref="I7" ca="1">SUM(1*(H7&lt;$H$4:$H$21))+1+IF(ROW(H7)-ROW($H$4)=0,0,SUM(1*(H7=OFFSET($H$4,0,0,INDEX(ROW(H7)-ROW($H$4)+1,1)-1,1))))</f>
        <v>18</v>
      </c>
      <c r="J7" s="312" t="s">
        <v>478</v>
      </c>
      <c r="K7">
        <f t="shared" si="6"/>
        <v>0</v>
      </c>
      <c r="L7">
        <f t="shared" si="2"/>
        <v>0</v>
      </c>
      <c r="M7">
        <f t="shared" si="3"/>
        <v>0</v>
      </c>
    </row>
    <row r="8" spans="1:13" ht="13.5" x14ac:dyDescent="0.25">
      <c r="B8" s="318" t="s">
        <v>52</v>
      </c>
      <c r="C8" s="315">
        <f>IF('Reporting Worksheet'!E23="n/a",0,'Reporting Worksheet'!E23)</f>
        <v>8</v>
      </c>
      <c r="D8" s="316">
        <f>IF(AND('Reporting Worksheet'!E23="n/a",'Reporting Worksheet'!G23=0),0,8)</f>
        <v>8</v>
      </c>
      <c r="E8" s="317">
        <f t="shared" si="4"/>
        <v>9.4117647058823533</v>
      </c>
      <c r="F8" s="317">
        <f t="shared" si="5"/>
        <v>0.94117647058823528</v>
      </c>
      <c r="G8" s="313">
        <f t="shared" si="0"/>
        <v>7.5294117647058822</v>
      </c>
      <c r="H8" s="314">
        <f t="shared" si="1"/>
        <v>1.882352941176471</v>
      </c>
      <c r="I8">
        <f t="array" aca="1" ref="I8" ca="1">SUM(1*(H8&lt;$H$4:$H$21))+1+IF(ROW(H8)-ROW($H$4)=0,0,SUM(1*(H8=OFFSET($H$4,0,0,INDEX(ROW(H8)-ROW($H$4)+1,1)-1,1))))</f>
        <v>9</v>
      </c>
      <c r="J8" s="312" t="s">
        <v>404</v>
      </c>
      <c r="K8">
        <f t="shared" si="6"/>
        <v>1</v>
      </c>
      <c r="L8">
        <f t="shared" si="2"/>
        <v>1</v>
      </c>
      <c r="M8">
        <f t="shared" si="3"/>
        <v>0</v>
      </c>
    </row>
    <row r="9" spans="1:13" ht="13.5" x14ac:dyDescent="0.25">
      <c r="B9" s="318" t="s">
        <v>53</v>
      </c>
      <c r="C9" s="315">
        <f>IF('Reporting Worksheet'!E24="n/a",0,'Reporting Worksheet'!E24)</f>
        <v>8</v>
      </c>
      <c r="D9" s="316">
        <f>IF('Reporting Worksheet'!G24=0,0,6)</f>
        <v>6</v>
      </c>
      <c r="E9" s="317">
        <f t="shared" si="4"/>
        <v>7.0588235294117645</v>
      </c>
      <c r="F9" s="317">
        <f t="shared" si="5"/>
        <v>0.70588235294117641</v>
      </c>
      <c r="G9" s="313">
        <f t="shared" si="0"/>
        <v>5.6470588235294112</v>
      </c>
      <c r="H9" s="314">
        <f t="shared" si="1"/>
        <v>1.4117647058823533</v>
      </c>
      <c r="I9">
        <f t="array" aca="1" ref="I9" ca="1">SUM(1*(H9&lt;$H$4:$H$21))+1+IF(ROW(H9)-ROW($H$4)=0,0,SUM(1*(H9=OFFSET($H$4,0,0,INDEX(ROW(H9)-ROW($H$4)+1,1)-1,1))))</f>
        <v>11</v>
      </c>
      <c r="J9" s="312" t="s">
        <v>405</v>
      </c>
      <c r="K9">
        <f t="shared" si="6"/>
        <v>1</v>
      </c>
      <c r="L9">
        <f t="shared" si="2"/>
        <v>1</v>
      </c>
      <c r="M9">
        <f t="shared" si="3"/>
        <v>0</v>
      </c>
    </row>
    <row r="10" spans="1:13" ht="13.5" x14ac:dyDescent="0.25">
      <c r="B10" s="318" t="s">
        <v>54</v>
      </c>
      <c r="C10" s="315">
        <f>IF('Reporting Worksheet'!E25="n/a",0,'Reporting Worksheet'!E25)</f>
        <v>5</v>
      </c>
      <c r="D10" s="316">
        <f>IF('Reporting Worksheet'!G25=0,0,6)</f>
        <v>6</v>
      </c>
      <c r="E10" s="317">
        <f t="shared" si="4"/>
        <v>7.0588235294117645</v>
      </c>
      <c r="F10" s="317">
        <f t="shared" si="5"/>
        <v>0.70588235294117641</v>
      </c>
      <c r="G10" s="313">
        <f t="shared" si="0"/>
        <v>3.5294117647058822</v>
      </c>
      <c r="H10" s="314">
        <f t="shared" si="1"/>
        <v>3.5294117647058822</v>
      </c>
      <c r="I10">
        <f t="array" aca="1" ref="I10" ca="1">SUM(1*(H10&lt;$H$4:$H$21))+1+IF(ROW(H10)-ROW($H$4)=0,0,SUM(1*(H10=OFFSET($H$4,0,0,INDEX(ROW(H10)-ROW($H$4)+1,1)-1,1))))</f>
        <v>2</v>
      </c>
      <c r="J10" s="312" t="s">
        <v>406</v>
      </c>
      <c r="K10">
        <f t="shared" si="6"/>
        <v>1</v>
      </c>
      <c r="L10">
        <f t="shared" si="2"/>
        <v>1</v>
      </c>
      <c r="M10">
        <f t="shared" si="3"/>
        <v>0</v>
      </c>
    </row>
    <row r="11" spans="1:13" ht="13.5" x14ac:dyDescent="0.25">
      <c r="A11" t="s">
        <v>67</v>
      </c>
      <c r="B11" s="318" t="s">
        <v>55</v>
      </c>
      <c r="C11" s="388">
        <f>IF(OR('Reporting Worksheet'!P26=1,AND('Reporting Worksheet'!P26=2,'Reporting Worksheet'!L26=0)),5,'Reporting Worksheet'!E26)</f>
        <v>5</v>
      </c>
      <c r="D11" s="316">
        <v>1</v>
      </c>
      <c r="E11" s="317">
        <f t="shared" si="4"/>
        <v>1.1764705882352942</v>
      </c>
      <c r="F11" s="317">
        <f t="shared" si="5"/>
        <v>0.11764705882352941</v>
      </c>
      <c r="G11" s="313">
        <f t="shared" si="0"/>
        <v>0.58823529411764708</v>
      </c>
      <c r="H11" s="314">
        <f t="shared" si="1"/>
        <v>0.58823529411764708</v>
      </c>
      <c r="I11">
        <f t="array" aca="1" ref="I11" ca="1">SUM(1*(H11&lt;$H$4:$H$21))+1+IF(ROW(H11)-ROW($H$4)=0,0,SUM(1*(H11=OFFSET($H$4,0,0,INDEX(ROW(H11)-ROW($H$4)+1,1)-1,1))))</f>
        <v>12</v>
      </c>
      <c r="J11" s="312" t="s">
        <v>407</v>
      </c>
      <c r="K11">
        <f t="shared" si="6"/>
        <v>1</v>
      </c>
      <c r="L11">
        <f t="shared" si="2"/>
        <v>1</v>
      </c>
      <c r="M11">
        <f t="shared" si="3"/>
        <v>0</v>
      </c>
    </row>
    <row r="12" spans="1:13" ht="13.5" x14ac:dyDescent="0.25">
      <c r="A12" t="s">
        <v>67</v>
      </c>
      <c r="B12" s="318" t="s">
        <v>56</v>
      </c>
      <c r="C12" s="388">
        <f>IF(OR('Reporting Worksheet'!P38=1,AND('Reporting Worksheet'!P38=2,'Reporting Worksheet'!L38=0)),5,'Reporting Worksheet'!E38)</f>
        <v>5</v>
      </c>
      <c r="D12" s="316">
        <v>4</v>
      </c>
      <c r="E12" s="317">
        <f t="shared" si="4"/>
        <v>4.7058823529411766</v>
      </c>
      <c r="F12" s="317">
        <f t="shared" si="5"/>
        <v>0.47058823529411764</v>
      </c>
      <c r="G12" s="313">
        <f t="shared" si="0"/>
        <v>2.3529411764705883</v>
      </c>
      <c r="H12" s="314">
        <f t="shared" si="1"/>
        <v>2.3529411764705883</v>
      </c>
      <c r="I12">
        <f t="array" aca="1" ref="I12" ca="1">SUM(1*(H12&lt;$H$4:$H$21))+1+IF(ROW(H12)-ROW($H$4)=0,0,SUM(1*(H12=OFFSET($H$4,0,0,INDEX(ROW(H12)-ROW($H$4)+1,1)-1,1))))</f>
        <v>6</v>
      </c>
      <c r="J12" s="312" t="s">
        <v>134</v>
      </c>
      <c r="K12">
        <f t="shared" si="6"/>
        <v>1</v>
      </c>
      <c r="L12">
        <f t="shared" si="2"/>
        <v>1</v>
      </c>
      <c r="M12">
        <f t="shared" si="3"/>
        <v>0</v>
      </c>
    </row>
    <row r="13" spans="1:13" ht="13.5" x14ac:dyDescent="0.25">
      <c r="B13" s="318" t="s">
        <v>57</v>
      </c>
      <c r="C13" s="315">
        <f>IF('Reporting Worksheet'!E42="n/a",0,'Reporting Worksheet'!E42)</f>
        <v>6</v>
      </c>
      <c r="D13" s="316">
        <f>IF(AND('Reporting Worksheet'!E42="n/a",'Reporting Worksheet'!G42=0),0,6)</f>
        <v>6</v>
      </c>
      <c r="E13" s="317">
        <f t="shared" si="4"/>
        <v>7.0588235294117645</v>
      </c>
      <c r="F13" s="317">
        <f t="shared" si="5"/>
        <v>0.70588235294117641</v>
      </c>
      <c r="G13" s="313">
        <f t="shared" si="0"/>
        <v>4.235294117647058</v>
      </c>
      <c r="H13" s="314">
        <f t="shared" si="1"/>
        <v>2.8235294117647065</v>
      </c>
      <c r="I13">
        <f t="array" aca="1" ref="I13" ca="1">SUM(1*(H13&lt;$H$4:$H$21))+1+IF(ROW(H13)-ROW($H$4)=0,0,SUM(1*(H13=OFFSET($H$4,0,0,INDEX(ROW(H13)-ROW($H$4)+1,1)-1,1))))</f>
        <v>4</v>
      </c>
      <c r="J13" s="312" t="s">
        <v>481</v>
      </c>
      <c r="K13">
        <f t="shared" si="6"/>
        <v>1</v>
      </c>
      <c r="L13">
        <f t="shared" si="2"/>
        <v>1</v>
      </c>
      <c r="M13">
        <f t="shared" si="3"/>
        <v>0</v>
      </c>
    </row>
    <row r="14" spans="1:13" ht="13.5" x14ac:dyDescent="0.25">
      <c r="B14" s="318" t="s">
        <v>116</v>
      </c>
      <c r="C14" s="315">
        <f>IF('Reporting Worksheet'!E43="n/a",0,IF('Reporting Worksheet'!G43=0,5,'Reporting Worksheet'!E43))</f>
        <v>6</v>
      </c>
      <c r="D14" s="316">
        <v>4</v>
      </c>
      <c r="E14" s="317">
        <f t="shared" si="4"/>
        <v>4.7058823529411766</v>
      </c>
      <c r="F14" s="317">
        <f t="shared" si="5"/>
        <v>0.47058823529411764</v>
      </c>
      <c r="G14" s="313">
        <f t="shared" si="0"/>
        <v>2.8235294117647056</v>
      </c>
      <c r="H14" s="314">
        <f t="shared" si="1"/>
        <v>1.882352941176471</v>
      </c>
      <c r="I14">
        <f t="array" aca="1" ref="I14" ca="1">SUM(1*(H14&lt;$H$4:$H$21))+1+IF(ROW(H14)-ROW($H$4)=0,0,SUM(1*(H14=OFFSET($H$4,0,0,INDEX(ROW(H14)-ROW($H$4)+1,1)-1,1))))</f>
        <v>10</v>
      </c>
      <c r="J14" s="312" t="s">
        <v>135</v>
      </c>
      <c r="K14">
        <f t="shared" si="6"/>
        <v>1</v>
      </c>
      <c r="L14">
        <f t="shared" si="2"/>
        <v>1</v>
      </c>
      <c r="M14">
        <f t="shared" si="3"/>
        <v>0</v>
      </c>
    </row>
    <row r="15" spans="1:13" ht="13.5" x14ac:dyDescent="0.25">
      <c r="B15" s="318" t="s">
        <v>58</v>
      </c>
      <c r="C15" s="315">
        <f>'Reporting Worksheet'!E62</f>
        <v>8</v>
      </c>
      <c r="D15" s="316">
        <v>1</v>
      </c>
      <c r="E15" s="317">
        <f t="shared" si="4"/>
        <v>1.1764705882352942</v>
      </c>
      <c r="F15" s="317">
        <f t="shared" si="5"/>
        <v>0.11764705882352941</v>
      </c>
      <c r="G15" s="313">
        <f t="shared" si="0"/>
        <v>0.94117647058823528</v>
      </c>
      <c r="H15" s="314">
        <f t="shared" si="1"/>
        <v>0.23529411764705888</v>
      </c>
      <c r="I15">
        <f t="array" aca="1" ref="I15" ca="1">SUM(1*(H15&lt;$H$4:$H$21))+1+IF(ROW(H15)-ROW($H$4)=0,0,SUM(1*(H15=OFFSET($H$4,0,0,INDEX(ROW(H15)-ROW($H$4)+1,1)-1,1))))</f>
        <v>15</v>
      </c>
      <c r="J15" s="312" t="s">
        <v>426</v>
      </c>
      <c r="K15">
        <f t="shared" si="6"/>
        <v>1</v>
      </c>
      <c r="L15">
        <f t="shared" si="2"/>
        <v>1</v>
      </c>
      <c r="M15">
        <f t="shared" si="3"/>
        <v>0</v>
      </c>
    </row>
    <row r="16" spans="1:13" ht="13.5" x14ac:dyDescent="0.25">
      <c r="B16" s="318" t="s">
        <v>47</v>
      </c>
      <c r="C16" s="315">
        <f>'Reporting Worksheet'!E63</f>
        <v>8</v>
      </c>
      <c r="D16" s="316">
        <v>1</v>
      </c>
      <c r="E16" s="317">
        <f t="shared" si="4"/>
        <v>1.1764705882352942</v>
      </c>
      <c r="F16" s="317">
        <f t="shared" si="5"/>
        <v>0.11764705882352941</v>
      </c>
      <c r="G16" s="313">
        <f t="shared" si="0"/>
        <v>0.94117647058823528</v>
      </c>
      <c r="H16" s="314">
        <f t="shared" si="1"/>
        <v>0.23529411764705888</v>
      </c>
      <c r="I16">
        <f t="array" aca="1" ref="I16" ca="1">SUM(1*(H16&lt;$H$4:$H$21))+1+IF(ROW(H16)-ROW($H$4)=0,0,SUM(1*(H16=OFFSET($H$4,0,0,INDEX(ROW(H16)-ROW($H$4)+1,1)-1,1))))</f>
        <v>16</v>
      </c>
      <c r="J16" s="312" t="s">
        <v>408</v>
      </c>
      <c r="K16">
        <f t="shared" si="6"/>
        <v>1</v>
      </c>
      <c r="L16">
        <f t="shared" si="2"/>
        <v>1</v>
      </c>
      <c r="M16">
        <f t="shared" si="3"/>
        <v>0</v>
      </c>
    </row>
    <row r="17" spans="2:13" ht="13.5" x14ac:dyDescent="0.25">
      <c r="B17" s="318" t="s">
        <v>613</v>
      </c>
      <c r="C17" s="315">
        <f>IF('Reporting Worksheet'!E65="n/a",0,'Reporting Worksheet'!E65)</f>
        <v>6</v>
      </c>
      <c r="D17" s="316">
        <v>1</v>
      </c>
      <c r="E17" s="317">
        <f t="shared" si="4"/>
        <v>1.1764705882352942</v>
      </c>
      <c r="F17" s="317">
        <f t="shared" si="5"/>
        <v>0.11764705882352941</v>
      </c>
      <c r="G17" s="313">
        <f t="shared" si="0"/>
        <v>0.70588235294117641</v>
      </c>
      <c r="H17" s="314">
        <f t="shared" si="1"/>
        <v>0.47058823529411775</v>
      </c>
      <c r="I17">
        <f t="array" aca="1" ref="I17" ca="1">SUM(1*(H17&lt;$H$4:$H$21))+1+IF(ROW(H17)-ROW($H$4)=0,0,SUM(1*(H17=OFFSET($H$4,0,0,INDEX(ROW(H17)-ROW($H$4)+1,1)-1,1))))</f>
        <v>13</v>
      </c>
      <c r="J17" s="312" t="s">
        <v>612</v>
      </c>
      <c r="K17">
        <f t="shared" si="6"/>
        <v>1</v>
      </c>
      <c r="L17">
        <f t="shared" si="2"/>
        <v>1</v>
      </c>
      <c r="M17">
        <f t="shared" si="3"/>
        <v>0</v>
      </c>
    </row>
    <row r="18" spans="2:13" ht="13.5" x14ac:dyDescent="0.25">
      <c r="B18" s="318" t="s">
        <v>59</v>
      </c>
      <c r="C18" s="315">
        <f>'Reporting Worksheet'!E67</f>
        <v>6</v>
      </c>
      <c r="D18" s="316">
        <v>1</v>
      </c>
      <c r="E18" s="317">
        <f t="shared" si="4"/>
        <v>1.1764705882352942</v>
      </c>
      <c r="F18" s="317">
        <f t="shared" si="5"/>
        <v>0.11764705882352941</v>
      </c>
      <c r="G18" s="313">
        <f t="shared" si="0"/>
        <v>0.70588235294117641</v>
      </c>
      <c r="H18" s="314">
        <f t="shared" si="1"/>
        <v>0.47058823529411775</v>
      </c>
      <c r="I18">
        <f t="array" aca="1" ref="I18" ca="1">SUM(1*(H18&lt;$H$4:$H$21))+1+IF(ROW(H18)-ROW($H$4)=0,0,SUM(1*(H18=OFFSET($H$4,0,0,INDEX(ROW(H18)-ROW($H$4)+1,1)-1,1))))</f>
        <v>14</v>
      </c>
      <c r="J18" s="312" t="s">
        <v>137</v>
      </c>
      <c r="K18">
        <f t="shared" si="6"/>
        <v>1</v>
      </c>
      <c r="L18">
        <f t="shared" si="2"/>
        <v>1</v>
      </c>
      <c r="M18">
        <f t="shared" si="3"/>
        <v>0</v>
      </c>
    </row>
    <row r="19" spans="2:13" ht="13.5" x14ac:dyDescent="0.25">
      <c r="B19" s="318" t="s">
        <v>60</v>
      </c>
      <c r="C19" s="315">
        <f>'Reporting Worksheet'!E74</f>
        <v>6</v>
      </c>
      <c r="D19" s="316">
        <v>6</v>
      </c>
      <c r="E19" s="317">
        <f t="shared" si="4"/>
        <v>7.0588235294117645</v>
      </c>
      <c r="F19" s="317">
        <f t="shared" si="5"/>
        <v>0.70588235294117641</v>
      </c>
      <c r="G19" s="313">
        <f t="shared" si="0"/>
        <v>4.235294117647058</v>
      </c>
      <c r="H19" s="314">
        <f t="shared" si="1"/>
        <v>2.8235294117647065</v>
      </c>
      <c r="I19">
        <f t="array" aca="1" ref="I19" ca="1">SUM(1*(H19&lt;$H$4:$H$21))+1+IF(ROW(H19)-ROW($H$4)=0,0,SUM(1*(H19=OFFSET($H$4,0,0,INDEX(ROW(H19)-ROW($H$4)+1,1)-1,1))))</f>
        <v>5</v>
      </c>
      <c r="J19" s="312" t="s">
        <v>409</v>
      </c>
      <c r="K19">
        <f t="shared" si="6"/>
        <v>1</v>
      </c>
      <c r="L19">
        <f t="shared" si="2"/>
        <v>1</v>
      </c>
      <c r="M19">
        <f t="shared" si="3"/>
        <v>0</v>
      </c>
    </row>
    <row r="20" spans="2:13" ht="13.5" x14ac:dyDescent="0.25">
      <c r="B20" s="318" t="s">
        <v>48</v>
      </c>
      <c r="C20" s="315">
        <f>'Reporting Worksheet'!E75</f>
        <v>5</v>
      </c>
      <c r="D20" s="316">
        <v>6</v>
      </c>
      <c r="E20" s="317">
        <f t="shared" si="4"/>
        <v>7.0588235294117645</v>
      </c>
      <c r="F20" s="317">
        <f t="shared" si="5"/>
        <v>0.70588235294117641</v>
      </c>
      <c r="G20" s="313">
        <f t="shared" si="0"/>
        <v>3.5294117647058822</v>
      </c>
      <c r="H20" s="314">
        <f t="shared" si="1"/>
        <v>3.5294117647058822</v>
      </c>
      <c r="I20">
        <f t="array" aca="1" ref="I20" ca="1">SUM(1*(H20&lt;$H$4:$H$21))+1+IF(ROW(H20)-ROW($H$4)=0,0,SUM(1*(H20=OFFSET($H$4,0,0,INDEX(ROW(H20)-ROW($H$4)+1,1)-1,1))))</f>
        <v>3</v>
      </c>
      <c r="J20" s="312" t="s">
        <v>46</v>
      </c>
      <c r="K20">
        <f t="shared" si="6"/>
        <v>1</v>
      </c>
      <c r="L20">
        <f t="shared" si="2"/>
        <v>1</v>
      </c>
      <c r="M20">
        <f t="shared" si="3"/>
        <v>0</v>
      </c>
    </row>
    <row r="21" spans="2:13" ht="13.5" x14ac:dyDescent="0.25">
      <c r="B21" s="318" t="s">
        <v>49</v>
      </c>
      <c r="C21" s="315">
        <f>IF('Reporting Worksheet'!E76="n/a",0,'Reporting Worksheet'!E76)</f>
        <v>7</v>
      </c>
      <c r="D21" s="316">
        <v>6</v>
      </c>
      <c r="E21" s="317">
        <f t="shared" si="4"/>
        <v>7.0588235294117645</v>
      </c>
      <c r="F21" s="317">
        <f t="shared" si="5"/>
        <v>0.70588235294117641</v>
      </c>
      <c r="G21" s="313">
        <f t="shared" si="0"/>
        <v>4.9411764705882346</v>
      </c>
      <c r="H21" s="314">
        <f t="shared" si="1"/>
        <v>2.1176470588235299</v>
      </c>
      <c r="I21">
        <f t="array" aca="1" ref="I21" ca="1">SUM(1*(H21&lt;$H$4:$H$21))+1+IF(ROW(H21)-ROW($H$4)=0,0,SUM(1*(H21=OFFSET($H$4,0,0,INDEX(ROW(H21)-ROW($H$4)+1,1)-1,1))))</f>
        <v>7</v>
      </c>
      <c r="J21" s="312" t="s">
        <v>539</v>
      </c>
      <c r="K21">
        <f t="shared" si="6"/>
        <v>1</v>
      </c>
      <c r="L21">
        <f t="shared" si="2"/>
        <v>1</v>
      </c>
      <c r="M21">
        <f t="shared" si="3"/>
        <v>0</v>
      </c>
    </row>
    <row r="22" spans="2:13" x14ac:dyDescent="0.2">
      <c r="D22" s="311">
        <f>SUM(D4:D21)</f>
        <v>85</v>
      </c>
      <c r="E22" s="311">
        <f>SUM(E4:E21)</f>
        <v>100</v>
      </c>
      <c r="F22" s="311">
        <f>SUM(F4:F21)</f>
        <v>9.9999999999999964</v>
      </c>
      <c r="G22" s="321">
        <f>SUM(G4:G21)</f>
        <v>69.05882352941174</v>
      </c>
      <c r="M22" s="320">
        <f>SUM(M4:M21)</f>
        <v>0</v>
      </c>
    </row>
    <row r="23" spans="2:13" x14ac:dyDescent="0.2">
      <c r="D23" s="310">
        <f>D22/100</f>
        <v>0.85</v>
      </c>
      <c r="M23" s="319"/>
    </row>
    <row r="25" spans="2:13" x14ac:dyDescent="0.2">
      <c r="B25" s="333" t="s">
        <v>455</v>
      </c>
      <c r="L25">
        <f>IF(SUM('Reporting Worksheet'!P26,'Reporting Worksheet'!P38)=2,2,IF(SUM('Reporting Worksheet'!P26,'Reporting Worksheet'!P38)=3,1,0))</f>
        <v>2</v>
      </c>
      <c r="M25" t="s">
        <v>65</v>
      </c>
    </row>
  </sheetData>
  <sheetProtection password="E218" sheet="1" objects="1" scenarios="1"/>
  <phoneticPr fontId="59" type="noConversion"/>
  <conditionalFormatting sqref="B4:H21">
    <cfRule type="expression" dxfId="114" priority="1" stopIfTrue="1">
      <formula>$I4=1</formula>
    </cfRule>
    <cfRule type="expression" dxfId="113" priority="2" stopIfTrue="1">
      <formula>$I4=2</formula>
    </cfRule>
    <cfRule type="expression" dxfId="112" priority="3" stopIfTrue="1">
      <formula>$I4=3</formula>
    </cfRule>
  </conditionalFormatting>
  <conditionalFormatting sqref="I4:I21">
    <cfRule type="cellIs" dxfId="111" priority="4" stopIfTrue="1" operator="equal">
      <formula>1</formula>
    </cfRule>
    <cfRule type="cellIs" dxfId="110" priority="5" stopIfTrue="1" operator="equal">
      <formula>2</formula>
    </cfRule>
    <cfRule type="cellIs" dxfId="109"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BB60-54D5-42BF-A394-32490A1DD261}">
  <sheetPr codeName="Sheet8">
    <tabColor indexed="48"/>
  </sheetPr>
  <dimension ref="A1:S167"/>
  <sheetViews>
    <sheetView showGridLines="0" showRowColHeaders="0" view="pageBreakPreview" zoomScaleNormal="75" workbookViewId="0">
      <pane xSplit="3" ySplit="8" topLeftCell="D9" activePane="bottomRight" state="frozen"/>
      <selection pane="topRight" activeCell="D1" sqref="D1"/>
      <selection pane="bottomLeft" activeCell="A9" sqref="A9"/>
      <selection pane="bottomRight" activeCell="C2" sqref="C2:L2"/>
    </sheetView>
  </sheetViews>
  <sheetFormatPr defaultColWidth="0" defaultRowHeight="13.5" customHeight="1" zeroHeight="1" x14ac:dyDescent="0.25"/>
  <cols>
    <col min="1" max="1" width="1.42578125" style="418" customWidth="1"/>
    <col min="2" max="2" width="1.7109375" style="418" customWidth="1"/>
    <col min="3" max="3" width="20.42578125" style="104" customWidth="1"/>
    <col min="4" max="4" width="13.5703125" style="104" customWidth="1"/>
    <col min="5" max="5" width="20.85546875" style="104" customWidth="1"/>
    <col min="6" max="6" width="22.85546875" style="104" customWidth="1"/>
    <col min="7" max="7" width="8.7109375" style="104" customWidth="1"/>
    <col min="8" max="8" width="22.85546875" style="104" customWidth="1"/>
    <col min="9" max="9" width="8.7109375" style="104" customWidth="1"/>
    <col min="10" max="10" width="22.85546875" style="104" customWidth="1"/>
    <col min="11" max="11" width="8.7109375" style="104" customWidth="1"/>
    <col min="12" max="12" width="22.85546875" style="104" customWidth="1"/>
    <col min="13" max="13" width="8.7109375" style="104" customWidth="1"/>
    <col min="14" max="14" width="22.85546875" style="104" customWidth="1"/>
    <col min="15" max="15" width="1.42578125" style="104" customWidth="1"/>
    <col min="16" max="16" width="1.42578125" style="133" customWidth="1"/>
    <col min="17" max="17" width="3.85546875" style="104" hidden="1" customWidth="1"/>
    <col min="18" max="18" width="34.7109375" style="113" hidden="1" customWidth="1"/>
    <col min="19" max="19" width="0" style="419" hidden="1" customWidth="1"/>
    <col min="20" max="16384" width="0" style="104" hidden="1"/>
  </cols>
  <sheetData>
    <row r="1" spans="1:19" s="113" customFormat="1" ht="8.25" customHeight="1" thickBot="1" x14ac:dyDescent="0.3">
      <c r="A1" s="418"/>
      <c r="B1" s="418"/>
      <c r="P1" s="133"/>
      <c r="S1" s="419"/>
    </row>
    <row r="2" spans="1:19" ht="36.75" customHeight="1" thickTop="1" thickBot="1" x14ac:dyDescent="0.3">
      <c r="B2" s="420"/>
      <c r="C2" s="583" t="s">
        <v>143</v>
      </c>
      <c r="D2" s="584"/>
      <c r="E2" s="584"/>
      <c r="F2" s="585"/>
      <c r="G2" s="585"/>
      <c r="H2" s="585"/>
      <c r="I2" s="585"/>
      <c r="J2" s="585"/>
      <c r="K2" s="585"/>
      <c r="L2" s="585"/>
      <c r="M2" s="421"/>
      <c r="N2" s="421"/>
      <c r="O2" s="422"/>
      <c r="P2" s="423"/>
    </row>
    <row r="3" spans="1:19" ht="4.5" customHeight="1" thickTop="1" thickBot="1" x14ac:dyDescent="0.3">
      <c r="B3" s="424"/>
      <c r="C3" s="4"/>
      <c r="D3" s="4"/>
      <c r="E3" s="4"/>
      <c r="F3" s="4"/>
      <c r="G3" s="4"/>
      <c r="H3" s="4"/>
      <c r="I3" s="4"/>
      <c r="J3" s="4"/>
      <c r="K3" s="4"/>
      <c r="L3" s="4"/>
      <c r="M3" s="4"/>
      <c r="N3" s="4"/>
      <c r="O3" s="137"/>
      <c r="P3" s="162"/>
      <c r="R3" s="425" t="str">
        <f ca="1">VLOOKUP(1,GradingAssessment!$I$4:$J$21,2,FALSE)&amp;":"</f>
        <v>Volume from own sources:</v>
      </c>
    </row>
    <row r="4" spans="1:19" ht="37.5" customHeight="1" thickBot="1" x14ac:dyDescent="0.3">
      <c r="B4" s="424"/>
      <c r="C4" s="586" t="s">
        <v>525</v>
      </c>
      <c r="D4" s="587"/>
      <c r="E4" s="587"/>
      <c r="F4" s="587"/>
      <c r="G4" s="587"/>
      <c r="H4" s="587"/>
      <c r="I4" s="587"/>
      <c r="J4" s="587"/>
      <c r="K4" s="587"/>
      <c r="L4" s="587"/>
      <c r="M4" s="587"/>
      <c r="N4" s="588"/>
      <c r="O4" s="137"/>
      <c r="P4" s="162"/>
      <c r="R4" s="426" t="str">
        <f ca="1">VLOOKUP(2,GradingAssessment!$I$4:$J$21,2,FALSE)&amp;":"</f>
        <v>Unbilled metered:</v>
      </c>
    </row>
    <row r="5" spans="1:19" ht="3.75" customHeight="1" thickBot="1" x14ac:dyDescent="0.3">
      <c r="B5" s="424"/>
      <c r="C5" s="13"/>
      <c r="D5" s="13"/>
      <c r="E5" s="13"/>
      <c r="F5" s="13"/>
      <c r="G5" s="13"/>
      <c r="H5" s="4"/>
      <c r="I5" s="4"/>
      <c r="J5" s="4"/>
      <c r="K5" s="4"/>
      <c r="L5" s="4"/>
      <c r="M5" s="4"/>
      <c r="N5" s="4"/>
      <c r="O5" s="137"/>
      <c r="P5" s="162"/>
      <c r="R5" s="427" t="str">
        <f ca="1">VLOOKUP(3,GradingAssessment!$I$4:$J$21,2,FALSE)&amp;":"</f>
        <v>Customer retail unit cost (applied to Apparent Losses):</v>
      </c>
    </row>
    <row r="6" spans="1:19" ht="19.5" customHeight="1" thickTop="1" thickBot="1" x14ac:dyDescent="0.3">
      <c r="B6" s="424"/>
      <c r="C6" s="589" t="s">
        <v>66</v>
      </c>
      <c r="D6" s="590"/>
      <c r="E6" s="590"/>
      <c r="F6" s="591"/>
      <c r="G6" s="591"/>
      <c r="H6" s="591"/>
      <c r="I6" s="591"/>
      <c r="J6" s="591"/>
      <c r="K6" s="591"/>
      <c r="L6" s="591"/>
      <c r="M6" s="591"/>
      <c r="N6" s="592"/>
      <c r="O6" s="137"/>
      <c r="P6" s="162"/>
      <c r="R6" s="39"/>
    </row>
    <row r="7" spans="1:19" ht="15.75" customHeight="1" thickBot="1" x14ac:dyDescent="0.3">
      <c r="B7" s="424"/>
      <c r="C7" s="428"/>
      <c r="D7" s="429" t="s">
        <v>81</v>
      </c>
      <c r="E7" s="430">
        <v>1</v>
      </c>
      <c r="F7" s="430">
        <v>2</v>
      </c>
      <c r="G7" s="430">
        <v>3</v>
      </c>
      <c r="H7" s="430">
        <v>4</v>
      </c>
      <c r="I7" s="430">
        <v>5</v>
      </c>
      <c r="J7" s="430">
        <v>6</v>
      </c>
      <c r="K7" s="430">
        <v>7</v>
      </c>
      <c r="L7" s="430">
        <v>8</v>
      </c>
      <c r="M7" s="430">
        <v>9</v>
      </c>
      <c r="N7" s="430">
        <v>10</v>
      </c>
      <c r="O7" s="137"/>
      <c r="P7" s="162"/>
    </row>
    <row r="8" spans="1:19" ht="9.75" customHeight="1" x14ac:dyDescent="0.25">
      <c r="B8" s="424"/>
      <c r="C8" s="593"/>
      <c r="D8" s="594"/>
      <c r="E8" s="594"/>
      <c r="F8" s="594"/>
      <c r="G8" s="594"/>
      <c r="H8" s="594"/>
      <c r="I8" s="594"/>
      <c r="J8" s="594"/>
      <c r="K8" s="594"/>
      <c r="L8" s="594"/>
      <c r="M8" s="594"/>
      <c r="N8" s="595"/>
      <c r="O8" s="137"/>
      <c r="P8" s="162"/>
    </row>
    <row r="9" spans="1:19" s="442" customFormat="1" ht="122.25" customHeight="1" x14ac:dyDescent="0.2">
      <c r="A9" s="431"/>
      <c r="B9" s="432"/>
      <c r="C9" s="339" t="s">
        <v>50</v>
      </c>
      <c r="D9" s="433" t="s">
        <v>205</v>
      </c>
      <c r="E9" s="433" t="s">
        <v>206</v>
      </c>
      <c r="F9" s="434" t="s">
        <v>494</v>
      </c>
      <c r="G9" s="435" t="s">
        <v>546</v>
      </c>
      <c r="H9" s="434" t="s">
        <v>495</v>
      </c>
      <c r="I9" s="435" t="s">
        <v>547</v>
      </c>
      <c r="J9" s="434" t="s">
        <v>496</v>
      </c>
      <c r="K9" s="435" t="s">
        <v>548</v>
      </c>
      <c r="L9" s="434" t="s">
        <v>498</v>
      </c>
      <c r="M9" s="435" t="s">
        <v>549</v>
      </c>
      <c r="N9" s="436" t="s">
        <v>497</v>
      </c>
      <c r="O9" s="437"/>
      <c r="P9" s="438"/>
      <c r="Q9" s="439">
        <f>'Reporting Worksheet'!E14</f>
        <v>8</v>
      </c>
      <c r="R9" s="440">
        <f ca="1">IF(OR(C9=$R$3,C9=$R$4,C9=$R$5),1,0)</f>
        <v>1</v>
      </c>
      <c r="S9" s="441"/>
    </row>
    <row r="10" spans="1:19" s="442" customFormat="1" ht="99.75" customHeight="1" thickBot="1" x14ac:dyDescent="0.25">
      <c r="A10" s="431"/>
      <c r="B10" s="432"/>
      <c r="C10" s="340" t="s">
        <v>207</v>
      </c>
      <c r="D10" s="378"/>
      <c r="E10" s="443" t="s">
        <v>35</v>
      </c>
      <c r="F10" s="571" t="s">
        <v>36</v>
      </c>
      <c r="G10" s="578"/>
      <c r="H10" s="571" t="s">
        <v>37</v>
      </c>
      <c r="I10" s="579"/>
      <c r="J10" s="571" t="s">
        <v>372</v>
      </c>
      <c r="K10" s="572"/>
      <c r="L10" s="571" t="s">
        <v>373</v>
      </c>
      <c r="M10" s="572"/>
      <c r="N10" s="444" t="s">
        <v>374</v>
      </c>
      <c r="O10" s="437"/>
      <c r="P10" s="438"/>
      <c r="Q10" s="439">
        <f>Q9</f>
        <v>8</v>
      </c>
      <c r="R10" s="440"/>
      <c r="S10" s="441"/>
    </row>
    <row r="11" spans="1:19" s="442" customFormat="1" ht="136.5" customHeight="1" x14ac:dyDescent="0.2">
      <c r="A11" s="431"/>
      <c r="B11" s="432"/>
      <c r="C11" s="339" t="s">
        <v>51</v>
      </c>
      <c r="D11" s="433" t="s">
        <v>208</v>
      </c>
      <c r="E11" s="433" t="s">
        <v>375</v>
      </c>
      <c r="F11" s="434" t="s">
        <v>45</v>
      </c>
      <c r="G11" s="435" t="s">
        <v>546</v>
      </c>
      <c r="H11" s="434" t="s">
        <v>376</v>
      </c>
      <c r="I11" s="435" t="s">
        <v>547</v>
      </c>
      <c r="J11" s="434" t="s">
        <v>302</v>
      </c>
      <c r="K11" s="435" t="s">
        <v>548</v>
      </c>
      <c r="L11" s="434" t="s">
        <v>88</v>
      </c>
      <c r="M11" s="435" t="s">
        <v>549</v>
      </c>
      <c r="N11" s="436" t="s">
        <v>542</v>
      </c>
      <c r="O11" s="437"/>
      <c r="P11" s="438"/>
      <c r="Q11" s="439">
        <f>'Reporting Worksheet'!E15</f>
        <v>8</v>
      </c>
      <c r="R11" s="440">
        <f ca="1">IF(OR(C11=$R$3,C11=$R$4,C11=$R$5),1,0)</f>
        <v>0</v>
      </c>
      <c r="S11" s="441"/>
    </row>
    <row r="12" spans="1:19" s="442" customFormat="1" ht="107.25" customHeight="1" thickBot="1" x14ac:dyDescent="0.25">
      <c r="A12" s="431"/>
      <c r="B12" s="432"/>
      <c r="C12" s="340" t="s">
        <v>429</v>
      </c>
      <c r="D12" s="378"/>
      <c r="E12" s="443" t="s">
        <v>108</v>
      </c>
      <c r="F12" s="571" t="s">
        <v>191</v>
      </c>
      <c r="G12" s="578"/>
      <c r="H12" s="571" t="s">
        <v>109</v>
      </c>
      <c r="I12" s="579"/>
      <c r="J12" s="571" t="s">
        <v>89</v>
      </c>
      <c r="K12" s="572"/>
      <c r="L12" s="571" t="s">
        <v>386</v>
      </c>
      <c r="M12" s="572"/>
      <c r="N12" s="444" t="s">
        <v>442</v>
      </c>
      <c r="O12" s="437"/>
      <c r="P12" s="438"/>
      <c r="Q12" s="439">
        <f>Q11</f>
        <v>8</v>
      </c>
      <c r="R12" s="440"/>
      <c r="S12" s="441"/>
    </row>
    <row r="13" spans="1:19" s="442" customFormat="1" ht="97.5" customHeight="1" x14ac:dyDescent="0.2">
      <c r="A13" s="431"/>
      <c r="B13" s="432"/>
      <c r="C13" s="339" t="s">
        <v>368</v>
      </c>
      <c r="D13" s="433" t="s">
        <v>26</v>
      </c>
      <c r="E13" s="433" t="s">
        <v>27</v>
      </c>
      <c r="F13" s="434" t="s">
        <v>28</v>
      </c>
      <c r="G13" s="435" t="s">
        <v>546</v>
      </c>
      <c r="H13" s="434" t="s">
        <v>197</v>
      </c>
      <c r="I13" s="435" t="s">
        <v>547</v>
      </c>
      <c r="J13" s="434" t="s">
        <v>4</v>
      </c>
      <c r="K13" s="435" t="s">
        <v>548</v>
      </c>
      <c r="L13" s="434" t="s">
        <v>193</v>
      </c>
      <c r="M13" s="435" t="s">
        <v>549</v>
      </c>
      <c r="N13" s="436" t="s">
        <v>31</v>
      </c>
      <c r="O13" s="437"/>
      <c r="P13" s="438"/>
      <c r="Q13" s="439" t="str">
        <f>'Reporting Worksheet'!E16</f>
        <v>n/a</v>
      </c>
      <c r="R13" s="440">
        <f ca="1">IF(OR(C13=$R$3,C13=$R$4,C13=$R$5),1,0)</f>
        <v>0</v>
      </c>
      <c r="S13" s="441"/>
    </row>
    <row r="14" spans="1:19" s="442" customFormat="1" ht="118.5" customHeight="1" thickBot="1" x14ac:dyDescent="0.25">
      <c r="A14" s="431"/>
      <c r="B14" s="432"/>
      <c r="C14" s="340" t="s">
        <v>484</v>
      </c>
      <c r="D14" s="378"/>
      <c r="E14" s="443" t="s">
        <v>261</v>
      </c>
      <c r="F14" s="571" t="s">
        <v>73</v>
      </c>
      <c r="G14" s="578"/>
      <c r="H14" s="571" t="s">
        <v>74</v>
      </c>
      <c r="I14" s="579"/>
      <c r="J14" s="571" t="s">
        <v>194</v>
      </c>
      <c r="K14" s="572"/>
      <c r="L14" s="571" t="s">
        <v>373</v>
      </c>
      <c r="M14" s="572"/>
      <c r="N14" s="444" t="s">
        <v>374</v>
      </c>
      <c r="O14" s="437"/>
      <c r="P14" s="438"/>
      <c r="Q14" s="439" t="str">
        <f>Q13</f>
        <v>n/a</v>
      </c>
      <c r="R14" s="440"/>
      <c r="S14" s="441"/>
    </row>
    <row r="15" spans="1:19" s="442" customFormat="1" ht="99.75" customHeight="1" x14ac:dyDescent="0.2">
      <c r="A15" s="431"/>
      <c r="B15" s="432"/>
      <c r="C15" s="339" t="s">
        <v>369</v>
      </c>
      <c r="D15" s="433" t="s">
        <v>29</v>
      </c>
      <c r="E15" s="433" t="s">
        <v>30</v>
      </c>
      <c r="F15" s="434" t="s">
        <v>195</v>
      </c>
      <c r="G15" s="435" t="s">
        <v>546</v>
      </c>
      <c r="H15" s="434" t="s">
        <v>32</v>
      </c>
      <c r="I15" s="435" t="s">
        <v>547</v>
      </c>
      <c r="J15" s="434" t="s">
        <v>508</v>
      </c>
      <c r="K15" s="435" t="s">
        <v>548</v>
      </c>
      <c r="L15" s="434" t="s">
        <v>507</v>
      </c>
      <c r="M15" s="435" t="s">
        <v>549</v>
      </c>
      <c r="N15" s="436" t="s">
        <v>33</v>
      </c>
      <c r="O15" s="437"/>
      <c r="P15" s="438"/>
      <c r="Q15" s="439" t="str">
        <f>'Reporting Worksheet'!E17</f>
        <v>n/a</v>
      </c>
      <c r="R15" s="440">
        <f ca="1">IF(OR(C15=$R$3,C15=$R$4,C15=$R$5),1,0)</f>
        <v>0</v>
      </c>
      <c r="S15" s="441"/>
    </row>
    <row r="16" spans="1:19" s="442" customFormat="1" ht="109.5" customHeight="1" thickBot="1" x14ac:dyDescent="0.25">
      <c r="A16" s="431"/>
      <c r="B16" s="432"/>
      <c r="C16" s="340" t="s">
        <v>485</v>
      </c>
      <c r="D16" s="378"/>
      <c r="E16" s="443" t="s">
        <v>75</v>
      </c>
      <c r="F16" s="571" t="s">
        <v>76</v>
      </c>
      <c r="G16" s="578"/>
      <c r="H16" s="571" t="s">
        <v>77</v>
      </c>
      <c r="I16" s="579"/>
      <c r="J16" s="571" t="s">
        <v>416</v>
      </c>
      <c r="K16" s="572"/>
      <c r="L16" s="571" t="s">
        <v>373</v>
      </c>
      <c r="M16" s="572"/>
      <c r="N16" s="444" t="s">
        <v>374</v>
      </c>
      <c r="O16" s="437"/>
      <c r="P16" s="438"/>
      <c r="Q16" s="439" t="str">
        <f>Q15</f>
        <v>n/a</v>
      </c>
      <c r="R16" s="440"/>
      <c r="S16" s="441"/>
    </row>
    <row r="17" spans="1:19" s="448" customFormat="1" ht="22.5" customHeight="1" x14ac:dyDescent="0.25">
      <c r="A17" s="445"/>
      <c r="B17" s="446"/>
      <c r="C17" s="580" t="s">
        <v>278</v>
      </c>
      <c r="D17" s="581"/>
      <c r="E17" s="581"/>
      <c r="F17" s="581"/>
      <c r="G17" s="581"/>
      <c r="H17" s="581"/>
      <c r="I17" s="581"/>
      <c r="J17" s="581"/>
      <c r="K17" s="581"/>
      <c r="L17" s="581"/>
      <c r="M17" s="581"/>
      <c r="N17" s="582"/>
      <c r="O17" s="141"/>
      <c r="P17" s="447"/>
      <c r="R17" s="449"/>
      <c r="S17" s="450"/>
    </row>
    <row r="18" spans="1:19" s="442" customFormat="1" ht="221.25" customHeight="1" x14ac:dyDescent="0.2">
      <c r="A18" s="431"/>
      <c r="B18" s="432"/>
      <c r="C18" s="339" t="s">
        <v>52</v>
      </c>
      <c r="D18" s="433" t="s">
        <v>292</v>
      </c>
      <c r="E18" s="433" t="s">
        <v>444</v>
      </c>
      <c r="F18" s="434" t="s">
        <v>257</v>
      </c>
      <c r="G18" s="435" t="s">
        <v>546</v>
      </c>
      <c r="H18" s="434" t="s">
        <v>90</v>
      </c>
      <c r="I18" s="435" t="s">
        <v>547</v>
      </c>
      <c r="J18" s="434" t="s">
        <v>91</v>
      </c>
      <c r="K18" s="435" t="s">
        <v>548</v>
      </c>
      <c r="L18" s="434" t="s">
        <v>505</v>
      </c>
      <c r="M18" s="435" t="s">
        <v>549</v>
      </c>
      <c r="N18" s="436" t="s">
        <v>433</v>
      </c>
      <c r="O18" s="437"/>
      <c r="P18" s="438"/>
      <c r="Q18" s="439">
        <f>'Reporting Worksheet'!E23</f>
        <v>8</v>
      </c>
      <c r="R18" s="440">
        <f ca="1">IF(OR(C18=$R$3,C18=$R$4,C18=$R$5),1,0)</f>
        <v>0</v>
      </c>
      <c r="S18" s="441"/>
    </row>
    <row r="19" spans="1:19" s="442" customFormat="1" ht="175.5" customHeight="1" thickBot="1" x14ac:dyDescent="0.25">
      <c r="A19" s="431"/>
      <c r="B19" s="432"/>
      <c r="C19" s="340" t="s">
        <v>486</v>
      </c>
      <c r="D19" s="451" t="s">
        <v>487</v>
      </c>
      <c r="E19" s="443" t="s">
        <v>417</v>
      </c>
      <c r="F19" s="571" t="s">
        <v>506</v>
      </c>
      <c r="G19" s="578"/>
      <c r="H19" s="571" t="s">
        <v>167</v>
      </c>
      <c r="I19" s="579"/>
      <c r="J19" s="571" t="s">
        <v>168</v>
      </c>
      <c r="K19" s="572"/>
      <c r="L19" s="571" t="s">
        <v>418</v>
      </c>
      <c r="M19" s="572"/>
      <c r="N19" s="444" t="s">
        <v>169</v>
      </c>
      <c r="O19" s="437"/>
      <c r="P19" s="438"/>
      <c r="Q19" s="439">
        <f>Q18</f>
        <v>8</v>
      </c>
      <c r="R19" s="440"/>
      <c r="S19" s="441"/>
    </row>
    <row r="20" spans="1:19" s="442" customFormat="1" ht="203.25" customHeight="1" x14ac:dyDescent="0.2">
      <c r="A20" s="431"/>
      <c r="B20" s="432"/>
      <c r="C20" s="339" t="s">
        <v>53</v>
      </c>
      <c r="D20" s="433" t="s">
        <v>100</v>
      </c>
      <c r="E20" s="433" t="s">
        <v>171</v>
      </c>
      <c r="F20" s="434" t="s">
        <v>172</v>
      </c>
      <c r="G20" s="435" t="s">
        <v>546</v>
      </c>
      <c r="H20" s="434" t="s">
        <v>488</v>
      </c>
      <c r="I20" s="435" t="s">
        <v>547</v>
      </c>
      <c r="J20" s="434" t="s">
        <v>101</v>
      </c>
      <c r="K20" s="435" t="s">
        <v>548</v>
      </c>
      <c r="L20" s="434" t="s">
        <v>258</v>
      </c>
      <c r="M20" s="435" t="s">
        <v>549</v>
      </c>
      <c r="N20" s="436" t="s">
        <v>102</v>
      </c>
      <c r="O20" s="437"/>
      <c r="P20" s="438"/>
      <c r="Q20" s="439">
        <f>'Reporting Worksheet'!E24</f>
        <v>8</v>
      </c>
      <c r="R20" s="440">
        <f ca="1">IF(OR(C20=$R$3,C20=$R$4,C20=$R$5),1,0)</f>
        <v>0</v>
      </c>
      <c r="S20" s="452"/>
    </row>
    <row r="21" spans="1:19" s="442" customFormat="1" ht="135.75" customHeight="1" thickBot="1" x14ac:dyDescent="0.25">
      <c r="A21" s="431"/>
      <c r="B21" s="432"/>
      <c r="C21" s="340" t="s">
        <v>489</v>
      </c>
      <c r="D21" s="378"/>
      <c r="E21" s="443" t="s">
        <v>173</v>
      </c>
      <c r="F21" s="571" t="s">
        <v>596</v>
      </c>
      <c r="G21" s="572"/>
      <c r="H21" s="571" t="s">
        <v>78</v>
      </c>
      <c r="I21" s="572"/>
      <c r="J21" s="571" t="s">
        <v>103</v>
      </c>
      <c r="K21" s="572"/>
      <c r="L21" s="571" t="s">
        <v>434</v>
      </c>
      <c r="M21" s="572"/>
      <c r="N21" s="444" t="s">
        <v>79</v>
      </c>
      <c r="O21" s="437"/>
      <c r="P21" s="438"/>
      <c r="Q21" s="439">
        <f>Q20</f>
        <v>8</v>
      </c>
      <c r="R21" s="440"/>
      <c r="S21" s="441"/>
    </row>
    <row r="22" spans="1:19" s="442" customFormat="1" ht="202.5" customHeight="1" x14ac:dyDescent="0.2">
      <c r="A22" s="431"/>
      <c r="B22" s="432"/>
      <c r="C22" s="339" t="s">
        <v>54</v>
      </c>
      <c r="D22" s="433" t="s">
        <v>445</v>
      </c>
      <c r="E22" s="433" t="s">
        <v>560</v>
      </c>
      <c r="F22" s="434" t="s">
        <v>561</v>
      </c>
      <c r="G22" s="435" t="s">
        <v>546</v>
      </c>
      <c r="H22" s="434" t="s">
        <v>157</v>
      </c>
      <c r="I22" s="435" t="s">
        <v>547</v>
      </c>
      <c r="J22" s="434" t="s">
        <v>189</v>
      </c>
      <c r="K22" s="435" t="s">
        <v>548</v>
      </c>
      <c r="L22" s="434" t="s">
        <v>190</v>
      </c>
      <c r="M22" s="435" t="s">
        <v>549</v>
      </c>
      <c r="N22" s="436" t="s">
        <v>84</v>
      </c>
      <c r="O22" s="437"/>
      <c r="P22" s="438"/>
      <c r="Q22" s="439">
        <f>'Reporting Worksheet'!E25</f>
        <v>5</v>
      </c>
      <c r="R22" s="440">
        <f ca="1">IF(OR(C22=$R$3,C22=$R$4,C22=$R$5),1,0)</f>
        <v>1</v>
      </c>
      <c r="S22" s="441"/>
    </row>
    <row r="23" spans="1:19" s="442" customFormat="1" ht="158.25" thickBot="1" x14ac:dyDescent="0.25">
      <c r="A23" s="431"/>
      <c r="B23" s="432"/>
      <c r="C23" s="340" t="s">
        <v>490</v>
      </c>
      <c r="D23" s="378"/>
      <c r="E23" s="443" t="s">
        <v>158</v>
      </c>
      <c r="F23" s="571" t="s">
        <v>387</v>
      </c>
      <c r="G23" s="572"/>
      <c r="H23" s="571" t="s">
        <v>21</v>
      </c>
      <c r="I23" s="572"/>
      <c r="J23" s="571" t="s">
        <v>435</v>
      </c>
      <c r="K23" s="572"/>
      <c r="L23" s="571" t="s">
        <v>388</v>
      </c>
      <c r="M23" s="572"/>
      <c r="N23" s="444" t="s">
        <v>218</v>
      </c>
      <c r="O23" s="437"/>
      <c r="P23" s="438"/>
      <c r="Q23" s="439">
        <f>Q22</f>
        <v>5</v>
      </c>
      <c r="R23" s="440"/>
      <c r="S23" s="441"/>
    </row>
    <row r="24" spans="1:19" s="442" customFormat="1" ht="180.75" customHeight="1" x14ac:dyDescent="0.2">
      <c r="A24" s="431"/>
      <c r="B24" s="432"/>
      <c r="C24" s="339" t="s">
        <v>55</v>
      </c>
      <c r="D24" s="410"/>
      <c r="E24" s="433" t="s">
        <v>291</v>
      </c>
      <c r="F24" s="434" t="s">
        <v>491</v>
      </c>
      <c r="G24" s="435" t="s">
        <v>546</v>
      </c>
      <c r="H24" s="434" t="s">
        <v>389</v>
      </c>
      <c r="I24" s="435" t="s">
        <v>446</v>
      </c>
      <c r="J24" s="434" t="s">
        <v>378</v>
      </c>
      <c r="K24" s="435" t="s">
        <v>548</v>
      </c>
      <c r="L24" s="434" t="s">
        <v>236</v>
      </c>
      <c r="M24" s="435" t="s">
        <v>549</v>
      </c>
      <c r="N24" s="436" t="s">
        <v>466</v>
      </c>
      <c r="O24" s="437"/>
      <c r="P24" s="438"/>
      <c r="Q24" s="439">
        <f>'Reporting Worksheet'!E26</f>
        <v>0</v>
      </c>
      <c r="R24" s="440">
        <f ca="1">IF(OR(C24=$R$3,C24=$R$4,C24=$R$5),1,0)</f>
        <v>0</v>
      </c>
      <c r="S24" s="441"/>
    </row>
    <row r="25" spans="1:19" s="442" customFormat="1" ht="183.75" customHeight="1" thickBot="1" x14ac:dyDescent="0.25">
      <c r="A25" s="431"/>
      <c r="B25" s="432"/>
      <c r="C25" s="340" t="s">
        <v>104</v>
      </c>
      <c r="D25" s="378"/>
      <c r="E25" s="443" t="s">
        <v>390</v>
      </c>
      <c r="F25" s="571" t="s">
        <v>309</v>
      </c>
      <c r="G25" s="572"/>
      <c r="H25" s="443" t="s">
        <v>428</v>
      </c>
      <c r="I25" s="443" t="s">
        <v>22</v>
      </c>
      <c r="J25" s="571" t="s">
        <v>23</v>
      </c>
      <c r="K25" s="572"/>
      <c r="L25" s="571" t="s">
        <v>621</v>
      </c>
      <c r="M25" s="572"/>
      <c r="N25" s="444" t="s">
        <v>296</v>
      </c>
      <c r="O25" s="437"/>
      <c r="P25" s="438"/>
      <c r="Q25" s="439">
        <f>Q24</f>
        <v>0</v>
      </c>
      <c r="R25" s="440"/>
      <c r="S25" s="441"/>
    </row>
    <row r="26" spans="1:19" s="448" customFormat="1" ht="22.5" customHeight="1" x14ac:dyDescent="0.25">
      <c r="A26" s="445"/>
      <c r="B26" s="446"/>
      <c r="C26" s="580" t="s">
        <v>229</v>
      </c>
      <c r="D26" s="581"/>
      <c r="E26" s="581"/>
      <c r="F26" s="581"/>
      <c r="G26" s="581"/>
      <c r="H26" s="581"/>
      <c r="I26" s="581"/>
      <c r="J26" s="581"/>
      <c r="K26" s="581"/>
      <c r="L26" s="581"/>
      <c r="M26" s="581"/>
      <c r="N26" s="582"/>
      <c r="O26" s="141"/>
      <c r="P26" s="447"/>
      <c r="R26" s="449"/>
      <c r="S26" s="450"/>
    </row>
    <row r="27" spans="1:19" s="442" customFormat="1" ht="120" customHeight="1" x14ac:dyDescent="0.2">
      <c r="A27" s="431"/>
      <c r="B27" s="432"/>
      <c r="C27" s="339" t="s">
        <v>56</v>
      </c>
      <c r="D27" s="380"/>
      <c r="E27" s="433" t="s">
        <v>147</v>
      </c>
      <c r="F27" s="434" t="s">
        <v>187</v>
      </c>
      <c r="G27" s="435" t="s">
        <v>188</v>
      </c>
      <c r="H27" s="434" t="s">
        <v>467</v>
      </c>
      <c r="I27" s="435" t="s">
        <v>447</v>
      </c>
      <c r="J27" s="434" t="s">
        <v>379</v>
      </c>
      <c r="K27" s="435" t="s">
        <v>548</v>
      </c>
      <c r="L27" s="434" t="s">
        <v>174</v>
      </c>
      <c r="M27" s="435" t="s">
        <v>549</v>
      </c>
      <c r="N27" s="436" t="s">
        <v>448</v>
      </c>
      <c r="O27" s="437"/>
      <c r="P27" s="438"/>
      <c r="Q27" s="439">
        <f>'Reporting Worksheet'!E38</f>
        <v>0</v>
      </c>
      <c r="R27" s="440">
        <f ca="1">IF(OR(C27=$R$3,C27=$R$4,C27=$R$5),1,0)</f>
        <v>0</v>
      </c>
      <c r="S27" s="441"/>
    </row>
    <row r="28" spans="1:19" s="442" customFormat="1" ht="177.75" customHeight="1" thickBot="1" x14ac:dyDescent="0.25">
      <c r="A28" s="431"/>
      <c r="B28" s="432"/>
      <c r="C28" s="340" t="s">
        <v>105</v>
      </c>
      <c r="D28" s="381"/>
      <c r="E28" s="443" t="s">
        <v>449</v>
      </c>
      <c r="F28" s="571" t="s">
        <v>450</v>
      </c>
      <c r="G28" s="572"/>
      <c r="H28" s="443" t="s">
        <v>451</v>
      </c>
      <c r="I28" s="443" t="s">
        <v>22</v>
      </c>
      <c r="J28" s="571" t="s">
        <v>452</v>
      </c>
      <c r="K28" s="572"/>
      <c r="L28" s="571" t="s">
        <v>297</v>
      </c>
      <c r="M28" s="572"/>
      <c r="N28" s="444" t="s">
        <v>298</v>
      </c>
      <c r="O28" s="437"/>
      <c r="P28" s="438"/>
      <c r="Q28" s="439">
        <f>Q27</f>
        <v>0</v>
      </c>
      <c r="R28" s="440"/>
      <c r="S28" s="441"/>
    </row>
    <row r="29" spans="1:19" s="442" customFormat="1" ht="124.5" customHeight="1" x14ac:dyDescent="0.2">
      <c r="A29" s="431"/>
      <c r="B29" s="432"/>
      <c r="C29" s="339" t="s">
        <v>57</v>
      </c>
      <c r="D29" s="433" t="s">
        <v>259</v>
      </c>
      <c r="E29" s="433" t="s">
        <v>453</v>
      </c>
      <c r="F29" s="434" t="s">
        <v>106</v>
      </c>
      <c r="G29" s="435" t="s">
        <v>546</v>
      </c>
      <c r="H29" s="434" t="s">
        <v>454</v>
      </c>
      <c r="I29" s="435" t="s">
        <v>547</v>
      </c>
      <c r="J29" s="434" t="s">
        <v>499</v>
      </c>
      <c r="K29" s="435" t="s">
        <v>548</v>
      </c>
      <c r="L29" s="434" t="s">
        <v>41</v>
      </c>
      <c r="M29" s="435" t="s">
        <v>549</v>
      </c>
      <c r="N29" s="436" t="s">
        <v>99</v>
      </c>
      <c r="O29" s="437"/>
      <c r="P29" s="438"/>
      <c r="Q29" s="439">
        <f>'Reporting Worksheet'!E42</f>
        <v>6</v>
      </c>
      <c r="R29" s="440">
        <f ca="1">IF(OR(C29=$R$3,C29=$R$4,C29=$R$5),1,0)</f>
        <v>0</v>
      </c>
      <c r="S29" s="441"/>
    </row>
    <row r="30" spans="1:19" s="442" customFormat="1" ht="158.25" thickBot="1" x14ac:dyDescent="0.25">
      <c r="A30" s="431"/>
      <c r="B30" s="432"/>
      <c r="C30" s="340" t="s">
        <v>500</v>
      </c>
      <c r="D30" s="451" t="s">
        <v>487</v>
      </c>
      <c r="E30" s="443" t="s">
        <v>523</v>
      </c>
      <c r="F30" s="571" t="s">
        <v>419</v>
      </c>
      <c r="G30" s="572"/>
      <c r="H30" s="571" t="s">
        <v>299</v>
      </c>
      <c r="I30" s="572"/>
      <c r="J30" s="571" t="s">
        <v>300</v>
      </c>
      <c r="K30" s="572"/>
      <c r="L30" s="571" t="s">
        <v>391</v>
      </c>
      <c r="M30" s="572"/>
      <c r="N30" s="444" t="s">
        <v>392</v>
      </c>
      <c r="O30" s="437"/>
      <c r="P30" s="438"/>
      <c r="Q30" s="439">
        <f>Q29</f>
        <v>6</v>
      </c>
      <c r="R30" s="440"/>
      <c r="S30" s="441"/>
    </row>
    <row r="31" spans="1:19" s="442" customFormat="1" ht="173.25" customHeight="1" x14ac:dyDescent="0.2">
      <c r="A31" s="431"/>
      <c r="B31" s="432"/>
      <c r="C31" s="339" t="s">
        <v>370</v>
      </c>
      <c r="D31" s="433" t="s">
        <v>260</v>
      </c>
      <c r="E31" s="433" t="s">
        <v>1</v>
      </c>
      <c r="F31" s="434" t="s">
        <v>2</v>
      </c>
      <c r="G31" s="435" t="s">
        <v>546</v>
      </c>
      <c r="H31" s="434" t="s">
        <v>3</v>
      </c>
      <c r="I31" s="435" t="s">
        <v>547</v>
      </c>
      <c r="J31" s="434" t="s">
        <v>524</v>
      </c>
      <c r="K31" s="435" t="s">
        <v>548</v>
      </c>
      <c r="L31" s="434" t="s">
        <v>384</v>
      </c>
      <c r="M31" s="435" t="s">
        <v>549</v>
      </c>
      <c r="N31" s="436" t="s">
        <v>385</v>
      </c>
      <c r="O31" s="437"/>
      <c r="P31" s="438"/>
      <c r="Q31" s="439">
        <f>'Reporting Worksheet'!E43</f>
        <v>6</v>
      </c>
      <c r="R31" s="440">
        <f ca="1">IF(OR(C31=$R$3,C31=$R$4,C31=$R$5),1,0)</f>
        <v>0</v>
      </c>
      <c r="S31" s="441"/>
    </row>
    <row r="32" spans="1:19" s="442" customFormat="1" ht="135.75" customHeight="1" thickBot="1" x14ac:dyDescent="0.25">
      <c r="A32" s="431"/>
      <c r="B32" s="432"/>
      <c r="C32" s="340" t="s">
        <v>501</v>
      </c>
      <c r="D32" s="378"/>
      <c r="E32" s="443" t="s">
        <v>594</v>
      </c>
      <c r="F32" s="571" t="s">
        <v>482</v>
      </c>
      <c r="G32" s="572"/>
      <c r="H32" s="571" t="s">
        <v>566</v>
      </c>
      <c r="I32" s="572"/>
      <c r="J32" s="571" t="s">
        <v>483</v>
      </c>
      <c r="K32" s="572"/>
      <c r="L32" s="571" t="s">
        <v>8</v>
      </c>
      <c r="M32" s="572"/>
      <c r="N32" s="444" t="s">
        <v>595</v>
      </c>
      <c r="O32" s="437"/>
      <c r="P32" s="438"/>
      <c r="Q32" s="439">
        <f>Q31</f>
        <v>6</v>
      </c>
      <c r="R32" s="440"/>
      <c r="S32" s="441"/>
    </row>
    <row r="33" spans="1:19" s="448" customFormat="1" ht="18" customHeight="1" x14ac:dyDescent="0.25">
      <c r="A33" s="445"/>
      <c r="B33" s="446"/>
      <c r="C33" s="580" t="s">
        <v>535</v>
      </c>
      <c r="D33" s="581"/>
      <c r="E33" s="581"/>
      <c r="F33" s="581"/>
      <c r="G33" s="581"/>
      <c r="H33" s="581"/>
      <c r="I33" s="581"/>
      <c r="J33" s="581"/>
      <c r="K33" s="581"/>
      <c r="L33" s="581"/>
      <c r="M33" s="581"/>
      <c r="N33" s="582"/>
      <c r="O33" s="141"/>
      <c r="P33" s="447"/>
      <c r="R33" s="449"/>
      <c r="S33" s="450"/>
    </row>
    <row r="34" spans="1:19" s="442" customFormat="1" ht="107.25" customHeight="1" x14ac:dyDescent="0.2">
      <c r="A34" s="431"/>
      <c r="B34" s="432"/>
      <c r="C34" s="339" t="s">
        <v>58</v>
      </c>
      <c r="D34" s="410"/>
      <c r="E34" s="433" t="s">
        <v>380</v>
      </c>
      <c r="F34" s="434" t="s">
        <v>324</v>
      </c>
      <c r="G34" s="435" t="s">
        <v>546</v>
      </c>
      <c r="H34" s="434" t="s">
        <v>325</v>
      </c>
      <c r="I34" s="435" t="s">
        <v>547</v>
      </c>
      <c r="J34" s="434" t="s">
        <v>140</v>
      </c>
      <c r="K34" s="435" t="s">
        <v>548</v>
      </c>
      <c r="L34" s="434" t="s">
        <v>430</v>
      </c>
      <c r="M34" s="435" t="s">
        <v>549</v>
      </c>
      <c r="N34" s="436" t="s">
        <v>443</v>
      </c>
      <c r="O34" s="437"/>
      <c r="P34" s="438"/>
      <c r="Q34" s="439">
        <f>'Reporting Worksheet'!E62</f>
        <v>8</v>
      </c>
      <c r="R34" s="440">
        <f ca="1">IF(OR(C34=$R$3,C34=$R$4,C34=$R$5),1,0)</f>
        <v>0</v>
      </c>
      <c r="S34" s="441"/>
    </row>
    <row r="35" spans="1:19" s="442" customFormat="1" ht="153.75" customHeight="1" thickBot="1" x14ac:dyDescent="0.25">
      <c r="A35" s="431"/>
      <c r="B35" s="432"/>
      <c r="C35" s="340" t="s">
        <v>502</v>
      </c>
      <c r="D35" s="378"/>
      <c r="E35" s="443" t="s">
        <v>5</v>
      </c>
      <c r="F35" s="571" t="s">
        <v>432</v>
      </c>
      <c r="G35" s="572"/>
      <c r="H35" s="571" t="s">
        <v>198</v>
      </c>
      <c r="I35" s="572"/>
      <c r="J35" s="571" t="s">
        <v>199</v>
      </c>
      <c r="K35" s="572"/>
      <c r="L35" s="571" t="s">
        <v>200</v>
      </c>
      <c r="M35" s="572"/>
      <c r="N35" s="444" t="s">
        <v>201</v>
      </c>
      <c r="O35" s="437"/>
      <c r="P35" s="438"/>
      <c r="Q35" s="439">
        <f>Q34</f>
        <v>8</v>
      </c>
      <c r="R35" s="440"/>
      <c r="S35" s="441"/>
    </row>
    <row r="36" spans="1:19" s="442" customFormat="1" ht="146.25" x14ac:dyDescent="0.2">
      <c r="A36" s="431"/>
      <c r="B36" s="432"/>
      <c r="C36" s="339" t="s">
        <v>47</v>
      </c>
      <c r="D36" s="410"/>
      <c r="E36" s="433" t="s">
        <v>567</v>
      </c>
      <c r="F36" s="434" t="s">
        <v>568</v>
      </c>
      <c r="G36" s="435" t="s">
        <v>546</v>
      </c>
      <c r="H36" s="434" t="s">
        <v>593</v>
      </c>
      <c r="I36" s="435" t="s">
        <v>547</v>
      </c>
      <c r="J36" s="434" t="s">
        <v>503</v>
      </c>
      <c r="K36" s="435" t="s">
        <v>548</v>
      </c>
      <c r="L36" s="434" t="s">
        <v>34</v>
      </c>
      <c r="M36" s="435" t="s">
        <v>549</v>
      </c>
      <c r="N36" s="436" t="s">
        <v>6</v>
      </c>
      <c r="O36" s="437"/>
      <c r="P36" s="438"/>
      <c r="Q36" s="439">
        <f>'Reporting Worksheet'!E63</f>
        <v>8</v>
      </c>
      <c r="R36" s="440">
        <f ca="1">IF(OR(C36=$R$3,C36=$R$4,C36=$R$5),1,0)</f>
        <v>0</v>
      </c>
      <c r="S36" s="441"/>
    </row>
    <row r="37" spans="1:19" s="442" customFormat="1" ht="120.75" customHeight="1" thickBot="1" x14ac:dyDescent="0.25">
      <c r="A37" s="431"/>
      <c r="B37" s="432"/>
      <c r="C37" s="340" t="s">
        <v>504</v>
      </c>
      <c r="D37" s="378"/>
      <c r="E37" s="443" t="s">
        <v>202</v>
      </c>
      <c r="F37" s="571" t="s">
        <v>602</v>
      </c>
      <c r="G37" s="572"/>
      <c r="H37" s="571" t="s">
        <v>603</v>
      </c>
      <c r="I37" s="572"/>
      <c r="J37" s="571" t="s">
        <v>203</v>
      </c>
      <c r="K37" s="572"/>
      <c r="L37" s="571" t="s">
        <v>301</v>
      </c>
      <c r="M37" s="572"/>
      <c r="N37" s="444" t="s">
        <v>201</v>
      </c>
      <c r="O37" s="437"/>
      <c r="P37" s="438"/>
      <c r="Q37" s="439">
        <f>Q36</f>
        <v>8</v>
      </c>
      <c r="R37" s="440"/>
      <c r="S37" s="441"/>
    </row>
    <row r="38" spans="1:19" s="442" customFormat="1" ht="51.75" customHeight="1" x14ac:dyDescent="0.2">
      <c r="A38" s="431"/>
      <c r="B38" s="432"/>
      <c r="C38" s="567" t="s">
        <v>613</v>
      </c>
      <c r="D38" s="569" t="s">
        <v>82</v>
      </c>
      <c r="E38" s="575" t="s">
        <v>166</v>
      </c>
      <c r="F38" s="576"/>
      <c r="G38" s="576"/>
      <c r="H38" s="576"/>
      <c r="I38" s="576"/>
      <c r="J38" s="576"/>
      <c r="K38" s="576"/>
      <c r="L38" s="576"/>
      <c r="M38" s="577"/>
      <c r="N38" s="573" t="s">
        <v>320</v>
      </c>
      <c r="O38" s="437"/>
      <c r="P38" s="438"/>
      <c r="Q38" s="439">
        <f>Q39</f>
        <v>6</v>
      </c>
      <c r="R38" s="440">
        <f ca="1">IF(OR(C38=$R$3,C38=$R$4,C38=$R$5),1,0)</f>
        <v>0</v>
      </c>
      <c r="S38" s="441"/>
    </row>
    <row r="39" spans="1:19" s="442" customFormat="1" ht="206.25" customHeight="1" x14ac:dyDescent="0.2">
      <c r="A39" s="431"/>
      <c r="B39" s="432"/>
      <c r="C39" s="568"/>
      <c r="D39" s="570"/>
      <c r="E39" s="433" t="s">
        <v>7</v>
      </c>
      <c r="F39" s="434" t="s">
        <v>85</v>
      </c>
      <c r="G39" s="435" t="s">
        <v>546</v>
      </c>
      <c r="H39" s="434" t="s">
        <v>113</v>
      </c>
      <c r="I39" s="435" t="s">
        <v>547</v>
      </c>
      <c r="J39" s="434" t="s">
        <v>96</v>
      </c>
      <c r="K39" s="435" t="s">
        <v>548</v>
      </c>
      <c r="L39" s="434" t="s">
        <v>192</v>
      </c>
      <c r="M39" s="435" t="s">
        <v>549</v>
      </c>
      <c r="N39" s="574"/>
      <c r="O39" s="437"/>
      <c r="P39" s="438"/>
      <c r="Q39" s="439">
        <f>'Reporting Worksheet'!E65</f>
        <v>6</v>
      </c>
      <c r="R39" s="440">
        <f ca="1">IF(OR(C39=$R$3,C39=$R$4,C39=$R$5),1,0)</f>
        <v>0</v>
      </c>
      <c r="S39" s="441"/>
    </row>
    <row r="40" spans="1:19" s="442" customFormat="1" ht="113.25" customHeight="1" thickBot="1" x14ac:dyDescent="0.25">
      <c r="A40" s="431"/>
      <c r="B40" s="432"/>
      <c r="C40" s="340" t="s">
        <v>97</v>
      </c>
      <c r="D40" s="378"/>
      <c r="E40" s="443" t="s">
        <v>24</v>
      </c>
      <c r="F40" s="571" t="s">
        <v>98</v>
      </c>
      <c r="G40" s="572"/>
      <c r="H40" s="571" t="s">
        <v>25</v>
      </c>
      <c r="I40" s="572"/>
      <c r="J40" s="571" t="s">
        <v>437</v>
      </c>
      <c r="K40" s="572"/>
      <c r="L40" s="571" t="s">
        <v>438</v>
      </c>
      <c r="M40" s="572"/>
      <c r="N40" s="444" t="s">
        <v>201</v>
      </c>
      <c r="O40" s="437"/>
      <c r="P40" s="438"/>
      <c r="Q40" s="439">
        <f>Q39</f>
        <v>6</v>
      </c>
      <c r="R40" s="440"/>
      <c r="S40" s="441"/>
    </row>
    <row r="41" spans="1:19" s="442" customFormat="1" ht="221.25" customHeight="1" x14ac:dyDescent="0.2">
      <c r="A41" s="431"/>
      <c r="B41" s="432"/>
      <c r="C41" s="339" t="s">
        <v>59</v>
      </c>
      <c r="D41" s="382"/>
      <c r="E41" s="433" t="s">
        <v>209</v>
      </c>
      <c r="F41" s="434" t="s">
        <v>86</v>
      </c>
      <c r="G41" s="435" t="s">
        <v>546</v>
      </c>
      <c r="H41" s="434" t="s">
        <v>323</v>
      </c>
      <c r="I41" s="435" t="s">
        <v>547</v>
      </c>
      <c r="J41" s="434" t="s">
        <v>18</v>
      </c>
      <c r="K41" s="435" t="s">
        <v>548</v>
      </c>
      <c r="L41" s="434" t="s">
        <v>19</v>
      </c>
      <c r="M41" s="435" t="s">
        <v>549</v>
      </c>
      <c r="N41" s="436" t="s">
        <v>232</v>
      </c>
      <c r="O41" s="437"/>
      <c r="P41" s="438"/>
      <c r="Q41" s="439">
        <f>'Reporting Worksheet'!E67</f>
        <v>6</v>
      </c>
      <c r="R41" s="440">
        <f ca="1">IF(OR(C41=$R$3,C41=$R$4,C41=$R$5),1,0)</f>
        <v>0</v>
      </c>
      <c r="S41" s="441"/>
    </row>
    <row r="42" spans="1:19" s="442" customFormat="1" ht="161.25" customHeight="1" thickBot="1" x14ac:dyDescent="0.25">
      <c r="A42" s="431"/>
      <c r="B42" s="432"/>
      <c r="C42" s="340" t="s">
        <v>233</v>
      </c>
      <c r="D42" s="379"/>
      <c r="E42" s="443" t="s">
        <v>377</v>
      </c>
      <c r="F42" s="596" t="s">
        <v>0</v>
      </c>
      <c r="G42" s="597"/>
      <c r="H42" s="596" t="s">
        <v>234</v>
      </c>
      <c r="I42" s="597"/>
      <c r="J42" s="596" t="s">
        <v>112</v>
      </c>
      <c r="K42" s="597"/>
      <c r="L42" s="596" t="s">
        <v>439</v>
      </c>
      <c r="M42" s="597"/>
      <c r="N42" s="444" t="s">
        <v>80</v>
      </c>
      <c r="O42" s="437"/>
      <c r="P42" s="438"/>
      <c r="Q42" s="439">
        <f>Q41</f>
        <v>6</v>
      </c>
      <c r="R42" s="440"/>
      <c r="S42" s="441"/>
    </row>
    <row r="43" spans="1:19" s="448" customFormat="1" ht="23.25" customHeight="1" x14ac:dyDescent="0.25">
      <c r="A43" s="445"/>
      <c r="B43" s="446"/>
      <c r="C43" s="580" t="s">
        <v>331</v>
      </c>
      <c r="D43" s="581"/>
      <c r="E43" s="581"/>
      <c r="F43" s="581"/>
      <c r="G43" s="581"/>
      <c r="H43" s="581"/>
      <c r="I43" s="581"/>
      <c r="J43" s="581"/>
      <c r="K43" s="581"/>
      <c r="L43" s="581"/>
      <c r="M43" s="581"/>
      <c r="N43" s="582"/>
      <c r="O43" s="141"/>
      <c r="P43" s="447"/>
      <c r="R43" s="449"/>
      <c r="S43" s="450"/>
    </row>
    <row r="44" spans="1:19" s="442" customFormat="1" ht="90" x14ac:dyDescent="0.2">
      <c r="A44" s="431"/>
      <c r="B44" s="432"/>
      <c r="C44" s="339" t="s">
        <v>60</v>
      </c>
      <c r="D44" s="382"/>
      <c r="E44" s="433" t="s">
        <v>440</v>
      </c>
      <c r="F44" s="434" t="s">
        <v>457</v>
      </c>
      <c r="G44" s="435" t="s">
        <v>546</v>
      </c>
      <c r="H44" s="434" t="s">
        <v>554</v>
      </c>
      <c r="I44" s="435" t="s">
        <v>547</v>
      </c>
      <c r="J44" s="434" t="s">
        <v>262</v>
      </c>
      <c r="K44" s="435" t="s">
        <v>548</v>
      </c>
      <c r="L44" s="434" t="s">
        <v>263</v>
      </c>
      <c r="M44" s="435" t="s">
        <v>549</v>
      </c>
      <c r="N44" s="436" t="s">
        <v>492</v>
      </c>
      <c r="O44" s="437"/>
      <c r="P44" s="438"/>
      <c r="Q44" s="439">
        <f>'Reporting Worksheet'!E74</f>
        <v>6</v>
      </c>
      <c r="R44" s="440">
        <f ca="1">IF(OR(C44=$R$3,C44=$R$4,C44=$R$5),1,0)</f>
        <v>0</v>
      </c>
      <c r="S44" s="441"/>
    </row>
    <row r="45" spans="1:19" s="442" customFormat="1" ht="79.5" thickBot="1" x14ac:dyDescent="0.25">
      <c r="A45" s="431"/>
      <c r="B45" s="432"/>
      <c r="C45" s="340" t="s">
        <v>493</v>
      </c>
      <c r="D45" s="378"/>
      <c r="E45" s="443" t="s">
        <v>555</v>
      </c>
      <c r="F45" s="571" t="s">
        <v>70</v>
      </c>
      <c r="G45" s="572"/>
      <c r="H45" s="571" t="s">
        <v>556</v>
      </c>
      <c r="I45" s="572"/>
      <c r="J45" s="571" t="s">
        <v>71</v>
      </c>
      <c r="K45" s="572"/>
      <c r="L45" s="571" t="s">
        <v>72</v>
      </c>
      <c r="M45" s="572"/>
      <c r="N45" s="444" t="s">
        <v>458</v>
      </c>
      <c r="O45" s="437"/>
      <c r="P45" s="438"/>
      <c r="Q45" s="439">
        <f>Q44</f>
        <v>6</v>
      </c>
      <c r="R45" s="440"/>
      <c r="S45" s="441"/>
    </row>
    <row r="46" spans="1:19" s="442" customFormat="1" ht="168.75" x14ac:dyDescent="0.2">
      <c r="A46" s="431"/>
      <c r="B46" s="432"/>
      <c r="C46" s="339" t="s">
        <v>48</v>
      </c>
      <c r="D46" s="382"/>
      <c r="E46" s="433" t="s">
        <v>92</v>
      </c>
      <c r="F46" s="434" t="s">
        <v>459</v>
      </c>
      <c r="G46" s="435" t="s">
        <v>546</v>
      </c>
      <c r="H46" s="434" t="s">
        <v>460</v>
      </c>
      <c r="I46" s="435" t="s">
        <v>461</v>
      </c>
      <c r="J46" s="434" t="s">
        <v>415</v>
      </c>
      <c r="K46" s="435" t="s">
        <v>548</v>
      </c>
      <c r="L46" s="434" t="s">
        <v>93</v>
      </c>
      <c r="M46" s="435" t="s">
        <v>549</v>
      </c>
      <c r="N46" s="436" t="s">
        <v>94</v>
      </c>
      <c r="O46" s="437"/>
      <c r="P46" s="438"/>
      <c r="Q46" s="439">
        <f>'Reporting Worksheet'!E75</f>
        <v>5</v>
      </c>
      <c r="R46" s="440">
        <f ca="1">IF(OR(C46=$R$3,C46=$R$4,C46=$R$5),1,0)</f>
        <v>1</v>
      </c>
      <c r="S46" s="441"/>
    </row>
    <row r="47" spans="1:19" s="442" customFormat="1" ht="102" thickBot="1" x14ac:dyDescent="0.25">
      <c r="A47" s="431"/>
      <c r="B47" s="432"/>
      <c r="C47" s="340" t="s">
        <v>353</v>
      </c>
      <c r="D47" s="378"/>
      <c r="E47" s="443" t="s">
        <v>95</v>
      </c>
      <c r="F47" s="571" t="s">
        <v>354</v>
      </c>
      <c r="G47" s="572"/>
      <c r="H47" s="443" t="s">
        <v>355</v>
      </c>
      <c r="I47" s="443" t="s">
        <v>356</v>
      </c>
      <c r="J47" s="571" t="s">
        <v>357</v>
      </c>
      <c r="K47" s="572"/>
      <c r="L47" s="571" t="s">
        <v>358</v>
      </c>
      <c r="M47" s="572"/>
      <c r="N47" s="444" t="s">
        <v>359</v>
      </c>
      <c r="O47" s="437"/>
      <c r="P47" s="438"/>
      <c r="Q47" s="439">
        <f>Q46</f>
        <v>5</v>
      </c>
      <c r="R47" s="440"/>
      <c r="S47" s="441"/>
    </row>
    <row r="48" spans="1:19" s="442" customFormat="1" ht="146.25" x14ac:dyDescent="0.2">
      <c r="A48" s="431"/>
      <c r="B48" s="432"/>
      <c r="C48" s="339" t="s">
        <v>49</v>
      </c>
      <c r="D48" s="403" t="s">
        <v>87</v>
      </c>
      <c r="E48" s="433" t="s">
        <v>441</v>
      </c>
      <c r="F48" s="434" t="s">
        <v>303</v>
      </c>
      <c r="G48" s="435" t="s">
        <v>546</v>
      </c>
      <c r="H48" s="434" t="s">
        <v>360</v>
      </c>
      <c r="I48" s="435" t="s">
        <v>547</v>
      </c>
      <c r="J48" s="434" t="s">
        <v>304</v>
      </c>
      <c r="K48" s="435" t="s">
        <v>548</v>
      </c>
      <c r="L48" s="434" t="s">
        <v>361</v>
      </c>
      <c r="M48" s="435" t="s">
        <v>549</v>
      </c>
      <c r="N48" s="436" t="s">
        <v>305</v>
      </c>
      <c r="O48" s="437"/>
      <c r="P48" s="438"/>
      <c r="Q48" s="439">
        <f>'Reporting Worksheet'!E76</f>
        <v>7</v>
      </c>
      <c r="R48" s="440">
        <f ca="1">IF(OR(C48=$R$3,C48=$R$4,C48=$R$5),1,0)</f>
        <v>0</v>
      </c>
      <c r="S48" s="441"/>
    </row>
    <row r="49" spans="1:19" s="442" customFormat="1" ht="84" customHeight="1" thickBot="1" x14ac:dyDescent="0.25">
      <c r="A49" s="431"/>
      <c r="B49" s="432"/>
      <c r="C49" s="340" t="s">
        <v>557</v>
      </c>
      <c r="D49" s="378"/>
      <c r="E49" s="443" t="s">
        <v>217</v>
      </c>
      <c r="F49" s="571" t="s">
        <v>70</v>
      </c>
      <c r="G49" s="572"/>
      <c r="H49" s="571" t="s">
        <v>306</v>
      </c>
      <c r="I49" s="572"/>
      <c r="J49" s="571" t="s">
        <v>558</v>
      </c>
      <c r="K49" s="572"/>
      <c r="L49" s="571" t="s">
        <v>72</v>
      </c>
      <c r="M49" s="572"/>
      <c r="N49" s="444" t="s">
        <v>458</v>
      </c>
      <c r="O49" s="437"/>
      <c r="P49" s="438"/>
      <c r="Q49" s="439">
        <f>Q48</f>
        <v>7</v>
      </c>
      <c r="R49" s="440"/>
      <c r="S49" s="441"/>
    </row>
    <row r="50" spans="1:19" ht="12" customHeight="1" thickBot="1" x14ac:dyDescent="0.3">
      <c r="B50" s="453"/>
      <c r="C50" s="160"/>
      <c r="D50" s="160"/>
      <c r="E50" s="160"/>
      <c r="F50" s="160"/>
      <c r="G50" s="160"/>
      <c r="H50" s="160"/>
      <c r="I50" s="160"/>
      <c r="J50" s="160"/>
      <c r="K50" s="160"/>
      <c r="L50" s="160"/>
      <c r="M50" s="160"/>
      <c r="N50" s="160"/>
      <c r="O50" s="161"/>
      <c r="P50" s="162"/>
    </row>
    <row r="51" spans="1:19" ht="9.75" customHeight="1" thickTop="1" x14ac:dyDescent="0.25"/>
    <row r="52" spans="1:19" hidden="1" x14ac:dyDescent="0.25"/>
    <row r="53" spans="1:19" hidden="1" x14ac:dyDescent="0.25"/>
    <row r="54" spans="1:19" hidden="1" x14ac:dyDescent="0.25"/>
    <row r="55" spans="1:19" hidden="1" x14ac:dyDescent="0.25"/>
    <row r="56" spans="1:19" hidden="1" x14ac:dyDescent="0.25"/>
    <row r="57" spans="1:19" hidden="1" x14ac:dyDescent="0.25"/>
    <row r="58" spans="1:19" hidden="1" x14ac:dyDescent="0.25"/>
    <row r="59" spans="1:19" hidden="1" x14ac:dyDescent="0.25"/>
    <row r="60" spans="1:19" hidden="1" x14ac:dyDescent="0.25"/>
    <row r="61" spans="1:19" hidden="1" x14ac:dyDescent="0.25"/>
    <row r="62" spans="1:19" hidden="1" x14ac:dyDescent="0.25"/>
    <row r="63" spans="1:19" hidden="1" x14ac:dyDescent="0.25"/>
    <row r="64" spans="1:19"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sheetData>
  <sheetProtection password="E218" sheet="1" objects="1" scenarios="1"/>
  <mergeCells count="81">
    <mergeCell ref="H45:I45"/>
    <mergeCell ref="J45:K45"/>
    <mergeCell ref="L45:M45"/>
    <mergeCell ref="F49:G49"/>
    <mergeCell ref="H49:I49"/>
    <mergeCell ref="J49:K49"/>
    <mergeCell ref="L49:M49"/>
    <mergeCell ref="F47:G47"/>
    <mergeCell ref="J47:K47"/>
    <mergeCell ref="L47:M47"/>
    <mergeCell ref="F35:G35"/>
    <mergeCell ref="H35:I35"/>
    <mergeCell ref="J35:K35"/>
    <mergeCell ref="L35:M35"/>
    <mergeCell ref="F42:G42"/>
    <mergeCell ref="H42:I42"/>
    <mergeCell ref="J42:K42"/>
    <mergeCell ref="L42:M42"/>
    <mergeCell ref="F45:G45"/>
    <mergeCell ref="F25:G25"/>
    <mergeCell ref="J25:K25"/>
    <mergeCell ref="L25:M25"/>
    <mergeCell ref="F28:G28"/>
    <mergeCell ref="J28:K28"/>
    <mergeCell ref="L28:M28"/>
    <mergeCell ref="C33:N33"/>
    <mergeCell ref="F32:G32"/>
    <mergeCell ref="H32:I32"/>
    <mergeCell ref="C43:N43"/>
    <mergeCell ref="C2:L2"/>
    <mergeCell ref="C4:N4"/>
    <mergeCell ref="C6:N6"/>
    <mergeCell ref="C8:N8"/>
    <mergeCell ref="H12:I12"/>
    <mergeCell ref="J12:K12"/>
    <mergeCell ref="L10:M10"/>
    <mergeCell ref="C17:N17"/>
    <mergeCell ref="C26:N26"/>
    <mergeCell ref="F14:G14"/>
    <mergeCell ref="H14:I14"/>
    <mergeCell ref="J14:K14"/>
    <mergeCell ref="L14:M14"/>
    <mergeCell ref="F10:G10"/>
    <mergeCell ref="H10:I10"/>
    <mergeCell ref="J10:K10"/>
    <mergeCell ref="L12:M12"/>
    <mergeCell ref="F12:G12"/>
    <mergeCell ref="F19:G19"/>
    <mergeCell ref="H19:I19"/>
    <mergeCell ref="J19:K19"/>
    <mergeCell ref="L19:M19"/>
    <mergeCell ref="F16:G16"/>
    <mergeCell ref="H16:I16"/>
    <mergeCell ref="J16:K16"/>
    <mergeCell ref="L16:M16"/>
    <mergeCell ref="F21:G21"/>
    <mergeCell ref="H21:I21"/>
    <mergeCell ref="J21:K21"/>
    <mergeCell ref="L21:M21"/>
    <mergeCell ref="F23:G23"/>
    <mergeCell ref="H23:I23"/>
    <mergeCell ref="J23:K23"/>
    <mergeCell ref="L23:M23"/>
    <mergeCell ref="J32:K32"/>
    <mergeCell ref="L32:M32"/>
    <mergeCell ref="F30:G30"/>
    <mergeCell ref="H30:I30"/>
    <mergeCell ref="J30:K30"/>
    <mergeCell ref="L30:M30"/>
    <mergeCell ref="N38:N39"/>
    <mergeCell ref="E38:M38"/>
    <mergeCell ref="F37:G37"/>
    <mergeCell ref="H37:I37"/>
    <mergeCell ref="J37:K37"/>
    <mergeCell ref="L37:M37"/>
    <mergeCell ref="C38:C39"/>
    <mergeCell ref="D38:D39"/>
    <mergeCell ref="F40:G40"/>
    <mergeCell ref="H40:I40"/>
    <mergeCell ref="J40:K40"/>
    <mergeCell ref="L40:M40"/>
  </mergeCells>
  <phoneticPr fontId="0" type="noConversion"/>
  <conditionalFormatting sqref="S20">
    <cfRule type="expression" dxfId="108" priority="1" stopIfTrue="1">
      <formula>S$7=$Q20</formula>
    </cfRule>
  </conditionalFormatting>
  <conditionalFormatting sqref="N37 N42 N23 N16 N30 N32 N45 N40 N12 N47 N35 N14 N10 N19 N25 N28 N21 E38 N49">
    <cfRule type="expression" dxfId="107" priority="2" stopIfTrue="1">
      <formula>E$7=$Q10</formula>
    </cfRule>
  </conditionalFormatting>
  <conditionalFormatting sqref="D46 D41 C9 C11 C15 C18 D44 C13 C20 C22 D27:D28">
    <cfRule type="expression" dxfId="106" priority="3" stopIfTrue="1">
      <formula>R9=1</formula>
    </cfRule>
  </conditionalFormatting>
  <conditionalFormatting sqref="D9:N9 D11:N11 D13:N13 D15:N15 D18:N18 E19 E10 E12 E14 E16 D20:N20 E21 D22:N22 E23 E24:N24 E25 H25:I25 E27:N27 E28 H28:I28 D29:N29 E30 D31:N31 E32 E35 E34:N34 E37 E36:N36 E39:M39 E40 E42 E41:N41 E45 E44:N44 E46:N46 E47 H47:I47 E49 E48:N48">
    <cfRule type="expression" dxfId="105" priority="4" stopIfTrue="1">
      <formula>D$7=$Q9</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104" priority="5" stopIfTrue="1">
      <formula>OR(F$7=$Q10,G$7=$Q10)</formula>
    </cfRule>
  </conditionalFormatting>
  <conditionalFormatting sqref="D19">
    <cfRule type="expression" dxfId="103" priority="6" stopIfTrue="1">
      <formula>D$7=$Q19</formula>
    </cfRule>
  </conditionalFormatting>
  <conditionalFormatting sqref="D38:D39">
    <cfRule type="expression" dxfId="102" priority="7" stopIfTrue="1">
      <formula>D$7=$Q39</formula>
    </cfRule>
  </conditionalFormatting>
  <conditionalFormatting sqref="N38:N39">
    <cfRule type="expression" dxfId="101" priority="8" stopIfTrue="1">
      <formula>D$7=$Q$39</formula>
    </cfRule>
  </conditionalFormatting>
  <conditionalFormatting sqref="D48">
    <cfRule type="expression" dxfId="100" priority="9" stopIfTrue="1">
      <formula>D$7=$Q48</formula>
    </cfRule>
  </conditionalFormatting>
  <conditionalFormatting sqref="C48 C46 C44 C41 C36 C34 C31 C29 C27 C24">
    <cfRule type="expression" dxfId="99" priority="10" stopIfTrue="1">
      <formula>R24=1</formula>
    </cfRule>
  </conditionalFormatting>
  <conditionalFormatting sqref="C38:C39">
    <cfRule type="expression" dxfId="98" priority="11" stopIfTrue="1">
      <formula>$R$39</formula>
    </cfRule>
  </conditionalFormatting>
  <printOptions horizontalCentered="1" verticalCentered="1"/>
  <pageMargins left="0.75" right="0.75" top="0.67" bottom="0.76" header="0.5" footer="0.5"/>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0BD9-4475-45EE-B8B7-801D1A3C0DCC}">
  <sheetPr codeName="Sheet9">
    <tabColor indexed="48"/>
  </sheetPr>
  <dimension ref="B1:G25"/>
  <sheetViews>
    <sheetView showGridLines="0" showRowColHeaders="0" zoomScaleNormal="100" workbookViewId="0">
      <selection activeCell="B2" sqref="B2:F3"/>
    </sheetView>
  </sheetViews>
  <sheetFormatPr defaultColWidth="0" defaultRowHeight="13.5" zeroHeight="1" x14ac:dyDescent="0.25"/>
  <cols>
    <col min="1" max="1" width="0.85546875" style="104" customWidth="1"/>
    <col min="2" max="2" width="18.5703125" style="104" customWidth="1"/>
    <col min="3" max="3" width="17.140625" style="104" customWidth="1"/>
    <col min="4" max="4" width="17.42578125" style="104" customWidth="1"/>
    <col min="5" max="5" width="59.7109375" style="104" customWidth="1"/>
    <col min="6" max="6" width="1.5703125" style="104" customWidth="1"/>
    <col min="7" max="7" width="1.140625" style="133" customWidth="1"/>
    <col min="8" max="16384" width="0" style="104" hidden="1"/>
  </cols>
  <sheetData>
    <row r="1" spans="2:7" ht="3.75" customHeight="1" thickBot="1" x14ac:dyDescent="0.3"/>
    <row r="2" spans="2:7" ht="15" customHeight="1" thickTop="1" x14ac:dyDescent="0.25">
      <c r="B2" s="598" t="s">
        <v>456</v>
      </c>
      <c r="C2" s="599"/>
      <c r="D2" s="599"/>
      <c r="E2" s="599"/>
      <c r="F2" s="600"/>
      <c r="G2" s="411"/>
    </row>
    <row r="3" spans="2:7" ht="38.25" customHeight="1" thickBot="1" x14ac:dyDescent="0.3">
      <c r="B3" s="601"/>
      <c r="C3" s="602"/>
      <c r="D3" s="602"/>
      <c r="E3" s="602"/>
      <c r="F3" s="603"/>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25" hidden="1" thickTop="1" x14ac:dyDescent="0.25"/>
  </sheetData>
  <sheetProtection password="E218"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644F-2355-4097-90D9-F8D46EA3E3D3}">
  <sheetPr codeName="Sheet10">
    <tabColor indexed="48"/>
  </sheetPr>
  <dimension ref="A1:N74"/>
  <sheetViews>
    <sheetView showGridLines="0" showRowColHeaders="0" zoomScaleNormal="100" zoomScaleSheetLayoutView="100" workbookViewId="0">
      <pane xSplit="2" ySplit="5" topLeftCell="C28" activePane="bottomRight" state="frozen"/>
      <selection activeCell="K26" sqref="K26"/>
      <selection pane="topRight" activeCell="K26" sqref="K26"/>
      <selection pane="bottomLeft" activeCell="K26" sqref="K26"/>
      <selection pane="bottomRight" activeCell="C28" sqref="C28:L28"/>
    </sheetView>
  </sheetViews>
  <sheetFormatPr defaultColWidth="0" defaultRowHeight="13.5" zeroHeight="1" x14ac:dyDescent="0.25"/>
  <cols>
    <col min="1" max="1" width="1.28515625" style="225" customWidth="1"/>
    <col min="2" max="2" width="1.28515625" style="26" customWidth="1"/>
    <col min="3" max="3" width="41.28515625" style="1" customWidth="1"/>
    <col min="4" max="4" width="6.42578125" style="1" customWidth="1"/>
    <col min="5" max="5" width="2.7109375" style="1" customWidth="1"/>
    <col min="6" max="6" width="7.85546875" style="1" customWidth="1"/>
    <col min="7" max="7" width="29.7109375" style="1" customWidth="1"/>
    <col min="8" max="8" width="3.140625" style="1" customWidth="1"/>
    <col min="9" max="9" width="8.7109375" style="1" customWidth="1"/>
    <col min="10" max="10" width="29.7109375" style="1" customWidth="1"/>
    <col min="11" max="11" width="2.85546875" style="1" customWidth="1"/>
    <col min="12" max="12" width="2.42578125" style="1" customWidth="1"/>
    <col min="13" max="13" width="1.140625" style="1" customWidth="1"/>
    <col min="14" max="14" width="1.28515625" style="1" customWidth="1"/>
    <col min="15" max="16384" width="0" style="1" hidden="1"/>
  </cols>
  <sheetData>
    <row r="1" spans="1:14" s="18" customFormat="1" ht="6" customHeight="1" thickBot="1" x14ac:dyDescent="0.3">
      <c r="A1" s="225"/>
      <c r="B1" s="26"/>
      <c r="N1" s="102"/>
    </row>
    <row r="2" spans="1:14" ht="40.5" customHeight="1" thickTop="1" thickBot="1" x14ac:dyDescent="0.3">
      <c r="B2" s="52"/>
      <c r="C2" s="634" t="s">
        <v>144</v>
      </c>
      <c r="D2" s="635"/>
      <c r="E2" s="635"/>
      <c r="F2" s="635"/>
      <c r="G2" s="635"/>
      <c r="H2" s="635"/>
      <c r="I2" s="635"/>
      <c r="J2" s="48"/>
      <c r="K2" s="48"/>
      <c r="L2" s="48"/>
      <c r="M2" s="49"/>
      <c r="N2" s="102"/>
    </row>
    <row r="3" spans="1:14" ht="9.75" customHeight="1" thickTop="1" thickBot="1" x14ac:dyDescent="0.3">
      <c r="B3" s="53"/>
      <c r="C3" s="2"/>
      <c r="D3" s="2"/>
      <c r="E3" s="2"/>
      <c r="F3" s="2"/>
      <c r="G3" s="2"/>
      <c r="H3" s="2"/>
      <c r="I3" s="2"/>
      <c r="J3" s="2"/>
      <c r="K3" s="2"/>
      <c r="L3" s="2"/>
      <c r="M3" s="29"/>
      <c r="N3" s="102"/>
    </row>
    <row r="4" spans="1:14" s="25" customFormat="1" ht="15" customHeight="1" thickBot="1" x14ac:dyDescent="0.35">
      <c r="A4" s="226"/>
      <c r="B4" s="54"/>
      <c r="C4" s="69" t="s">
        <v>312</v>
      </c>
      <c r="D4" s="66"/>
      <c r="E4" s="636" t="s">
        <v>313</v>
      </c>
      <c r="F4" s="637"/>
      <c r="G4" s="637"/>
      <c r="H4" s="637"/>
      <c r="I4" s="637"/>
      <c r="J4" s="637"/>
      <c r="K4" s="637"/>
      <c r="L4" s="638"/>
      <c r="M4" s="56"/>
      <c r="N4" s="102"/>
    </row>
    <row r="5" spans="1:14" ht="6.75" customHeight="1" thickBot="1" x14ac:dyDescent="0.3">
      <c r="B5" s="53"/>
      <c r="C5" s="50"/>
      <c r="D5" s="50"/>
      <c r="E5" s="50"/>
      <c r="F5" s="50"/>
      <c r="G5" s="28"/>
      <c r="H5" s="2"/>
      <c r="I5" s="2"/>
      <c r="J5" s="2"/>
      <c r="K5" s="2"/>
      <c r="L5" s="2"/>
      <c r="M5" s="29"/>
      <c r="N5" s="102"/>
    </row>
    <row r="6" spans="1:14" ht="89.25" customHeight="1" thickBot="1" x14ac:dyDescent="0.3">
      <c r="B6" s="53"/>
      <c r="C6" s="70" t="s">
        <v>424</v>
      </c>
      <c r="D6" s="67"/>
      <c r="E6" s="604" t="s">
        <v>352</v>
      </c>
      <c r="F6" s="605"/>
      <c r="G6" s="605"/>
      <c r="H6" s="605"/>
      <c r="I6" s="605"/>
      <c r="J6" s="605"/>
      <c r="K6" s="605"/>
      <c r="L6" s="606"/>
      <c r="M6" s="29"/>
      <c r="N6" s="102"/>
    </row>
    <row r="7" spans="1:14" ht="6.75" customHeight="1" thickBot="1" x14ac:dyDescent="0.3">
      <c r="B7" s="53"/>
      <c r="C7" s="50"/>
      <c r="D7" s="50"/>
      <c r="E7" s="50"/>
      <c r="F7" s="50"/>
      <c r="G7" s="28"/>
      <c r="H7" s="2"/>
      <c r="I7" s="2"/>
      <c r="J7" s="2"/>
      <c r="K7" s="2"/>
      <c r="L7" s="2"/>
      <c r="M7" s="29"/>
      <c r="N7" s="102"/>
    </row>
    <row r="8" spans="1:14" ht="124.5" customHeight="1" thickBot="1" x14ac:dyDescent="0.3">
      <c r="B8" s="53"/>
      <c r="C8" s="65" t="s">
        <v>278</v>
      </c>
      <c r="D8" s="61"/>
      <c r="E8" s="645" t="s">
        <v>15</v>
      </c>
      <c r="F8" s="646"/>
      <c r="G8" s="646"/>
      <c r="H8" s="646"/>
      <c r="I8" s="646"/>
      <c r="J8" s="646"/>
      <c r="K8" s="646"/>
      <c r="L8" s="647"/>
      <c r="M8" s="29"/>
      <c r="N8" s="102"/>
    </row>
    <row r="9" spans="1:14" ht="6.75" customHeight="1" thickBot="1" x14ac:dyDescent="0.3">
      <c r="B9" s="53"/>
      <c r="C9" s="50"/>
      <c r="D9" s="50"/>
      <c r="E9" s="50"/>
      <c r="F9" s="50"/>
      <c r="G9" s="28"/>
      <c r="H9" s="2"/>
      <c r="I9" s="2"/>
      <c r="J9" s="2"/>
      <c r="K9" s="2"/>
      <c r="L9" s="2"/>
      <c r="M9" s="29"/>
      <c r="N9" s="102"/>
    </row>
    <row r="10" spans="1:14" ht="292.5" customHeight="1" thickBot="1" x14ac:dyDescent="0.3">
      <c r="B10" s="53"/>
      <c r="C10" s="71" t="s">
        <v>612</v>
      </c>
      <c r="D10" s="67"/>
      <c r="E10" s="658"/>
      <c r="F10" s="659"/>
      <c r="G10" s="659"/>
      <c r="H10" s="659"/>
      <c r="I10" s="659"/>
      <c r="J10" s="659"/>
      <c r="K10" s="659"/>
      <c r="L10" s="660"/>
      <c r="M10" s="29"/>
      <c r="N10" s="102"/>
    </row>
    <row r="11" spans="1:14" ht="6.75" customHeight="1" thickBot="1" x14ac:dyDescent="0.3">
      <c r="B11" s="53"/>
      <c r="C11" s="50"/>
      <c r="D11" s="50"/>
      <c r="E11" s="50"/>
      <c r="F11" s="50"/>
      <c r="G11" s="28"/>
      <c r="H11" s="2"/>
      <c r="I11" s="2"/>
      <c r="J11" s="2"/>
      <c r="K11" s="2"/>
      <c r="L11" s="2"/>
      <c r="M11" s="29"/>
      <c r="N11" s="102"/>
    </row>
    <row r="12" spans="1:14" ht="87" customHeight="1" thickBot="1" x14ac:dyDescent="0.3">
      <c r="B12" s="53"/>
      <c r="C12" s="70" t="s">
        <v>137</v>
      </c>
      <c r="D12" s="67"/>
      <c r="E12" s="607" t="s">
        <v>571</v>
      </c>
      <c r="F12" s="608"/>
      <c r="G12" s="608"/>
      <c r="H12" s="608"/>
      <c r="I12" s="608"/>
      <c r="J12" s="608"/>
      <c r="K12" s="608"/>
      <c r="L12" s="609"/>
      <c r="M12" s="29"/>
      <c r="N12" s="102"/>
    </row>
    <row r="13" spans="1:14" ht="6.75" customHeight="1" thickBot="1" x14ac:dyDescent="0.3">
      <c r="B13" s="53"/>
      <c r="C13" s="50"/>
      <c r="D13" s="50"/>
      <c r="E13" s="50"/>
      <c r="F13" s="50"/>
      <c r="G13" s="28"/>
      <c r="H13" s="2"/>
      <c r="I13" s="2"/>
      <c r="J13" s="2"/>
      <c r="K13" s="2"/>
      <c r="L13" s="2"/>
      <c r="M13" s="29"/>
      <c r="N13" s="102"/>
    </row>
    <row r="14" spans="1:14" ht="25.5" customHeight="1" thickBot="1" x14ac:dyDescent="0.3">
      <c r="B14" s="53"/>
      <c r="C14" s="70" t="s">
        <v>120</v>
      </c>
      <c r="D14" s="67"/>
      <c r="E14" s="610" t="s">
        <v>311</v>
      </c>
      <c r="F14" s="611"/>
      <c r="G14" s="611"/>
      <c r="H14" s="611"/>
      <c r="I14" s="611"/>
      <c r="J14" s="611"/>
      <c r="K14" s="611"/>
      <c r="L14" s="612"/>
      <c r="M14" s="29"/>
      <c r="N14" s="102"/>
    </row>
    <row r="15" spans="1:14" ht="6.75" customHeight="1" thickBot="1" x14ac:dyDescent="0.3">
      <c r="B15" s="53"/>
      <c r="C15" s="50"/>
      <c r="D15" s="50"/>
      <c r="E15" s="50"/>
      <c r="F15" s="50"/>
      <c r="G15" s="28"/>
      <c r="H15" s="2"/>
      <c r="I15" s="2"/>
      <c r="J15" s="2"/>
      <c r="K15" s="2"/>
      <c r="L15" s="2"/>
      <c r="M15" s="29"/>
      <c r="N15" s="102"/>
    </row>
    <row r="16" spans="1:14" ht="107.25" customHeight="1" thickBot="1" x14ac:dyDescent="0.3">
      <c r="B16" s="53"/>
      <c r="C16" s="70" t="s">
        <v>476</v>
      </c>
      <c r="D16" s="67"/>
      <c r="E16" s="610" t="s">
        <v>132</v>
      </c>
      <c r="F16" s="611"/>
      <c r="G16" s="611"/>
      <c r="H16" s="611"/>
      <c r="I16" s="611"/>
      <c r="J16" s="611"/>
      <c r="K16" s="611"/>
      <c r="L16" s="612"/>
      <c r="M16" s="29"/>
      <c r="N16" s="102"/>
    </row>
    <row r="17" spans="1:14" ht="6.75" customHeight="1" thickBot="1" x14ac:dyDescent="0.3">
      <c r="B17" s="53"/>
      <c r="C17" s="50"/>
      <c r="D17" s="50"/>
      <c r="E17" s="50"/>
      <c r="F17" s="50"/>
      <c r="G17" s="28"/>
      <c r="H17" s="2"/>
      <c r="I17" s="2"/>
      <c r="J17" s="2"/>
      <c r="K17" s="2"/>
      <c r="L17" s="2"/>
      <c r="M17" s="29"/>
      <c r="N17" s="102"/>
    </row>
    <row r="18" spans="1:14" ht="77.25" customHeight="1" thickBot="1" x14ac:dyDescent="0.3">
      <c r="B18" s="53"/>
      <c r="C18" s="70" t="s">
        <v>477</v>
      </c>
      <c r="D18" s="67"/>
      <c r="E18" s="610" t="s">
        <v>16</v>
      </c>
      <c r="F18" s="611"/>
      <c r="G18" s="611"/>
      <c r="H18" s="611"/>
      <c r="I18" s="611"/>
      <c r="J18" s="611"/>
      <c r="K18" s="611"/>
      <c r="L18" s="612"/>
      <c r="M18" s="29"/>
      <c r="N18" s="102"/>
    </row>
    <row r="19" spans="1:14" ht="6.75" customHeight="1" thickBot="1" x14ac:dyDescent="0.3">
      <c r="B19" s="53"/>
      <c r="C19" s="50"/>
      <c r="D19" s="50"/>
      <c r="E19" s="50"/>
      <c r="F19" s="50"/>
      <c r="G19" s="28"/>
      <c r="H19" s="2"/>
      <c r="I19" s="2"/>
      <c r="J19" s="2"/>
      <c r="K19" s="2"/>
      <c r="L19" s="2"/>
      <c r="M19" s="29"/>
      <c r="N19" s="102"/>
    </row>
    <row r="20" spans="1:14" ht="18.75" customHeight="1" thickBot="1" x14ac:dyDescent="0.3">
      <c r="B20" s="53"/>
      <c r="C20" s="70" t="s">
        <v>427</v>
      </c>
      <c r="D20" s="67"/>
      <c r="E20" s="604" t="s">
        <v>156</v>
      </c>
      <c r="F20" s="605"/>
      <c r="G20" s="605"/>
      <c r="H20" s="605"/>
      <c r="I20" s="605"/>
      <c r="J20" s="605"/>
      <c r="K20" s="605"/>
      <c r="L20" s="606"/>
      <c r="M20" s="29"/>
      <c r="N20" s="102"/>
    </row>
    <row r="21" spans="1:14" ht="6.75" customHeight="1" thickBot="1" x14ac:dyDescent="0.3">
      <c r="B21" s="53"/>
      <c r="C21" s="50"/>
      <c r="D21" s="50"/>
      <c r="E21" s="50"/>
      <c r="F21" s="50"/>
      <c r="G21" s="28"/>
      <c r="H21" s="2"/>
      <c r="I21" s="2"/>
      <c r="J21" s="2"/>
      <c r="K21" s="2"/>
      <c r="L21" s="2"/>
      <c r="M21" s="29"/>
      <c r="N21" s="102"/>
    </row>
    <row r="22" spans="1:14" s="64" customFormat="1" ht="158.25" customHeight="1" thickBot="1" x14ac:dyDescent="0.25">
      <c r="A22" s="228"/>
      <c r="B22" s="63"/>
      <c r="C22" s="71" t="s">
        <v>481</v>
      </c>
      <c r="D22" s="68"/>
      <c r="E22" s="607" t="s">
        <v>550</v>
      </c>
      <c r="F22" s="608"/>
      <c r="G22" s="608"/>
      <c r="H22" s="608"/>
      <c r="I22" s="608"/>
      <c r="J22" s="608"/>
      <c r="K22" s="608"/>
      <c r="L22" s="609"/>
      <c r="M22" s="40"/>
      <c r="N22" s="103"/>
    </row>
    <row r="23" spans="1:14" ht="6.75" customHeight="1" thickBot="1" x14ac:dyDescent="0.3">
      <c r="B23" s="53"/>
      <c r="C23" s="50"/>
      <c r="D23" s="50"/>
      <c r="E23" s="50"/>
      <c r="F23" s="50"/>
      <c r="G23" s="28"/>
      <c r="H23" s="2"/>
      <c r="I23" s="2"/>
      <c r="J23" s="2"/>
      <c r="K23" s="2"/>
      <c r="L23" s="2"/>
      <c r="M23" s="29"/>
      <c r="N23" s="102"/>
    </row>
    <row r="24" spans="1:14" ht="192" customHeight="1" thickBot="1" x14ac:dyDescent="0.3">
      <c r="B24" s="53"/>
      <c r="C24" s="70" t="s">
        <v>139</v>
      </c>
      <c r="D24" s="67"/>
      <c r="E24" s="607" t="s">
        <v>204</v>
      </c>
      <c r="F24" s="608"/>
      <c r="G24" s="608"/>
      <c r="H24" s="608"/>
      <c r="I24" s="608"/>
      <c r="J24" s="608"/>
      <c r="K24" s="608"/>
      <c r="L24" s="609"/>
      <c r="M24" s="29"/>
      <c r="N24" s="102"/>
    </row>
    <row r="25" spans="1:14" ht="6.75" customHeight="1" thickBot="1" x14ac:dyDescent="0.3">
      <c r="B25" s="53"/>
      <c r="C25" s="50"/>
      <c r="D25" s="50"/>
      <c r="E25" s="50"/>
      <c r="F25" s="50"/>
      <c r="G25" s="28"/>
      <c r="H25" s="2"/>
      <c r="I25" s="2"/>
      <c r="J25" s="2"/>
      <c r="K25" s="2"/>
      <c r="L25" s="2"/>
      <c r="M25" s="29"/>
      <c r="N25" s="102"/>
    </row>
    <row r="26" spans="1:14" ht="39.75" customHeight="1" thickBot="1" x14ac:dyDescent="0.3">
      <c r="B26" s="53"/>
      <c r="C26" s="65" t="s">
        <v>342</v>
      </c>
      <c r="D26" s="101"/>
      <c r="E26" s="639" t="s">
        <v>422</v>
      </c>
      <c r="F26" s="640"/>
      <c r="G26" s="640"/>
      <c r="H26" s="640"/>
      <c r="I26" s="640"/>
      <c r="J26" s="640"/>
      <c r="K26" s="640"/>
      <c r="L26" s="641"/>
      <c r="M26" s="29"/>
      <c r="N26" s="102"/>
    </row>
    <row r="27" spans="1:14" ht="6.75" customHeight="1" thickBot="1" x14ac:dyDescent="0.3">
      <c r="B27" s="53"/>
      <c r="C27" s="50"/>
      <c r="D27" s="50"/>
      <c r="E27" s="50"/>
      <c r="F27" s="50"/>
      <c r="G27" s="28"/>
      <c r="H27" s="2"/>
      <c r="I27" s="2"/>
      <c r="J27" s="2"/>
      <c r="K27" s="2"/>
      <c r="L27" s="2"/>
      <c r="M27" s="29"/>
      <c r="N27" s="102"/>
    </row>
    <row r="28" spans="1:14" ht="197.25" customHeight="1" thickBot="1" x14ac:dyDescent="0.3">
      <c r="B28" s="53"/>
      <c r="C28" s="70" t="s">
        <v>426</v>
      </c>
      <c r="D28" s="67"/>
      <c r="E28" s="607" t="s">
        <v>421</v>
      </c>
      <c r="F28" s="608"/>
      <c r="G28" s="608"/>
      <c r="H28" s="608"/>
      <c r="I28" s="608"/>
      <c r="J28" s="608"/>
      <c r="K28" s="608"/>
      <c r="L28" s="609"/>
      <c r="M28" s="29"/>
      <c r="N28" s="102"/>
    </row>
    <row r="29" spans="1:14" ht="6.75" customHeight="1" thickBot="1" x14ac:dyDescent="0.3">
      <c r="B29" s="53"/>
      <c r="C29" s="50"/>
      <c r="D29" s="50"/>
      <c r="E29" s="50"/>
      <c r="F29" s="50"/>
      <c r="G29" s="28"/>
      <c r="H29" s="2"/>
      <c r="I29" s="2"/>
      <c r="J29" s="2"/>
      <c r="K29" s="2"/>
      <c r="L29" s="2"/>
      <c r="M29" s="29"/>
      <c r="N29" s="102"/>
    </row>
    <row r="30" spans="1:14" ht="64.5" customHeight="1" thickBot="1" x14ac:dyDescent="0.3">
      <c r="A30" s="224"/>
      <c r="B30" s="53"/>
      <c r="C30" s="65" t="s">
        <v>152</v>
      </c>
      <c r="D30" s="60"/>
      <c r="E30" s="610" t="s">
        <v>110</v>
      </c>
      <c r="F30" s="611"/>
      <c r="G30" s="611"/>
      <c r="H30" s="611"/>
      <c r="I30" s="611"/>
      <c r="J30" s="611"/>
      <c r="K30" s="611"/>
      <c r="L30" s="612"/>
      <c r="M30" s="29"/>
      <c r="N30" s="102"/>
    </row>
    <row r="31" spans="1:14" ht="6.75" customHeight="1" thickBot="1" x14ac:dyDescent="0.3">
      <c r="B31" s="53"/>
      <c r="C31" s="50"/>
      <c r="D31" s="50"/>
      <c r="E31" s="50"/>
      <c r="F31" s="50"/>
      <c r="G31" s="28"/>
      <c r="H31" s="2"/>
      <c r="I31" s="2"/>
      <c r="J31" s="2"/>
      <c r="K31" s="2"/>
      <c r="L31" s="2"/>
      <c r="M31" s="29"/>
      <c r="N31" s="102"/>
    </row>
    <row r="32" spans="1:14" ht="27.75" customHeight="1" thickBot="1" x14ac:dyDescent="0.3">
      <c r="B32" s="53"/>
      <c r="C32" s="71" t="s">
        <v>136</v>
      </c>
      <c r="D32" s="68"/>
      <c r="E32" s="629" t="s">
        <v>569</v>
      </c>
      <c r="F32" s="630"/>
      <c r="G32" s="630"/>
      <c r="H32" s="630"/>
      <c r="I32" s="630"/>
      <c r="J32" s="630"/>
      <c r="K32" s="630"/>
      <c r="L32" s="631"/>
      <c r="M32" s="29"/>
      <c r="N32" s="102"/>
    </row>
    <row r="33" spans="2:14" ht="6.75" customHeight="1" thickBot="1" x14ac:dyDescent="0.3">
      <c r="B33" s="53"/>
      <c r="C33" s="50"/>
      <c r="D33" s="50"/>
      <c r="E33" s="50"/>
      <c r="F33" s="50"/>
      <c r="G33" s="28"/>
      <c r="H33" s="2"/>
      <c r="I33" s="2"/>
      <c r="J33" s="2"/>
      <c r="K33" s="2"/>
      <c r="L33" s="2"/>
      <c r="M33" s="29"/>
      <c r="N33" s="102"/>
    </row>
    <row r="34" spans="2:14" ht="52.5" customHeight="1" thickBot="1" x14ac:dyDescent="0.3">
      <c r="B34" s="53"/>
      <c r="C34" s="71" t="s">
        <v>13</v>
      </c>
      <c r="D34" s="67"/>
      <c r="E34" s="607" t="s">
        <v>410</v>
      </c>
      <c r="F34" s="608"/>
      <c r="G34" s="608"/>
      <c r="H34" s="608"/>
      <c r="I34" s="608"/>
      <c r="J34" s="608"/>
      <c r="K34" s="608"/>
      <c r="L34" s="609"/>
      <c r="M34" s="29"/>
      <c r="N34" s="102"/>
    </row>
    <row r="35" spans="2:14" ht="6.75" customHeight="1" thickBot="1" x14ac:dyDescent="0.3">
      <c r="B35" s="53"/>
      <c r="C35" s="50"/>
      <c r="D35" s="50"/>
      <c r="E35" s="50"/>
      <c r="F35" s="50"/>
      <c r="G35" s="28"/>
      <c r="H35" s="2"/>
      <c r="I35" s="2"/>
      <c r="J35" s="2"/>
      <c r="K35" s="2"/>
      <c r="L35" s="2"/>
      <c r="M35" s="29"/>
      <c r="N35" s="102"/>
    </row>
    <row r="36" spans="2:14" ht="84.75" customHeight="1" thickBot="1" x14ac:dyDescent="0.3">
      <c r="B36" s="53"/>
      <c r="C36" s="70" t="s">
        <v>425</v>
      </c>
      <c r="D36" s="67"/>
      <c r="E36" s="607" t="s">
        <v>20</v>
      </c>
      <c r="F36" s="608"/>
      <c r="G36" s="608"/>
      <c r="H36" s="608"/>
      <c r="I36" s="608"/>
      <c r="J36" s="608"/>
      <c r="K36" s="608"/>
      <c r="L36" s="609"/>
      <c r="M36" s="29"/>
      <c r="N36" s="102"/>
    </row>
    <row r="37" spans="2:14" ht="6.75" customHeight="1" thickBot="1" x14ac:dyDescent="0.3">
      <c r="B37" s="53"/>
      <c r="C37" s="50"/>
      <c r="D37" s="50"/>
      <c r="E37" s="50"/>
      <c r="F37" s="50"/>
      <c r="G37" s="28"/>
      <c r="H37" s="2"/>
      <c r="I37" s="2"/>
      <c r="J37" s="2"/>
      <c r="K37" s="2"/>
      <c r="L37" s="2"/>
      <c r="M37" s="29"/>
      <c r="N37" s="102"/>
    </row>
    <row r="38" spans="2:14" ht="17.25" customHeight="1" thickBot="1" x14ac:dyDescent="0.3">
      <c r="B38" s="53"/>
      <c r="C38" s="71" t="s">
        <v>122</v>
      </c>
      <c r="D38" s="68"/>
      <c r="E38" s="642" t="s">
        <v>340</v>
      </c>
      <c r="F38" s="643"/>
      <c r="G38" s="643"/>
      <c r="H38" s="643"/>
      <c r="I38" s="643"/>
      <c r="J38" s="643"/>
      <c r="K38" s="643"/>
      <c r="L38" s="644"/>
      <c r="M38" s="29"/>
      <c r="N38" s="102"/>
    </row>
    <row r="39" spans="2:14" ht="6.75" customHeight="1" thickBot="1" x14ac:dyDescent="0.3">
      <c r="B39" s="53"/>
      <c r="C39" s="50"/>
      <c r="D39" s="50"/>
      <c r="E39" s="50"/>
      <c r="F39" s="50"/>
      <c r="G39" s="28"/>
      <c r="H39" s="2"/>
      <c r="I39" s="2"/>
      <c r="J39" s="2"/>
      <c r="K39" s="2"/>
      <c r="L39" s="2"/>
      <c r="M39" s="29"/>
      <c r="N39" s="102"/>
    </row>
    <row r="40" spans="2:14" ht="27.75" customHeight="1" thickBot="1" x14ac:dyDescent="0.3">
      <c r="B40" s="53"/>
      <c r="C40" s="71" t="s">
        <v>135</v>
      </c>
      <c r="D40" s="68"/>
      <c r="E40" s="607" t="s">
        <v>473</v>
      </c>
      <c r="F40" s="608"/>
      <c r="G40" s="608"/>
      <c r="H40" s="608"/>
      <c r="I40" s="608"/>
      <c r="J40" s="608"/>
      <c r="K40" s="608"/>
      <c r="L40" s="609"/>
      <c r="M40" s="29"/>
      <c r="N40" s="102"/>
    </row>
    <row r="41" spans="2:14" ht="6.75" customHeight="1" thickBot="1" x14ac:dyDescent="0.3">
      <c r="B41" s="53"/>
      <c r="C41" s="50"/>
      <c r="D41" s="50"/>
      <c r="E41" s="50"/>
      <c r="F41" s="50"/>
      <c r="G41" s="28"/>
      <c r="H41" s="2"/>
      <c r="I41" s="2"/>
      <c r="J41" s="2"/>
      <c r="K41" s="2"/>
      <c r="L41" s="2"/>
      <c r="M41" s="29"/>
      <c r="N41" s="102"/>
    </row>
    <row r="42" spans="2:14" ht="77.25" customHeight="1" thickBot="1" x14ac:dyDescent="0.3">
      <c r="B42" s="53"/>
      <c r="C42" s="71" t="s">
        <v>138</v>
      </c>
      <c r="D42" s="67"/>
      <c r="E42" s="607" t="s">
        <v>83</v>
      </c>
      <c r="F42" s="608"/>
      <c r="G42" s="608"/>
      <c r="H42" s="608"/>
      <c r="I42" s="608"/>
      <c r="J42" s="608"/>
      <c r="K42" s="608"/>
      <c r="L42" s="609"/>
      <c r="M42" s="29"/>
      <c r="N42" s="102"/>
    </row>
    <row r="43" spans="2:14" ht="6.75" customHeight="1" thickBot="1" x14ac:dyDescent="0.3">
      <c r="B43" s="53"/>
      <c r="C43" s="50"/>
      <c r="D43" s="50"/>
      <c r="E43" s="50"/>
      <c r="F43" s="50"/>
      <c r="G43" s="28"/>
      <c r="H43" s="2"/>
      <c r="I43" s="2"/>
      <c r="J43" s="2"/>
      <c r="K43" s="2"/>
      <c r="L43" s="2"/>
      <c r="M43" s="29"/>
      <c r="N43" s="102"/>
    </row>
    <row r="44" spans="2:14" ht="123" customHeight="1" thickBot="1" x14ac:dyDescent="0.3">
      <c r="B44" s="53"/>
      <c r="C44" s="70" t="s">
        <v>134</v>
      </c>
      <c r="D44" s="67"/>
      <c r="E44" s="607" t="s">
        <v>615</v>
      </c>
      <c r="F44" s="608"/>
      <c r="G44" s="608"/>
      <c r="H44" s="608"/>
      <c r="I44" s="608"/>
      <c r="J44" s="608"/>
      <c r="K44" s="608"/>
      <c r="L44" s="609"/>
      <c r="M44" s="29"/>
      <c r="N44" s="102"/>
    </row>
    <row r="45" spans="2:14" ht="6.75" customHeight="1" thickBot="1" x14ac:dyDescent="0.3">
      <c r="B45" s="53"/>
      <c r="C45" s="50"/>
      <c r="D45" s="50"/>
      <c r="E45" s="50"/>
      <c r="F45" s="50"/>
      <c r="G45" s="28"/>
      <c r="H45" s="2"/>
      <c r="I45" s="2"/>
      <c r="J45" s="2"/>
      <c r="K45" s="2"/>
      <c r="L45" s="2"/>
      <c r="M45" s="29"/>
      <c r="N45" s="102"/>
    </row>
    <row r="46" spans="2:14" ht="130.5" customHeight="1" x14ac:dyDescent="0.25">
      <c r="B46" s="53"/>
      <c r="C46" s="648" t="s">
        <v>341</v>
      </c>
      <c r="D46" s="650"/>
      <c r="E46" s="655" t="s">
        <v>318</v>
      </c>
      <c r="F46" s="656"/>
      <c r="G46" s="656"/>
      <c r="H46" s="656"/>
      <c r="I46" s="656"/>
      <c r="J46" s="656"/>
      <c r="K46" s="656"/>
      <c r="L46" s="657"/>
      <c r="M46" s="29"/>
      <c r="N46" s="102"/>
    </row>
    <row r="47" spans="2:14" ht="201.75" customHeight="1" thickBot="1" x14ac:dyDescent="0.3">
      <c r="B47" s="53"/>
      <c r="C47" s="649"/>
      <c r="D47" s="651"/>
      <c r="E47" s="652" t="s">
        <v>196</v>
      </c>
      <c r="F47" s="653"/>
      <c r="G47" s="653"/>
      <c r="H47" s="653"/>
      <c r="I47" s="653"/>
      <c r="J47" s="653"/>
      <c r="K47" s="653"/>
      <c r="L47" s="654"/>
      <c r="M47" s="29"/>
      <c r="N47" s="102"/>
    </row>
    <row r="48" spans="2:14" ht="6.75" customHeight="1" thickBot="1" x14ac:dyDescent="0.3">
      <c r="B48" s="53"/>
      <c r="C48" s="50"/>
      <c r="D48" s="50"/>
      <c r="E48" s="50"/>
      <c r="F48" s="50"/>
      <c r="G48" s="28"/>
      <c r="H48" s="2"/>
      <c r="I48" s="2"/>
      <c r="J48" s="2"/>
      <c r="K48" s="2"/>
      <c r="L48" s="2"/>
      <c r="M48" s="29"/>
      <c r="N48" s="102"/>
    </row>
    <row r="49" spans="2:14" ht="24.75" customHeight="1" thickBot="1" x14ac:dyDescent="0.3">
      <c r="B49" s="53"/>
      <c r="C49" s="71" t="s">
        <v>124</v>
      </c>
      <c r="D49" s="68"/>
      <c r="E49" s="610" t="s">
        <v>310</v>
      </c>
      <c r="F49" s="611"/>
      <c r="G49" s="611"/>
      <c r="H49" s="611"/>
      <c r="I49" s="611"/>
      <c r="J49" s="611"/>
      <c r="K49" s="611"/>
      <c r="L49" s="612"/>
      <c r="M49" s="29"/>
      <c r="N49" s="102"/>
    </row>
    <row r="50" spans="2:14" ht="6.75" customHeight="1" thickBot="1" x14ac:dyDescent="0.3">
      <c r="B50" s="53"/>
      <c r="C50" s="30"/>
      <c r="D50" s="27"/>
      <c r="E50" s="27"/>
      <c r="F50" s="27"/>
      <c r="G50" s="59"/>
      <c r="H50" s="58"/>
      <c r="I50" s="58"/>
      <c r="J50" s="58"/>
      <c r="K50" s="58"/>
      <c r="L50" s="58"/>
      <c r="M50" s="29"/>
      <c r="N50" s="102"/>
    </row>
    <row r="51" spans="2:14" ht="52.5" customHeight="1" thickBot="1" x14ac:dyDescent="0.3">
      <c r="B51" s="53"/>
      <c r="C51" s="70" t="s">
        <v>480</v>
      </c>
      <c r="D51" s="67"/>
      <c r="E51" s="607" t="s">
        <v>17</v>
      </c>
      <c r="F51" s="608"/>
      <c r="G51" s="608"/>
      <c r="H51" s="608"/>
      <c r="I51" s="608"/>
      <c r="J51" s="608"/>
      <c r="K51" s="608"/>
      <c r="L51" s="609"/>
      <c r="M51" s="29"/>
      <c r="N51" s="102"/>
    </row>
    <row r="52" spans="2:14" ht="6.75" customHeight="1" thickBot="1" x14ac:dyDescent="0.3">
      <c r="B52" s="53"/>
      <c r="C52" s="30"/>
      <c r="D52" s="27"/>
      <c r="E52" s="27"/>
      <c r="F52" s="27"/>
      <c r="G52" s="59"/>
      <c r="H52" s="58"/>
      <c r="I52" s="58"/>
      <c r="J52" s="58"/>
      <c r="K52" s="58"/>
      <c r="L52" s="58"/>
      <c r="M52" s="29"/>
      <c r="N52" s="102"/>
    </row>
    <row r="53" spans="2:14" ht="182.25" customHeight="1" thickBot="1" x14ac:dyDescent="0.3">
      <c r="B53" s="53"/>
      <c r="C53" s="71" t="s">
        <v>479</v>
      </c>
      <c r="D53" s="68"/>
      <c r="E53" s="607" t="s">
        <v>210</v>
      </c>
      <c r="F53" s="608"/>
      <c r="G53" s="608"/>
      <c r="H53" s="608"/>
      <c r="I53" s="608"/>
      <c r="J53" s="608"/>
      <c r="K53" s="608"/>
      <c r="L53" s="609"/>
      <c r="M53" s="29"/>
      <c r="N53" s="102"/>
    </row>
    <row r="54" spans="2:14" ht="6.75" customHeight="1" thickBot="1" x14ac:dyDescent="0.3">
      <c r="B54" s="53"/>
      <c r="C54" s="50"/>
      <c r="D54" s="50"/>
      <c r="E54" s="50"/>
      <c r="F54" s="50"/>
      <c r="G54" s="28"/>
      <c r="H54" s="2"/>
      <c r="I54" s="2"/>
      <c r="J54" s="2"/>
      <c r="K54" s="2"/>
      <c r="L54" s="2"/>
      <c r="M54" s="29"/>
      <c r="N54" s="102"/>
    </row>
    <row r="55" spans="2:14" ht="102" customHeight="1" x14ac:dyDescent="0.25">
      <c r="B55" s="53"/>
      <c r="C55" s="622" t="s">
        <v>216</v>
      </c>
      <c r="D55" s="625"/>
      <c r="E55" s="618" t="s">
        <v>114</v>
      </c>
      <c r="F55" s="619"/>
      <c r="G55" s="619"/>
      <c r="H55" s="619"/>
      <c r="I55" s="619"/>
      <c r="J55" s="619"/>
      <c r="K55" s="619"/>
      <c r="L55" s="620"/>
      <c r="M55" s="29"/>
      <c r="N55" s="102"/>
    </row>
    <row r="56" spans="2:14" ht="18" customHeight="1" x14ac:dyDescent="0.25">
      <c r="B56" s="53"/>
      <c r="C56" s="623"/>
      <c r="D56" s="626"/>
      <c r="E56" s="616" t="s">
        <v>228</v>
      </c>
      <c r="F56" s="617"/>
      <c r="G56" s="283" t="s">
        <v>226</v>
      </c>
      <c r="H56" s="283"/>
      <c r="I56" s="628" t="s">
        <v>227</v>
      </c>
      <c r="J56" s="628"/>
      <c r="K56" s="280"/>
      <c r="L56" s="284"/>
      <c r="M56" s="29"/>
      <c r="N56" s="102"/>
    </row>
    <row r="57" spans="2:14" ht="18.75" customHeight="1" x14ac:dyDescent="0.25">
      <c r="B57" s="53"/>
      <c r="C57" s="623"/>
      <c r="D57" s="626"/>
      <c r="E57" s="632">
        <v>1</v>
      </c>
      <c r="F57" s="633"/>
      <c r="G57" s="291" t="s">
        <v>222</v>
      </c>
      <c r="H57" s="281" t="s">
        <v>225</v>
      </c>
      <c r="I57" s="282">
        <f>E57*INDEX(Sheet1!N2:P4,MATCH(G57,Sheet1!M2:M4,0),MATCH(J57,Sheet1!N1:P1,0))</f>
        <v>3.068883289737228</v>
      </c>
      <c r="J57" s="291" t="s">
        <v>214</v>
      </c>
      <c r="K57" s="280"/>
      <c r="L57" s="284"/>
      <c r="M57" s="29"/>
      <c r="N57" s="102"/>
    </row>
    <row r="58" spans="2:14" ht="18" customHeight="1" x14ac:dyDescent="0.25">
      <c r="B58" s="53"/>
      <c r="C58" s="623"/>
      <c r="D58" s="626"/>
      <c r="E58" s="285"/>
      <c r="F58" s="279"/>
      <c r="G58" s="621" t="str">
        <f>"(conversion factor = "&amp;INDEX(Sheet1!N2:P4,MATCH(G57,Sheet1!M2:M4,0),MATCH(J57,Sheet1!N1:P1,0))&amp;")"</f>
        <v>(conversion factor = 3.06888328973723)</v>
      </c>
      <c r="H58" s="621"/>
      <c r="I58" s="621"/>
      <c r="J58" s="621"/>
      <c r="K58" s="280"/>
      <c r="L58" s="284"/>
      <c r="M58" s="29"/>
      <c r="N58" s="102"/>
    </row>
    <row r="59" spans="2:14" ht="3.75" customHeight="1" thickBot="1" x14ac:dyDescent="0.3">
      <c r="B59" s="53"/>
      <c r="C59" s="624"/>
      <c r="D59" s="627"/>
      <c r="E59" s="286"/>
      <c r="F59" s="287"/>
      <c r="G59" s="288"/>
      <c r="H59" s="289"/>
      <c r="I59" s="289"/>
      <c r="J59" s="289"/>
      <c r="K59" s="289"/>
      <c r="L59" s="290"/>
      <c r="M59" s="29"/>
      <c r="N59" s="102"/>
    </row>
    <row r="60" spans="2:14" ht="6.75" customHeight="1" thickBot="1" x14ac:dyDescent="0.3">
      <c r="B60" s="53"/>
      <c r="C60" s="32"/>
      <c r="D60" s="32"/>
      <c r="E60" s="32"/>
      <c r="F60" s="32"/>
      <c r="G60" s="2"/>
      <c r="H60" s="2"/>
      <c r="I60" s="2"/>
      <c r="J60" s="2"/>
      <c r="K60" s="2"/>
      <c r="L60" s="2"/>
      <c r="M60" s="29"/>
      <c r="N60" s="102"/>
    </row>
    <row r="61" spans="2:14" ht="209.25" customHeight="1" thickBot="1" x14ac:dyDescent="0.3">
      <c r="B61" s="53"/>
      <c r="C61" s="65" t="s">
        <v>614</v>
      </c>
      <c r="D61" s="101"/>
      <c r="E61" s="613"/>
      <c r="F61" s="614"/>
      <c r="G61" s="614"/>
      <c r="H61" s="614"/>
      <c r="I61" s="614"/>
      <c r="J61" s="614"/>
      <c r="K61" s="614"/>
      <c r="L61" s="615"/>
      <c r="M61" s="29"/>
      <c r="N61" s="102"/>
    </row>
    <row r="62" spans="2:14" ht="6.75" customHeight="1" thickBot="1" x14ac:dyDescent="0.3">
      <c r="B62" s="53"/>
      <c r="C62" s="32"/>
      <c r="D62" s="32"/>
      <c r="E62" s="32"/>
      <c r="F62" s="32"/>
      <c r="G62" s="2"/>
      <c r="H62" s="2"/>
      <c r="I62" s="2"/>
      <c r="J62" s="2"/>
      <c r="K62" s="2"/>
      <c r="L62" s="2"/>
      <c r="M62" s="29"/>
      <c r="N62" s="102"/>
    </row>
    <row r="63" spans="2:14" ht="50.25" customHeight="1" thickBot="1" x14ac:dyDescent="0.3">
      <c r="B63" s="53"/>
      <c r="C63" s="130" t="s">
        <v>539</v>
      </c>
      <c r="D63" s="101"/>
      <c r="E63" s="607" t="s">
        <v>44</v>
      </c>
      <c r="F63" s="608"/>
      <c r="G63" s="608"/>
      <c r="H63" s="608"/>
      <c r="I63" s="608"/>
      <c r="J63" s="608"/>
      <c r="K63" s="608"/>
      <c r="L63" s="609"/>
      <c r="M63" s="29"/>
      <c r="N63" s="102"/>
    </row>
    <row r="64" spans="2:14" ht="6.75" customHeight="1" thickBot="1" x14ac:dyDescent="0.3">
      <c r="B64" s="53"/>
      <c r="C64" s="32"/>
      <c r="D64" s="32"/>
      <c r="E64" s="32"/>
      <c r="F64" s="32"/>
      <c r="G64" s="2"/>
      <c r="H64" s="2"/>
      <c r="I64" s="2"/>
      <c r="J64" s="2"/>
      <c r="K64" s="2"/>
      <c r="L64" s="2"/>
      <c r="M64" s="29"/>
      <c r="N64" s="102"/>
    </row>
    <row r="65" spans="1:14" ht="17.25" customHeight="1" thickBot="1" x14ac:dyDescent="0.3">
      <c r="B65" s="53"/>
      <c r="C65" s="65" t="s">
        <v>475</v>
      </c>
      <c r="D65" s="60"/>
      <c r="E65" s="610" t="s">
        <v>155</v>
      </c>
      <c r="F65" s="611"/>
      <c r="G65" s="611"/>
      <c r="H65" s="611"/>
      <c r="I65" s="611"/>
      <c r="J65" s="611"/>
      <c r="K65" s="611"/>
      <c r="L65" s="612"/>
      <c r="M65" s="29"/>
      <c r="N65" s="102"/>
    </row>
    <row r="66" spans="1:14" ht="6.75" customHeight="1" thickBot="1" x14ac:dyDescent="0.3">
      <c r="B66" s="53"/>
      <c r="C66" s="32"/>
      <c r="D66" s="32"/>
      <c r="E66" s="32"/>
      <c r="F66" s="32"/>
      <c r="G66" s="2"/>
      <c r="H66" s="2"/>
      <c r="I66" s="2"/>
      <c r="J66" s="2"/>
      <c r="K66" s="2"/>
      <c r="L66" s="2"/>
      <c r="M66" s="29"/>
      <c r="N66" s="102"/>
    </row>
    <row r="67" spans="1:14" ht="39" customHeight="1" thickBot="1" x14ac:dyDescent="0.3">
      <c r="B67" s="53"/>
      <c r="C67" s="65" t="s">
        <v>478</v>
      </c>
      <c r="D67" s="60"/>
      <c r="E67" s="610" t="s">
        <v>574</v>
      </c>
      <c r="F67" s="611"/>
      <c r="G67" s="611"/>
      <c r="H67" s="611"/>
      <c r="I67" s="611"/>
      <c r="J67" s="611"/>
      <c r="K67" s="611"/>
      <c r="L67" s="612"/>
      <c r="M67" s="29"/>
      <c r="N67" s="102"/>
    </row>
    <row r="68" spans="1:14" ht="6.75" customHeight="1" thickBot="1" x14ac:dyDescent="0.3">
      <c r="A68" s="227"/>
      <c r="B68" s="31"/>
      <c r="C68" s="62"/>
      <c r="D68" s="51"/>
      <c r="E68" s="51"/>
      <c r="F68" s="51"/>
      <c r="G68" s="57"/>
      <c r="H68" s="58"/>
      <c r="I68" s="58"/>
      <c r="J68" s="58"/>
      <c r="K68" s="58"/>
      <c r="L68" s="58"/>
      <c r="M68" s="29"/>
      <c r="N68" s="102"/>
    </row>
    <row r="69" spans="1:14" ht="39" customHeight="1" thickBot="1" x14ac:dyDescent="0.3">
      <c r="B69" s="53"/>
      <c r="C69" s="65" t="s">
        <v>474</v>
      </c>
      <c r="D69" s="60"/>
      <c r="E69" s="610" t="s">
        <v>573</v>
      </c>
      <c r="F69" s="611"/>
      <c r="G69" s="611"/>
      <c r="H69" s="611"/>
      <c r="I69" s="611"/>
      <c r="J69" s="611"/>
      <c r="K69" s="611"/>
      <c r="L69" s="612"/>
      <c r="M69" s="29"/>
      <c r="N69" s="102"/>
    </row>
    <row r="70" spans="1:14" ht="6.75" customHeight="1" thickBot="1" x14ac:dyDescent="0.3">
      <c r="B70" s="53"/>
      <c r="C70" s="32"/>
      <c r="D70" s="32"/>
      <c r="E70" s="32"/>
      <c r="F70" s="32"/>
      <c r="G70" s="2"/>
      <c r="H70" s="2"/>
      <c r="I70" s="2"/>
      <c r="J70" s="2"/>
      <c r="K70" s="2"/>
      <c r="L70" s="2"/>
      <c r="M70" s="29"/>
      <c r="N70" s="102"/>
    </row>
    <row r="71" spans="1:14" ht="74.25" customHeight="1" thickBot="1" x14ac:dyDescent="0.3">
      <c r="B71" s="53"/>
      <c r="C71" s="70" t="s">
        <v>133</v>
      </c>
      <c r="D71" s="67"/>
      <c r="E71" s="604" t="s">
        <v>12</v>
      </c>
      <c r="F71" s="605"/>
      <c r="G71" s="605"/>
      <c r="H71" s="605"/>
      <c r="I71" s="605"/>
      <c r="J71" s="605"/>
      <c r="K71" s="605"/>
      <c r="L71" s="606"/>
      <c r="M71" s="29"/>
      <c r="N71" s="102"/>
    </row>
    <row r="72" spans="1:14" ht="6.75" customHeight="1" thickBot="1" x14ac:dyDescent="0.3">
      <c r="B72" s="55"/>
      <c r="C72" s="33"/>
      <c r="D72" s="33"/>
      <c r="E72" s="33"/>
      <c r="F72" s="33"/>
      <c r="G72" s="33"/>
      <c r="H72" s="33"/>
      <c r="I72" s="33"/>
      <c r="J72" s="33"/>
      <c r="K72" s="33"/>
      <c r="L72" s="33"/>
      <c r="M72" s="34"/>
      <c r="N72" s="102"/>
    </row>
    <row r="73" spans="1:14" ht="9.75" hidden="1" customHeight="1" thickTop="1" x14ac:dyDescent="0.25">
      <c r="N73" s="102"/>
    </row>
    <row r="74" spans="1:14" hidden="1" x14ac:dyDescent="0.25">
      <c r="N74" s="102"/>
    </row>
  </sheetData>
  <sheetProtection password="E218" sheet="1" objects="1" scenarios="1"/>
  <mergeCells count="42">
    <mergeCell ref="E47:L47"/>
    <mergeCell ref="E46:L46"/>
    <mergeCell ref="E10:L10"/>
    <mergeCell ref="E18:L18"/>
    <mergeCell ref="E16:L16"/>
    <mergeCell ref="E20:L20"/>
    <mergeCell ref="E12:L12"/>
    <mergeCell ref="E40:L40"/>
    <mergeCell ref="E28:L28"/>
    <mergeCell ref="E38:L38"/>
    <mergeCell ref="E8:L8"/>
    <mergeCell ref="E24:L24"/>
    <mergeCell ref="C2:I2"/>
    <mergeCell ref="E4:L4"/>
    <mergeCell ref="E6:L6"/>
    <mergeCell ref="E22:L22"/>
    <mergeCell ref="E14:L14"/>
    <mergeCell ref="E51:L51"/>
    <mergeCell ref="E26:L26"/>
    <mergeCell ref="E34:L34"/>
    <mergeCell ref="E44:L44"/>
    <mergeCell ref="E30:L30"/>
    <mergeCell ref="C55:C59"/>
    <mergeCell ref="D55:D59"/>
    <mergeCell ref="I56:J56"/>
    <mergeCell ref="E32:L32"/>
    <mergeCell ref="E36:L36"/>
    <mergeCell ref="E57:F57"/>
    <mergeCell ref="E49:L49"/>
    <mergeCell ref="E42:L42"/>
    <mergeCell ref="C46:C47"/>
    <mergeCell ref="D46:D47"/>
    <mergeCell ref="E71:L71"/>
    <mergeCell ref="E53:L53"/>
    <mergeCell ref="E67:L67"/>
    <mergeCell ref="E65:L65"/>
    <mergeCell ref="E63:L63"/>
    <mergeCell ref="E61:L61"/>
    <mergeCell ref="E56:F56"/>
    <mergeCell ref="E55:L55"/>
    <mergeCell ref="G58:J58"/>
    <mergeCell ref="E69:L69"/>
  </mergeCells>
  <phoneticPr fontId="0" type="noConversion"/>
  <dataValidations count="1">
    <dataValidation type="list" allowBlank="1" showInputMessage="1" showErrorMessage="1" sqref="G57 J57" xr:uid="{03056B88-7CF9-48E4-9E5C-282A9588310C}">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46DA-685D-4583-BF58-66F33BBD3399}">
  <sheetPr codeName="Sheet11">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715" t="s">
        <v>145</v>
      </c>
      <c r="D2" s="716"/>
      <c r="E2" s="716"/>
      <c r="F2" s="716"/>
      <c r="G2" s="717"/>
      <c r="H2" s="717"/>
      <c r="I2" s="717"/>
      <c r="J2" s="717"/>
      <c r="K2" s="718"/>
      <c r="L2" s="718"/>
      <c r="M2" s="718"/>
      <c r="N2" s="718"/>
      <c r="O2" s="718"/>
      <c r="P2" s="48"/>
      <c r="Q2" s="48"/>
      <c r="R2" s="48"/>
      <c r="S2" s="357"/>
      <c r="T2" s="353"/>
      <c r="U2" s="351"/>
    </row>
    <row r="3" spans="1:22" ht="13.5" customHeight="1" thickTop="1" thickBot="1" x14ac:dyDescent="0.3">
      <c r="B3" s="53"/>
      <c r="C3" s="2"/>
      <c r="D3" s="2"/>
      <c r="E3" s="2"/>
      <c r="F3" s="2"/>
      <c r="G3" s="2"/>
      <c r="H3" s="2"/>
      <c r="I3" s="2"/>
      <c r="J3" s="2"/>
      <c r="K3" s="2"/>
      <c r="L3" s="2"/>
      <c r="M3" s="2"/>
      <c r="N3" s="2"/>
      <c r="O3" s="2"/>
      <c r="P3" s="2"/>
      <c r="Q3" s="2"/>
      <c r="R3" s="2"/>
      <c r="S3" s="358"/>
      <c r="T3" s="354"/>
      <c r="U3" s="350"/>
    </row>
    <row r="4" spans="1:22" ht="36.75" customHeight="1" thickBot="1" x14ac:dyDescent="0.3">
      <c r="B4" s="53"/>
      <c r="C4" s="719" t="s">
        <v>68</v>
      </c>
      <c r="D4" s="720"/>
      <c r="E4" s="720"/>
      <c r="F4" s="720"/>
      <c r="G4" s="720"/>
      <c r="H4" s="720"/>
      <c r="I4" s="720"/>
      <c r="J4" s="720"/>
      <c r="K4" s="720"/>
      <c r="L4" s="720"/>
      <c r="M4" s="720"/>
      <c r="N4" s="720"/>
      <c r="O4" s="720"/>
      <c r="P4" s="720"/>
      <c r="Q4" s="720"/>
      <c r="R4" s="721"/>
      <c r="S4" s="358"/>
      <c r="T4" s="354"/>
      <c r="U4" s="350"/>
    </row>
    <row r="5" spans="1:22" ht="18.75" customHeight="1" thickTop="1" x14ac:dyDescent="0.25">
      <c r="B5" s="53"/>
      <c r="C5" s="341"/>
      <c r="D5" s="691" t="s">
        <v>414</v>
      </c>
      <c r="E5" s="692"/>
      <c r="F5" s="692"/>
      <c r="G5" s="692"/>
      <c r="H5" s="692"/>
      <c r="I5" s="692"/>
      <c r="J5" s="692"/>
      <c r="K5" s="692"/>
      <c r="L5" s="692"/>
      <c r="M5" s="692"/>
      <c r="N5" s="692"/>
      <c r="O5" s="692"/>
      <c r="P5" s="692"/>
      <c r="Q5" s="692"/>
      <c r="R5" s="693"/>
      <c r="S5" s="358"/>
      <c r="T5" s="354"/>
      <c r="U5" s="350"/>
    </row>
    <row r="6" spans="1:22" ht="34.5" customHeight="1" thickBot="1" x14ac:dyDescent="0.3">
      <c r="B6" s="53"/>
      <c r="C6" s="342" t="s">
        <v>69</v>
      </c>
      <c r="D6" s="694" t="s">
        <v>469</v>
      </c>
      <c r="E6" s="695"/>
      <c r="F6" s="696"/>
      <c r="G6" s="703" t="s">
        <v>511</v>
      </c>
      <c r="H6" s="695"/>
      <c r="I6" s="696"/>
      <c r="J6" s="703" t="s">
        <v>512</v>
      </c>
      <c r="K6" s="695"/>
      <c r="L6" s="696"/>
      <c r="M6" s="703" t="s">
        <v>513</v>
      </c>
      <c r="N6" s="695"/>
      <c r="O6" s="696"/>
      <c r="P6" s="703" t="s">
        <v>514</v>
      </c>
      <c r="Q6" s="695"/>
      <c r="R6" s="704"/>
      <c r="S6" s="358"/>
      <c r="T6" s="354"/>
      <c r="U6" s="350"/>
    </row>
    <row r="7" spans="1:22" ht="66.75" customHeight="1" thickTop="1" x14ac:dyDescent="0.25">
      <c r="B7" s="53"/>
      <c r="C7" s="343" t="s">
        <v>562</v>
      </c>
      <c r="D7" s="697" t="s">
        <v>563</v>
      </c>
      <c r="E7" s="698"/>
      <c r="F7" s="699"/>
      <c r="G7" s="705" t="s">
        <v>564</v>
      </c>
      <c r="H7" s="698"/>
      <c r="I7" s="699"/>
      <c r="J7" s="705" t="s">
        <v>565</v>
      </c>
      <c r="K7" s="698"/>
      <c r="L7" s="722"/>
      <c r="M7" s="705" t="s">
        <v>159</v>
      </c>
      <c r="N7" s="698"/>
      <c r="O7" s="722"/>
      <c r="P7" s="705" t="s">
        <v>160</v>
      </c>
      <c r="Q7" s="698"/>
      <c r="R7" s="722"/>
      <c r="S7" s="358"/>
      <c r="T7" s="354"/>
      <c r="U7" s="350"/>
    </row>
    <row r="8" spans="1:22" ht="78" customHeight="1" x14ac:dyDescent="0.25">
      <c r="B8" s="53"/>
      <c r="C8" s="344" t="s">
        <v>161</v>
      </c>
      <c r="D8" s="700" t="s">
        <v>162</v>
      </c>
      <c r="E8" s="701"/>
      <c r="F8" s="702"/>
      <c r="G8" s="706" t="s">
        <v>163</v>
      </c>
      <c r="H8" s="701"/>
      <c r="I8" s="702"/>
      <c r="J8" s="706" t="s">
        <v>164</v>
      </c>
      <c r="K8" s="701"/>
      <c r="L8" s="707"/>
      <c r="M8" s="706" t="s">
        <v>165</v>
      </c>
      <c r="N8" s="701"/>
      <c r="O8" s="707"/>
      <c r="P8" s="706" t="s">
        <v>516</v>
      </c>
      <c r="Q8" s="701"/>
      <c r="R8" s="707"/>
      <c r="S8" s="358"/>
      <c r="T8" s="354"/>
      <c r="U8" s="350"/>
    </row>
    <row r="9" spans="1:22" ht="105.75" customHeight="1" x14ac:dyDescent="0.25">
      <c r="B9" s="53"/>
      <c r="C9" s="344" t="s">
        <v>517</v>
      </c>
      <c r="D9" s="708"/>
      <c r="E9" s="709"/>
      <c r="F9" s="710"/>
      <c r="G9" s="711" t="s">
        <v>518</v>
      </c>
      <c r="H9" s="712"/>
      <c r="I9" s="713"/>
      <c r="J9" s="706" t="s">
        <v>552</v>
      </c>
      <c r="K9" s="701"/>
      <c r="L9" s="707"/>
      <c r="M9" s="706" t="s">
        <v>553</v>
      </c>
      <c r="N9" s="701"/>
      <c r="O9" s="707"/>
      <c r="P9" s="706" t="s">
        <v>362</v>
      </c>
      <c r="Q9" s="701"/>
      <c r="R9" s="707"/>
      <c r="S9" s="358"/>
      <c r="T9" s="354"/>
      <c r="U9" s="350"/>
    </row>
    <row r="10" spans="1:22" ht="68.25" customHeight="1" x14ac:dyDescent="0.25">
      <c r="B10" s="53"/>
      <c r="C10" s="344" t="s">
        <v>363</v>
      </c>
      <c r="D10" s="708"/>
      <c r="E10" s="709"/>
      <c r="F10" s="710"/>
      <c r="G10" s="714"/>
      <c r="H10" s="709"/>
      <c r="I10" s="710"/>
      <c r="J10" s="706" t="s">
        <v>364</v>
      </c>
      <c r="K10" s="701"/>
      <c r="L10" s="707"/>
      <c r="M10" s="706" t="s">
        <v>365</v>
      </c>
      <c r="N10" s="701"/>
      <c r="O10" s="707"/>
      <c r="P10" s="706" t="s">
        <v>366</v>
      </c>
      <c r="Q10" s="701"/>
      <c r="R10" s="707"/>
      <c r="S10" s="358"/>
      <c r="T10" s="354"/>
      <c r="U10" s="350"/>
    </row>
    <row r="11" spans="1:22" ht="84" customHeight="1" thickBot="1" x14ac:dyDescent="0.3">
      <c r="B11" s="53"/>
      <c r="C11" s="345" t="s">
        <v>367</v>
      </c>
      <c r="D11" s="678"/>
      <c r="E11" s="679"/>
      <c r="F11" s="680"/>
      <c r="G11" s="681"/>
      <c r="H11" s="679"/>
      <c r="I11" s="680"/>
      <c r="J11" s="682" t="s">
        <v>411</v>
      </c>
      <c r="K11" s="683"/>
      <c r="L11" s="684"/>
      <c r="M11" s="682" t="s">
        <v>412</v>
      </c>
      <c r="N11" s="683"/>
      <c r="O11" s="684"/>
      <c r="P11" s="682" t="s">
        <v>413</v>
      </c>
      <c r="Q11" s="683"/>
      <c r="R11" s="684"/>
      <c r="S11" s="358"/>
      <c r="T11" s="354"/>
      <c r="U11" s="350"/>
    </row>
    <row r="12" spans="1:22" ht="21" customHeight="1" thickTop="1" thickBot="1" x14ac:dyDescent="0.3">
      <c r="B12" s="53"/>
      <c r="C12" s="688" t="s">
        <v>510</v>
      </c>
      <c r="D12" s="689"/>
      <c r="E12" s="689"/>
      <c r="F12" s="689"/>
      <c r="G12" s="689"/>
      <c r="H12" s="689"/>
      <c r="I12" s="689"/>
      <c r="J12" s="689"/>
      <c r="K12" s="689"/>
      <c r="L12" s="689"/>
      <c r="M12" s="689"/>
      <c r="N12" s="689"/>
      <c r="O12" s="689"/>
      <c r="P12" s="689"/>
      <c r="Q12" s="689"/>
      <c r="R12" s="690"/>
      <c r="S12" s="358"/>
      <c r="T12" s="354"/>
      <c r="U12" s="350"/>
    </row>
    <row r="13" spans="1:22" ht="19.5" customHeight="1" thickBot="1" x14ac:dyDescent="0.3">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25">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25">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1</v>
      </c>
      <c r="L16" s="350"/>
      <c r="M16" s="350"/>
      <c r="N16" s="350">
        <f>IF(AND(GradingAssessment!$G$22&gt;=N14,GradingAssessment!$G$22&lt;='Loss Control Planning'!N15),1,0)</f>
        <v>0</v>
      </c>
      <c r="O16" s="350"/>
      <c r="P16" s="350"/>
      <c r="Q16" s="350">
        <f>IF(AND(GradingAssessment!$G$22&gt;=Q14,GradingAssessment!$G$22&lt;='Loss Control Planning'!Q15),1,0)</f>
        <v>0</v>
      </c>
      <c r="R16" s="350"/>
      <c r="S16" s="358"/>
      <c r="T16" s="354"/>
      <c r="U16" s="350"/>
    </row>
    <row r="17" spans="2:22" ht="140.25" customHeight="1" thickBot="1" x14ac:dyDescent="0.35">
      <c r="B17" s="53"/>
      <c r="C17" s="685" t="s">
        <v>111</v>
      </c>
      <c r="D17" s="686"/>
      <c r="E17" s="686"/>
      <c r="F17" s="686"/>
      <c r="G17" s="686"/>
      <c r="H17" s="686"/>
      <c r="I17" s="686"/>
      <c r="J17" s="686"/>
      <c r="K17" s="686"/>
      <c r="L17" s="686"/>
      <c r="M17" s="686"/>
      <c r="N17" s="686"/>
      <c r="O17" s="686"/>
      <c r="P17" s="686"/>
      <c r="Q17" s="686"/>
      <c r="R17" s="687"/>
      <c r="S17" s="358"/>
      <c r="T17" s="354"/>
      <c r="U17" s="350"/>
    </row>
    <row r="18" spans="2:22" ht="8.25" customHeight="1" thickBot="1" x14ac:dyDescent="0.3">
      <c r="B18" s="53"/>
      <c r="C18" s="32"/>
      <c r="D18" s="32"/>
      <c r="E18" s="32"/>
      <c r="F18" s="32"/>
      <c r="G18" s="2"/>
      <c r="H18" s="2"/>
      <c r="I18" s="2"/>
      <c r="J18" s="2"/>
      <c r="K18" s="2"/>
      <c r="L18" s="2"/>
      <c r="M18" s="2"/>
      <c r="N18" s="2"/>
      <c r="O18" s="2"/>
      <c r="P18" s="2"/>
      <c r="Q18" s="2"/>
      <c r="R18" s="2"/>
      <c r="S18" s="358"/>
      <c r="T18" s="354"/>
      <c r="U18" s="350"/>
    </row>
    <row r="19" spans="2:22" ht="42" customHeight="1" thickBot="1" x14ac:dyDescent="0.3">
      <c r="B19" s="53"/>
      <c r="C19" s="675" t="s">
        <v>182</v>
      </c>
      <c r="D19" s="676"/>
      <c r="E19" s="676"/>
      <c r="F19" s="676"/>
      <c r="G19" s="676"/>
      <c r="H19" s="676"/>
      <c r="I19" s="676"/>
      <c r="J19" s="676"/>
      <c r="K19" s="676"/>
      <c r="L19" s="676"/>
      <c r="M19" s="676"/>
      <c r="N19" s="676"/>
      <c r="O19" s="676"/>
      <c r="P19" s="676"/>
      <c r="Q19" s="676"/>
      <c r="R19" s="677"/>
      <c r="S19" s="358"/>
      <c r="T19" s="354"/>
      <c r="U19" s="350"/>
    </row>
    <row r="20" spans="2:22" ht="26.25" customHeight="1" thickBot="1" x14ac:dyDescent="0.3">
      <c r="B20" s="53"/>
      <c r="C20" s="98" t="s">
        <v>346</v>
      </c>
      <c r="D20" s="668" t="s">
        <v>349</v>
      </c>
      <c r="E20" s="669"/>
      <c r="F20" s="669"/>
      <c r="G20" s="669"/>
      <c r="H20" s="670"/>
      <c r="I20" s="668" t="s">
        <v>347</v>
      </c>
      <c r="J20" s="669"/>
      <c r="K20" s="669"/>
      <c r="L20" s="669"/>
      <c r="M20" s="670"/>
      <c r="N20" s="668" t="s">
        <v>348</v>
      </c>
      <c r="O20" s="669"/>
      <c r="P20" s="669"/>
      <c r="Q20" s="669"/>
      <c r="R20" s="670"/>
      <c r="S20" s="358"/>
      <c r="T20" s="354"/>
      <c r="U20" s="350"/>
    </row>
    <row r="21" spans="2:22" ht="84.75" customHeight="1" x14ac:dyDescent="0.25">
      <c r="B21" s="53">
        <v>1</v>
      </c>
      <c r="C21" s="346" t="s">
        <v>350</v>
      </c>
      <c r="D21" s="671" t="s">
        <v>175</v>
      </c>
      <c r="E21" s="672"/>
      <c r="F21" s="672"/>
      <c r="G21" s="672"/>
      <c r="H21" s="673"/>
      <c r="I21" s="671" t="s">
        <v>177</v>
      </c>
      <c r="J21" s="672"/>
      <c r="K21" s="672"/>
      <c r="L21" s="672"/>
      <c r="M21" s="673"/>
      <c r="N21" s="671" t="s">
        <v>179</v>
      </c>
      <c r="O21" s="672"/>
      <c r="P21" s="672"/>
      <c r="Q21" s="672"/>
      <c r="R21" s="674"/>
      <c r="S21" s="358">
        <f>IF(AND('Reporting Worksheet'!$I$105&gt;='Loss Control Planning'!U21,'Reporting Worksheet'!$I$105&lt;='Loss Control Planning'!V21),1,0)</f>
        <v>0</v>
      </c>
      <c r="T21" s="354"/>
      <c r="U21" s="350">
        <v>1</v>
      </c>
      <c r="V21" s="362">
        <v>3</v>
      </c>
    </row>
    <row r="22" spans="2:22" ht="97.5" customHeight="1" x14ac:dyDescent="0.25">
      <c r="B22" s="53">
        <v>2</v>
      </c>
      <c r="C22" s="347" t="s">
        <v>273</v>
      </c>
      <c r="D22" s="661" t="s">
        <v>184</v>
      </c>
      <c r="E22" s="662"/>
      <c r="F22" s="662"/>
      <c r="G22" s="662"/>
      <c r="H22" s="667"/>
      <c r="I22" s="661" t="s">
        <v>178</v>
      </c>
      <c r="J22" s="662"/>
      <c r="K22" s="662"/>
      <c r="L22" s="662"/>
      <c r="M22" s="667"/>
      <c r="N22" s="661" t="s">
        <v>180</v>
      </c>
      <c r="O22" s="662"/>
      <c r="P22" s="662"/>
      <c r="Q22" s="662"/>
      <c r="R22" s="663"/>
      <c r="S22" s="358">
        <f>IF(AND('Reporting Worksheet'!$I$105&gt;='Loss Control Planning'!U22,'Reporting Worksheet'!$I$105&lt;='Loss Control Planning'!V22),1,0)</f>
        <v>0</v>
      </c>
      <c r="T22" s="354"/>
      <c r="U22" s="350">
        <v>3</v>
      </c>
      <c r="V22" s="322">
        <v>5</v>
      </c>
    </row>
    <row r="23" spans="2:22" ht="72.75" customHeight="1" x14ac:dyDescent="0.25">
      <c r="B23" s="53">
        <v>3</v>
      </c>
      <c r="C23" s="349" t="s">
        <v>274</v>
      </c>
      <c r="D23" s="661" t="s">
        <v>176</v>
      </c>
      <c r="E23" s="662"/>
      <c r="F23" s="662"/>
      <c r="G23" s="662"/>
      <c r="H23" s="667"/>
      <c r="I23" s="661" t="s">
        <v>170</v>
      </c>
      <c r="J23" s="662"/>
      <c r="K23" s="662"/>
      <c r="L23" s="662"/>
      <c r="M23" s="667"/>
      <c r="N23" s="661" t="s">
        <v>181</v>
      </c>
      <c r="O23" s="662"/>
      <c r="P23" s="662"/>
      <c r="Q23" s="662"/>
      <c r="R23" s="663"/>
      <c r="S23" s="358">
        <f>IF(AND('Reporting Worksheet'!$I$105&gt;='Loss Control Planning'!U23,'Reporting Worksheet'!$I$105&lt;='Loss Control Planning'!V23),1,0)</f>
        <v>0</v>
      </c>
      <c r="T23" s="354"/>
      <c r="U23" s="350">
        <v>5</v>
      </c>
      <c r="V23" s="322">
        <v>8</v>
      </c>
    </row>
    <row r="24" spans="2:22" ht="48" customHeight="1" x14ac:dyDescent="0.25">
      <c r="B24" s="53"/>
      <c r="C24" s="347" t="s">
        <v>351</v>
      </c>
      <c r="D24" s="661" t="s">
        <v>183</v>
      </c>
      <c r="E24" s="662"/>
      <c r="F24" s="662"/>
      <c r="G24" s="662"/>
      <c r="H24" s="662"/>
      <c r="I24" s="662"/>
      <c r="J24" s="662"/>
      <c r="K24" s="662"/>
      <c r="L24" s="662"/>
      <c r="M24" s="662"/>
      <c r="N24" s="662"/>
      <c r="O24" s="662"/>
      <c r="P24" s="662"/>
      <c r="Q24" s="662"/>
      <c r="R24" s="663"/>
      <c r="S24" s="358">
        <f>IF('Reporting Worksheet'!$I$105&gt;'Loss Control Planning'!U24,1,0)</f>
        <v>1</v>
      </c>
      <c r="T24" s="354"/>
      <c r="U24" s="350">
        <v>8</v>
      </c>
    </row>
    <row r="25" spans="2:22" ht="98.25" customHeight="1" thickBot="1" x14ac:dyDescent="0.3">
      <c r="B25" s="53">
        <v>4</v>
      </c>
      <c r="C25" s="348" t="s">
        <v>590</v>
      </c>
      <c r="D25" s="664" t="s">
        <v>317</v>
      </c>
      <c r="E25" s="665"/>
      <c r="F25" s="665"/>
      <c r="G25" s="665"/>
      <c r="H25" s="665"/>
      <c r="I25" s="665"/>
      <c r="J25" s="665"/>
      <c r="K25" s="665"/>
      <c r="L25" s="665"/>
      <c r="M25" s="665"/>
      <c r="N25" s="665"/>
      <c r="O25" s="665"/>
      <c r="P25" s="665"/>
      <c r="Q25" s="665"/>
      <c r="R25" s="666"/>
      <c r="S25" s="358">
        <f>IF('Reporting Worksheet'!$I$105&lt;1,1,0)</f>
        <v>0</v>
      </c>
      <c r="T25" s="354"/>
      <c r="U25" s="350">
        <v>1</v>
      </c>
    </row>
    <row r="26" spans="2:22" ht="9" customHeight="1" x14ac:dyDescent="0.25">
      <c r="B26" s="53"/>
      <c r="C26" s="32"/>
      <c r="D26" s="32"/>
      <c r="E26" s="32"/>
      <c r="F26" s="32"/>
      <c r="G26" s="2"/>
      <c r="H26" s="2"/>
      <c r="I26" s="2"/>
      <c r="J26" s="2"/>
      <c r="K26" s="2"/>
      <c r="L26" s="2"/>
      <c r="M26" s="2"/>
      <c r="N26" s="2"/>
      <c r="O26" s="2"/>
      <c r="P26" s="2"/>
      <c r="Q26" s="2"/>
      <c r="R26" s="2"/>
      <c r="S26" s="358"/>
      <c r="T26" s="354"/>
      <c r="U26" s="350"/>
    </row>
    <row r="30" spans="2:22" ht="6" customHeight="1" thickBot="1" x14ac:dyDescent="0.3">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25"/>
    <row r="32" spans="2:2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x14ac:dyDescent="0.25"/>
    <row r="81" ht="13.5" hidden="1" x14ac:dyDescent="0.25"/>
    <row r="82" ht="13.5" hidden="1" x14ac:dyDescent="0.25"/>
    <row r="83" ht="13.5" hidden="1" x14ac:dyDescent="0.25"/>
    <row r="84" ht="13.5" hidden="1" x14ac:dyDescent="0.25"/>
    <row r="85" ht="13.5" hidden="1" x14ac:dyDescent="0.25"/>
    <row r="86" ht="13.5" hidden="1" x14ac:dyDescent="0.25"/>
    <row r="87" ht="13.5" hidden="1" x14ac:dyDescent="0.25"/>
    <row r="88" ht="13.5" hidden="1" x14ac:dyDescent="0.25"/>
    <row r="89" ht="13.5" hidden="1" x14ac:dyDescent="0.25"/>
    <row r="90" ht="13.5" hidden="1" x14ac:dyDescent="0.25"/>
    <row r="91" ht="13.5" hidden="1" x14ac:dyDescent="0.25"/>
    <row r="92" ht="13.5" hidden="1" x14ac:dyDescent="0.25"/>
    <row r="93" ht="13.5" hidden="1" x14ac:dyDescent="0.25"/>
    <row r="94" ht="13.5" hidden="1" customHeight="1" x14ac:dyDescent="0.25"/>
  </sheetData>
  <sheetProtection password="E218" sheet="1" objects="1" scenarios="1" selectLockedCells="1"/>
  <mergeCells count="50">
    <mergeCell ref="C2:O2"/>
    <mergeCell ref="G8:I8"/>
    <mergeCell ref="J8:L8"/>
    <mergeCell ref="M8:O8"/>
    <mergeCell ref="C4:R4"/>
    <mergeCell ref="J7:L7"/>
    <mergeCell ref="M7:O7"/>
    <mergeCell ref="P7:R7"/>
    <mergeCell ref="J6:L6"/>
    <mergeCell ref="M6:O6"/>
    <mergeCell ref="P10:R10"/>
    <mergeCell ref="D9:F9"/>
    <mergeCell ref="G9:I9"/>
    <mergeCell ref="J9:L9"/>
    <mergeCell ref="M9:O9"/>
    <mergeCell ref="P9:R9"/>
    <mergeCell ref="D10:F10"/>
    <mergeCell ref="G10:I10"/>
    <mergeCell ref="J10:L10"/>
    <mergeCell ref="M10:O10"/>
    <mergeCell ref="D5:R5"/>
    <mergeCell ref="D6:F6"/>
    <mergeCell ref="D7:F7"/>
    <mergeCell ref="D8:F8"/>
    <mergeCell ref="G6:I6"/>
    <mergeCell ref="P6:R6"/>
    <mergeCell ref="G7:I7"/>
    <mergeCell ref="P8:R8"/>
    <mergeCell ref="C19:R19"/>
    <mergeCell ref="D11:F11"/>
    <mergeCell ref="G11:I11"/>
    <mergeCell ref="J11:L11"/>
    <mergeCell ref="M11:O11"/>
    <mergeCell ref="P11:R11"/>
    <mergeCell ref="C17:R17"/>
    <mergeCell ref="C12:R12"/>
    <mergeCell ref="D20:H20"/>
    <mergeCell ref="D21:H21"/>
    <mergeCell ref="N20:R20"/>
    <mergeCell ref="N21:R21"/>
    <mergeCell ref="I20:M20"/>
    <mergeCell ref="I21:M21"/>
    <mergeCell ref="N22:R22"/>
    <mergeCell ref="N23:R23"/>
    <mergeCell ref="D24:R24"/>
    <mergeCell ref="D25:R25"/>
    <mergeCell ref="D22:H22"/>
    <mergeCell ref="D23:H23"/>
    <mergeCell ref="I22:M22"/>
    <mergeCell ref="I23:M23"/>
  </mergeCells>
  <phoneticPr fontId="0" type="noConversion"/>
  <conditionalFormatting sqref="C12:R13">
    <cfRule type="expression" dxfId="97" priority="1" stopIfTrue="1">
      <formula>OR(E16=1,H16=1)</formula>
    </cfRule>
  </conditionalFormatting>
  <conditionalFormatting sqref="P6:R11">
    <cfRule type="expression" dxfId="96" priority="2" stopIfTrue="1">
      <formula>$Q$16=1</formula>
    </cfRule>
  </conditionalFormatting>
  <conditionalFormatting sqref="M6:O11">
    <cfRule type="expression" dxfId="95" priority="3" stopIfTrue="1">
      <formula>$N$16=1</formula>
    </cfRule>
  </conditionalFormatting>
  <conditionalFormatting sqref="J6:L11">
    <cfRule type="expression" dxfId="94" priority="4" stopIfTrue="1">
      <formula>$K$16=1</formula>
    </cfRule>
  </conditionalFormatting>
  <conditionalFormatting sqref="G6:I9">
    <cfRule type="expression" dxfId="93" priority="5" stopIfTrue="1">
      <formula>$H$16=1</formula>
    </cfRule>
  </conditionalFormatting>
  <conditionalFormatting sqref="D6:F8">
    <cfRule type="expression" dxfId="92" priority="6" stopIfTrue="1">
      <formula>$E$16=1</formula>
    </cfRule>
  </conditionalFormatting>
  <conditionalFormatting sqref="C22:R22">
    <cfRule type="expression" dxfId="91" priority="7" stopIfTrue="1">
      <formula>$S$22=1</formula>
    </cfRule>
  </conditionalFormatting>
  <conditionalFormatting sqref="C23:R23">
    <cfRule type="expression" dxfId="90" priority="8" stopIfTrue="1">
      <formula>$S$23=1</formula>
    </cfRule>
  </conditionalFormatting>
  <conditionalFormatting sqref="C24:R24">
    <cfRule type="expression" dxfId="89" priority="9" stopIfTrue="1">
      <formula>$S$24=1</formula>
    </cfRule>
  </conditionalFormatting>
  <conditionalFormatting sqref="C25:R25">
    <cfRule type="expression" dxfId="88" priority="10" stopIfTrue="1">
      <formula>$S$25=1</formula>
    </cfRule>
  </conditionalFormatting>
  <conditionalFormatting sqref="C21">
    <cfRule type="expression" dxfId="87" priority="11" stopIfTrue="1">
      <formula>$S$21=1</formula>
    </cfRule>
  </conditionalFormatting>
  <conditionalFormatting sqref="D21:H21">
    <cfRule type="expression" dxfId="86" priority="12" stopIfTrue="1">
      <formula>S21=1</formula>
    </cfRule>
  </conditionalFormatting>
  <conditionalFormatting sqref="I21:M21">
    <cfRule type="expression" dxfId="85" priority="13" stopIfTrue="1">
      <formula>S21=1</formula>
    </cfRule>
  </conditionalFormatting>
  <conditionalFormatting sqref="N21:R21">
    <cfRule type="expression" dxfId="84" priority="14" stopIfTrue="1">
      <formula>S21=1</formula>
    </cfRule>
  </conditionalFormatting>
  <printOptions horizontalCentered="1" verticalCentered="1"/>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4119-2460-4E0F-AC2E-51865F74EE68}">
  <sheetPr codeName="Sheet12">
    <tabColor indexed="43"/>
    <pageSetUpPr fitToPage="1"/>
  </sheetPr>
  <dimension ref="A1:Q152"/>
  <sheetViews>
    <sheetView showGridLines="0" workbookViewId="0">
      <pane ySplit="6" topLeftCell="A22"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2" t="s">
        <v>141</v>
      </c>
      <c r="C2" s="483"/>
      <c r="D2" s="483"/>
      <c r="E2" s="483"/>
      <c r="F2" s="483"/>
      <c r="G2" s="483"/>
      <c r="H2" s="483"/>
      <c r="I2" s="483"/>
      <c r="J2" s="48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532</v>
      </c>
      <c r="D4" s="167" t="s">
        <v>146</v>
      </c>
      <c r="E4" s="296"/>
      <c r="F4" s="168"/>
      <c r="G4" s="146"/>
      <c r="H4" s="146"/>
      <c r="I4" s="146"/>
      <c r="J4" s="146"/>
      <c r="K4" s="169"/>
      <c r="L4" s="4"/>
      <c r="M4" s="4"/>
      <c r="N4" s="137"/>
    </row>
    <row r="5" spans="1:16" s="104" customFormat="1" x14ac:dyDescent="0.25">
      <c r="A5" s="133"/>
      <c r="B5" s="136"/>
      <c r="C5" s="170" t="s">
        <v>533</v>
      </c>
      <c r="D5" s="737">
        <v>2008</v>
      </c>
      <c r="E5" s="738"/>
      <c r="F5" s="171"/>
      <c r="G5" s="741" t="s">
        <v>264</v>
      </c>
      <c r="H5" s="742"/>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9"/>
      <c r="D7" s="489"/>
      <c r="E7" s="489"/>
      <c r="F7" s="489"/>
      <c r="G7" s="489"/>
      <c r="H7" s="489"/>
      <c r="I7" s="489"/>
      <c r="J7" s="489"/>
      <c r="K7" s="489"/>
      <c r="L7" s="489"/>
      <c r="M7" s="489"/>
      <c r="N7" s="137"/>
    </row>
    <row r="8" spans="1:16" s="104" customFormat="1" ht="13.5" customHeight="1" x14ac:dyDescent="0.25">
      <c r="A8" s="133"/>
      <c r="B8" s="136"/>
      <c r="C8" s="489"/>
      <c r="D8" s="489"/>
      <c r="E8" s="489"/>
      <c r="F8" s="489"/>
      <c r="G8" s="489"/>
      <c r="H8" s="489"/>
      <c r="I8" s="489"/>
      <c r="J8" s="489"/>
      <c r="K8" s="489"/>
      <c r="L8" s="489"/>
      <c r="M8" s="489"/>
      <c r="N8" s="137"/>
    </row>
    <row r="9" spans="1:16" s="104" customFormat="1" ht="15" customHeight="1" x14ac:dyDescent="0.25">
      <c r="A9" s="133"/>
      <c r="B9" s="136"/>
      <c r="C9" s="173"/>
      <c r="D9" s="173"/>
      <c r="E9" s="297"/>
      <c r="F9" s="173"/>
      <c r="G9" s="174" t="s">
        <v>243</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277</v>
      </c>
      <c r="D12" s="526" t="s">
        <v>235</v>
      </c>
      <c r="E12" s="515"/>
      <c r="F12" s="515"/>
      <c r="G12" s="515"/>
      <c r="H12" s="515"/>
      <c r="I12" s="515"/>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575</v>
      </c>
      <c r="D14" s="131"/>
      <c r="E14" s="457">
        <v>7</v>
      </c>
      <c r="F14" s="12"/>
      <c r="G14" s="458">
        <v>94536.9</v>
      </c>
      <c r="H14" s="5"/>
      <c r="I14" s="459" t="s">
        <v>244</v>
      </c>
      <c r="J14" s="175"/>
      <c r="K14" s="176"/>
      <c r="L14" s="78"/>
      <c r="M14" s="78"/>
      <c r="N14" s="137"/>
    </row>
    <row r="15" spans="1:16" s="104" customFormat="1" x14ac:dyDescent="0.25">
      <c r="A15" s="133"/>
      <c r="B15" s="136"/>
      <c r="C15" s="151" t="s">
        <v>515</v>
      </c>
      <c r="D15" s="3"/>
      <c r="E15" s="457">
        <v>10</v>
      </c>
      <c r="F15" s="12"/>
      <c r="G15" s="458">
        <v>2779.3</v>
      </c>
      <c r="H15" s="5"/>
      <c r="I15" s="739" t="s">
        <v>211</v>
      </c>
      <c r="J15" s="740"/>
      <c r="K15" s="729" t="s">
        <v>245</v>
      </c>
      <c r="L15" s="730"/>
      <c r="M15" s="730"/>
      <c r="N15" s="137"/>
    </row>
    <row r="16" spans="1:16" s="104" customFormat="1" x14ac:dyDescent="0.25">
      <c r="A16" s="133"/>
      <c r="B16" s="136"/>
      <c r="C16" s="151" t="s">
        <v>117</v>
      </c>
      <c r="D16" s="3"/>
      <c r="E16" s="457" t="s">
        <v>81</v>
      </c>
      <c r="F16" s="12"/>
      <c r="G16" s="458"/>
      <c r="H16" s="5"/>
      <c r="I16" s="459" t="s">
        <v>245</v>
      </c>
      <c r="J16" s="251" t="s">
        <v>470</v>
      </c>
      <c r="K16" s="176"/>
      <c r="L16" s="78"/>
      <c r="M16" s="417"/>
      <c r="N16" s="137"/>
    </row>
    <row r="17" spans="1:17" s="104" customFormat="1" x14ac:dyDescent="0.25">
      <c r="A17" s="133"/>
      <c r="B17" s="136"/>
      <c r="C17" s="151" t="s">
        <v>118</v>
      </c>
      <c r="D17" s="3"/>
      <c r="E17" s="457">
        <v>10</v>
      </c>
      <c r="F17" s="12"/>
      <c r="G17" s="458">
        <v>7100.4</v>
      </c>
      <c r="H17" s="5"/>
      <c r="I17" s="459" t="s">
        <v>245</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276</v>
      </c>
      <c r="D19" s="81"/>
      <c r="E19" s="384"/>
      <c r="F19" s="12"/>
      <c r="G19" s="249">
        <v>84657.2</v>
      </c>
      <c r="H19" s="5"/>
      <c r="I19" s="459" t="s">
        <v>245</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151</v>
      </c>
      <c r="F21" s="12"/>
      <c r="G21" s="4"/>
      <c r="H21" s="4"/>
      <c r="I21" s="4"/>
      <c r="J21" s="13"/>
      <c r="K21" s="13"/>
      <c r="L21" s="13"/>
      <c r="M21" s="4"/>
      <c r="N21" s="137"/>
    </row>
    <row r="22" spans="1:17" s="104" customFormat="1" x14ac:dyDescent="0.25">
      <c r="A22" s="133"/>
      <c r="B22" s="136"/>
      <c r="C22" s="3" t="s">
        <v>278</v>
      </c>
      <c r="D22" s="3"/>
      <c r="E22" s="386"/>
      <c r="F22" s="3"/>
      <c r="G22" s="3"/>
      <c r="H22" s="3"/>
      <c r="I22" s="3"/>
      <c r="J22" s="3"/>
      <c r="K22" s="3"/>
      <c r="L22" s="3"/>
      <c r="M22" s="3"/>
      <c r="N22" s="137"/>
    </row>
    <row r="23" spans="1:17" s="104" customFormat="1" x14ac:dyDescent="0.25">
      <c r="A23" s="133"/>
      <c r="B23" s="136"/>
      <c r="C23" s="151" t="s">
        <v>576</v>
      </c>
      <c r="D23" s="9"/>
      <c r="E23" s="457">
        <v>7</v>
      </c>
      <c r="F23" s="12"/>
      <c r="G23" s="458">
        <v>57242.400000000001</v>
      </c>
      <c r="H23" s="5"/>
      <c r="I23" s="459" t="s">
        <v>245</v>
      </c>
      <c r="J23" s="175"/>
      <c r="K23" s="176"/>
      <c r="L23" s="4"/>
      <c r="M23" s="4"/>
      <c r="N23" s="137"/>
      <c r="P23" s="17"/>
      <c r="Q23" s="17"/>
    </row>
    <row r="24" spans="1:17" s="104" customFormat="1" x14ac:dyDescent="0.25">
      <c r="A24" s="133"/>
      <c r="B24" s="136"/>
      <c r="C24" s="151" t="s">
        <v>577</v>
      </c>
      <c r="D24" s="9"/>
      <c r="E24" s="457" t="s">
        <v>81</v>
      </c>
      <c r="F24" s="12"/>
      <c r="G24" s="458"/>
      <c r="H24" s="5"/>
      <c r="I24" s="459" t="s">
        <v>245</v>
      </c>
      <c r="J24" s="175"/>
      <c r="K24" s="176"/>
      <c r="L24" s="151"/>
      <c r="M24" s="151"/>
      <c r="N24" s="137"/>
      <c r="P24" s="17"/>
      <c r="Q24" s="17"/>
    </row>
    <row r="25" spans="1:17" s="104" customFormat="1" x14ac:dyDescent="0.25">
      <c r="A25" s="133"/>
      <c r="B25" s="136"/>
      <c r="C25" s="151" t="s">
        <v>578</v>
      </c>
      <c r="D25" s="9"/>
      <c r="E25" s="457" t="s">
        <v>81</v>
      </c>
      <c r="F25" s="12"/>
      <c r="G25" s="458"/>
      <c r="H25" s="5"/>
      <c r="I25" s="459" t="s">
        <v>245</v>
      </c>
      <c r="J25" s="241" t="s">
        <v>610</v>
      </c>
      <c r="K25" s="246"/>
      <c r="L25" s="4" t="s">
        <v>609</v>
      </c>
      <c r="M25" s="4"/>
      <c r="N25" s="137"/>
      <c r="P25" s="17"/>
      <c r="Q25" s="17"/>
    </row>
    <row r="26" spans="1:17" s="104" customFormat="1" ht="15" customHeight="1" x14ac:dyDescent="0.25">
      <c r="A26" s="133"/>
      <c r="B26" s="136"/>
      <c r="C26" s="151" t="s">
        <v>579</v>
      </c>
      <c r="D26" s="9"/>
      <c r="E26" s="457">
        <v>8</v>
      </c>
      <c r="F26" s="12"/>
      <c r="G26" s="249">
        <v>764.2</v>
      </c>
      <c r="H26" s="5"/>
      <c r="I26" s="459" t="s">
        <v>245</v>
      </c>
      <c r="J26" s="254">
        <v>1.2500000000000001E-2</v>
      </c>
      <c r="K26" s="133"/>
      <c r="L26" s="732">
        <v>764.2</v>
      </c>
      <c r="M26" s="73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5" t="s">
        <v>470</v>
      </c>
      <c r="D28" s="515"/>
      <c r="E28" s="515"/>
      <c r="F28" s="515"/>
      <c r="G28" s="515"/>
      <c r="H28" s="515"/>
      <c r="I28" s="515"/>
      <c r="J28" s="515"/>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275</v>
      </c>
      <c r="D30" s="81"/>
      <c r="E30" s="300"/>
      <c r="F30" s="12"/>
      <c r="G30" s="249">
        <v>58006.6</v>
      </c>
      <c r="H30" s="5"/>
      <c r="I30" s="459" t="s">
        <v>245</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470</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279</v>
      </c>
      <c r="D35" s="3"/>
      <c r="E35" s="300"/>
      <c r="F35" s="3"/>
      <c r="G35" s="249">
        <v>26650.6</v>
      </c>
      <c r="H35" s="4"/>
      <c r="I35" s="459" t="s">
        <v>245</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424</v>
      </c>
      <c r="D37" s="9"/>
      <c r="E37" s="300"/>
      <c r="F37" s="9"/>
      <c r="G37" s="4"/>
      <c r="H37" s="4"/>
      <c r="I37" s="4"/>
      <c r="J37" s="241" t="s">
        <v>610</v>
      </c>
      <c r="K37" s="246"/>
      <c r="L37" s="4" t="s">
        <v>609</v>
      </c>
      <c r="M37" s="4"/>
      <c r="N37" s="137"/>
      <c r="P37" s="39"/>
      <c r="Q37" s="17"/>
    </row>
    <row r="38" spans="1:17" s="104" customFormat="1" ht="15" customHeight="1" x14ac:dyDescent="0.25">
      <c r="A38" s="133"/>
      <c r="B38" s="136"/>
      <c r="C38" s="151" t="s">
        <v>580</v>
      </c>
      <c r="D38" s="9"/>
      <c r="E38" s="457">
        <v>8</v>
      </c>
      <c r="F38" s="9"/>
      <c r="G38" s="249">
        <v>2086.3000000000002</v>
      </c>
      <c r="H38" s="183"/>
      <c r="I38" s="459" t="s">
        <v>245</v>
      </c>
      <c r="J38" s="254">
        <v>2.5000000000000001E-3</v>
      </c>
      <c r="K38" s="229"/>
      <c r="L38" s="732">
        <v>2086.3000000000002</v>
      </c>
      <c r="M38" s="733"/>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6" t="s">
        <v>470</v>
      </c>
      <c r="D40" s="515"/>
      <c r="E40" s="515"/>
      <c r="F40" s="515"/>
      <c r="G40" s="515"/>
      <c r="H40" s="515"/>
      <c r="I40" s="515"/>
      <c r="J40" s="515"/>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581</v>
      </c>
      <c r="D42" s="9"/>
      <c r="E42" s="457">
        <v>8</v>
      </c>
      <c r="F42" s="9"/>
      <c r="G42" s="249">
        <v>190.3</v>
      </c>
      <c r="H42" s="183"/>
      <c r="I42" s="459" t="s">
        <v>245</v>
      </c>
      <c r="J42" s="463"/>
      <c r="K42" s="229"/>
      <c r="L42" s="732">
        <v>190.3</v>
      </c>
      <c r="M42" s="733"/>
      <c r="N42" s="137"/>
      <c r="P42" s="39">
        <v>2</v>
      </c>
      <c r="Q42" s="17"/>
    </row>
    <row r="43" spans="1:17" s="104" customFormat="1" x14ac:dyDescent="0.25">
      <c r="A43" s="133"/>
      <c r="B43" s="136"/>
      <c r="C43" s="151" t="s">
        <v>116</v>
      </c>
      <c r="D43" s="9"/>
      <c r="E43" s="457">
        <v>5</v>
      </c>
      <c r="F43" s="9"/>
      <c r="G43" s="464">
        <v>4676.3999999999996</v>
      </c>
      <c r="H43" s="183"/>
      <c r="I43" s="459" t="s">
        <v>245</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0" t="s">
        <v>10</v>
      </c>
      <c r="M44" s="530"/>
      <c r="N44" s="137"/>
      <c r="P44" s="39"/>
      <c r="Q44" s="17"/>
    </row>
    <row r="45" spans="1:17" s="104" customFormat="1" x14ac:dyDescent="0.25">
      <c r="A45" s="133"/>
      <c r="B45" s="136"/>
      <c r="C45" s="543" t="s">
        <v>470</v>
      </c>
      <c r="D45" s="543"/>
      <c r="E45" s="543"/>
      <c r="F45" s="543"/>
      <c r="G45" s="543"/>
      <c r="H45" s="543"/>
      <c r="I45" s="543"/>
      <c r="J45" s="543"/>
      <c r="K45" s="5"/>
      <c r="L45" s="530"/>
      <c r="M45" s="530"/>
      <c r="N45" s="137"/>
      <c r="P45" s="39"/>
      <c r="Q45" s="17"/>
    </row>
    <row r="46" spans="1:17" s="104" customFormat="1" ht="2.25" customHeight="1" x14ac:dyDescent="0.25">
      <c r="A46" s="133"/>
      <c r="B46" s="136"/>
      <c r="C46" s="151"/>
      <c r="D46" s="9"/>
      <c r="E46" s="9"/>
      <c r="F46" s="9"/>
      <c r="G46" s="9"/>
      <c r="H46" s="9"/>
      <c r="I46" s="9"/>
      <c r="J46" s="4"/>
      <c r="K46" s="5"/>
      <c r="L46" s="530"/>
      <c r="M46" s="530"/>
      <c r="N46" s="137"/>
      <c r="P46" s="39"/>
      <c r="Q46" s="17"/>
    </row>
    <row r="47" spans="1:17" s="104" customFormat="1" x14ac:dyDescent="0.25">
      <c r="A47" s="133"/>
      <c r="B47" s="136"/>
      <c r="C47" s="151" t="s">
        <v>396</v>
      </c>
      <c r="D47" s="9"/>
      <c r="E47" s="303"/>
      <c r="F47" s="9"/>
      <c r="G47" s="249">
        <v>6953</v>
      </c>
      <c r="H47" s="9"/>
      <c r="I47" s="459" t="s">
        <v>620</v>
      </c>
      <c r="J47" s="4"/>
      <c r="K47" s="176"/>
      <c r="L47" s="530"/>
      <c r="M47" s="530"/>
      <c r="N47" s="137"/>
    </row>
    <row r="48" spans="1:17" s="104" customFormat="1" ht="2.25" customHeight="1" x14ac:dyDescent="0.25">
      <c r="A48" s="133"/>
      <c r="B48" s="136"/>
      <c r="C48" s="9"/>
      <c r="D48" s="14"/>
      <c r="E48" s="14"/>
      <c r="F48" s="14"/>
      <c r="G48" s="176"/>
      <c r="H48" s="14"/>
      <c r="I48" s="5"/>
      <c r="J48" s="5"/>
      <c r="K48" s="176"/>
      <c r="L48" s="530"/>
      <c r="M48" s="530"/>
      <c r="N48" s="137"/>
    </row>
    <row r="49" spans="1:14" s="104" customFormat="1" ht="15" customHeight="1" x14ac:dyDescent="0.25">
      <c r="A49" s="133"/>
      <c r="B49" s="136"/>
      <c r="C49" s="731" t="s">
        <v>470</v>
      </c>
      <c r="D49" s="731"/>
      <c r="E49" s="731"/>
      <c r="F49" s="731"/>
      <c r="G49" s="731"/>
      <c r="H49" s="731"/>
      <c r="I49" s="731"/>
      <c r="J49" s="731"/>
      <c r="K49" s="176"/>
      <c r="L49" s="530"/>
      <c r="M49" s="530"/>
      <c r="N49" s="137"/>
    </row>
    <row r="50" spans="1:14" s="104" customFormat="1" ht="2.25" customHeight="1" x14ac:dyDescent="0.25">
      <c r="A50" s="133"/>
      <c r="B50" s="136"/>
      <c r="C50" s="9"/>
      <c r="D50" s="14"/>
      <c r="E50" s="465"/>
      <c r="F50" s="14"/>
      <c r="G50" s="176"/>
      <c r="H50" s="14"/>
      <c r="I50" s="5"/>
      <c r="J50" s="5"/>
      <c r="K50" s="176"/>
      <c r="L50" s="530"/>
      <c r="M50" s="530"/>
      <c r="N50" s="137"/>
    </row>
    <row r="51" spans="1:14" s="104" customFormat="1" ht="10.5" customHeight="1" x14ac:dyDescent="0.25">
      <c r="A51" s="133"/>
      <c r="B51" s="136"/>
      <c r="C51" s="182" t="s">
        <v>293</v>
      </c>
      <c r="D51" s="14"/>
      <c r="E51" s="303"/>
      <c r="F51" s="14"/>
      <c r="G51" s="176"/>
      <c r="H51" s="176"/>
      <c r="I51" s="176"/>
      <c r="J51" s="176"/>
      <c r="K51" s="176"/>
      <c r="L51" s="530"/>
      <c r="M51" s="530"/>
      <c r="N51" s="137"/>
    </row>
    <row r="52" spans="1:14" s="104" customFormat="1" x14ac:dyDescent="0.25">
      <c r="A52" s="133"/>
      <c r="B52" s="136"/>
      <c r="C52" s="151" t="s">
        <v>42</v>
      </c>
      <c r="D52" s="14"/>
      <c r="E52" s="303"/>
      <c r="F52" s="14"/>
      <c r="G52" s="249">
        <v>19697.599999999999</v>
      </c>
      <c r="H52" s="14"/>
      <c r="I52" s="459" t="s">
        <v>245</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272</v>
      </c>
      <c r="D54" s="82"/>
      <c r="E54" s="303"/>
      <c r="F54" s="16"/>
      <c r="G54" s="249">
        <v>26650.6</v>
      </c>
      <c r="H54" s="5"/>
      <c r="I54" s="459" t="s">
        <v>245</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136</v>
      </c>
      <c r="D57" s="14"/>
      <c r="E57" s="303"/>
      <c r="F57" s="14"/>
      <c r="G57" s="466"/>
      <c r="H57" s="14"/>
      <c r="I57" s="13"/>
      <c r="J57" s="176"/>
      <c r="K57" s="176"/>
      <c r="L57" s="5"/>
      <c r="M57" s="4"/>
      <c r="N57" s="137"/>
    </row>
    <row r="58" spans="1:14" s="104" customFormat="1" ht="13.5" customHeight="1" x14ac:dyDescent="0.25">
      <c r="A58" s="133"/>
      <c r="B58" s="136"/>
      <c r="C58" s="9" t="s">
        <v>587</v>
      </c>
      <c r="D58" s="14"/>
      <c r="E58" s="303"/>
      <c r="F58" s="14"/>
      <c r="G58" s="249">
        <v>27414.799999999999</v>
      </c>
      <c r="H58" s="14"/>
      <c r="I58" s="459" t="s">
        <v>245</v>
      </c>
      <c r="J58" s="176"/>
      <c r="K58" s="176"/>
      <c r="L58" s="5"/>
      <c r="M58" s="4"/>
      <c r="N58" s="137"/>
    </row>
    <row r="59" spans="1:14" s="104" customFormat="1" ht="13.5" customHeight="1" x14ac:dyDescent="0.25">
      <c r="A59" s="133"/>
      <c r="B59" s="136"/>
      <c r="C59" s="404" t="s">
        <v>308</v>
      </c>
      <c r="D59" s="405"/>
      <c r="E59" s="405"/>
      <c r="F59" s="405"/>
      <c r="G59" s="405"/>
      <c r="H59" s="405"/>
      <c r="I59" s="405"/>
      <c r="J59" s="405"/>
      <c r="K59" s="405"/>
      <c r="L59" s="405"/>
      <c r="M59" s="405"/>
      <c r="N59" s="137"/>
    </row>
    <row r="60" spans="1:14" s="104" customFormat="1" ht="16.5" customHeight="1" x14ac:dyDescent="0.25">
      <c r="A60" s="133"/>
      <c r="B60" s="136"/>
      <c r="C60" s="3" t="s">
        <v>535</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582</v>
      </c>
      <c r="D62" s="3"/>
      <c r="E62" s="457">
        <v>9</v>
      </c>
      <c r="F62" s="3"/>
      <c r="G62" s="467">
        <v>3137</v>
      </c>
      <c r="H62" s="186"/>
      <c r="I62" s="390" t="s">
        <v>246</v>
      </c>
      <c r="J62" s="4"/>
      <c r="K62" s="4"/>
      <c r="L62" s="4"/>
      <c r="M62" s="4"/>
      <c r="N62" s="137"/>
    </row>
    <row r="63" spans="1:14" s="104" customFormat="1" x14ac:dyDescent="0.25">
      <c r="A63" s="133"/>
      <c r="B63" s="136"/>
      <c r="C63" s="151" t="s">
        <v>572</v>
      </c>
      <c r="D63" s="3"/>
      <c r="E63" s="457">
        <v>7</v>
      </c>
      <c r="F63" s="3"/>
      <c r="G63" s="468">
        <v>547932</v>
      </c>
      <c r="H63" s="186"/>
      <c r="I63" s="4"/>
      <c r="J63" s="4"/>
      <c r="K63" s="4"/>
      <c r="L63" s="4"/>
      <c r="M63" s="4"/>
      <c r="N63" s="137"/>
    </row>
    <row r="64" spans="1:14" s="104" customFormat="1" x14ac:dyDescent="0.25">
      <c r="A64" s="133"/>
      <c r="B64" s="136"/>
      <c r="C64" s="151" t="s">
        <v>536</v>
      </c>
      <c r="D64" s="3"/>
      <c r="E64" s="386"/>
      <c r="F64" s="3"/>
      <c r="G64" s="117">
        <v>174.66751673573478</v>
      </c>
      <c r="H64" s="4"/>
      <c r="I64" s="390" t="s">
        <v>247</v>
      </c>
      <c r="J64" s="176"/>
      <c r="K64" s="176"/>
      <c r="L64" s="4"/>
      <c r="M64" s="4"/>
      <c r="N64" s="137"/>
    </row>
    <row r="65" spans="1:16" s="104" customFormat="1" ht="13.5" customHeight="1" x14ac:dyDescent="0.25">
      <c r="A65" s="133"/>
      <c r="B65" s="136"/>
      <c r="C65" s="407" t="s">
        <v>43</v>
      </c>
      <c r="D65" s="3"/>
      <c r="E65" s="457">
        <v>7</v>
      </c>
      <c r="F65" s="3"/>
      <c r="G65" s="467">
        <v>12</v>
      </c>
      <c r="H65" s="3"/>
      <c r="I65" s="390" t="s">
        <v>248</v>
      </c>
      <c r="J65" s="541"/>
      <c r="K65" s="542"/>
      <c r="L65" s="542"/>
      <c r="M65" s="542"/>
      <c r="N65" s="137"/>
    </row>
    <row r="66" spans="1:16" s="104" customFormat="1" x14ac:dyDescent="0.25">
      <c r="A66" s="133"/>
      <c r="B66" s="136"/>
      <c r="C66" s="4"/>
      <c r="D66" s="3"/>
      <c r="E66" s="386"/>
      <c r="F66" s="3"/>
      <c r="G66" s="38"/>
      <c r="H66" s="3"/>
      <c r="I66" s="4"/>
      <c r="J66" s="542"/>
      <c r="K66" s="542"/>
      <c r="L66" s="542"/>
      <c r="M66" s="542"/>
      <c r="N66" s="137"/>
    </row>
    <row r="67" spans="1:16" s="104" customFormat="1" x14ac:dyDescent="0.25">
      <c r="A67" s="133"/>
      <c r="B67" s="136"/>
      <c r="C67" s="151" t="s">
        <v>583</v>
      </c>
      <c r="D67" s="3"/>
      <c r="E67" s="457">
        <v>10</v>
      </c>
      <c r="F67" s="3"/>
      <c r="G67" s="467">
        <v>55</v>
      </c>
      <c r="H67" s="187"/>
      <c r="I67" s="390" t="s">
        <v>249</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5" t="s">
        <v>470</v>
      </c>
      <c r="D69" s="515"/>
      <c r="E69" s="515"/>
      <c r="F69" s="515"/>
      <c r="G69" s="515"/>
      <c r="H69" s="515"/>
      <c r="I69" s="515"/>
      <c r="J69" s="515"/>
      <c r="K69" s="327"/>
      <c r="L69" s="4"/>
      <c r="M69" s="4"/>
      <c r="N69" s="137"/>
      <c r="P69" s="104">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331</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584</v>
      </c>
      <c r="D74" s="9"/>
      <c r="E74" s="457">
        <v>10</v>
      </c>
      <c r="F74" s="4"/>
      <c r="G74" s="469">
        <v>219182339</v>
      </c>
      <c r="H74" s="4"/>
      <c r="I74" s="390" t="s">
        <v>339</v>
      </c>
      <c r="J74" s="4"/>
      <c r="K74" s="4"/>
      <c r="L74" s="4"/>
      <c r="M74" s="4"/>
      <c r="N74" s="137"/>
    </row>
    <row r="75" spans="1:16" s="104" customFormat="1" ht="14.25" customHeight="1" x14ac:dyDescent="0.25">
      <c r="A75" s="133"/>
      <c r="B75" s="136"/>
      <c r="C75" s="188" t="s">
        <v>307</v>
      </c>
      <c r="D75" s="9"/>
      <c r="E75" s="457">
        <v>9</v>
      </c>
      <c r="F75" s="4"/>
      <c r="G75" s="470">
        <v>4.97</v>
      </c>
      <c r="H75" s="4"/>
      <c r="I75" s="723" t="s">
        <v>586</v>
      </c>
      <c r="J75" s="724"/>
      <c r="K75" s="725"/>
      <c r="L75" s="734" t="s">
        <v>470</v>
      </c>
      <c r="M75" s="735"/>
      <c r="N75" s="137"/>
    </row>
    <row r="76" spans="1:16" s="104" customFormat="1" ht="13.5" customHeight="1" x14ac:dyDescent="0.25">
      <c r="A76" s="133"/>
      <c r="B76" s="136"/>
      <c r="C76" s="188" t="s">
        <v>540</v>
      </c>
      <c r="D76" s="9"/>
      <c r="E76" s="457">
        <v>9</v>
      </c>
      <c r="F76" s="4"/>
      <c r="G76" s="470">
        <v>215.5</v>
      </c>
      <c r="H76" s="4"/>
      <c r="I76" s="459" t="s">
        <v>250</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40" t="s">
        <v>470</v>
      </c>
      <c r="D78" s="540"/>
      <c r="E78" s="540"/>
      <c r="F78" s="540"/>
      <c r="G78" s="540"/>
      <c r="H78" s="540"/>
      <c r="I78" s="540"/>
      <c r="J78" s="540"/>
      <c r="K78" s="540"/>
      <c r="L78" s="540"/>
      <c r="M78" s="4"/>
      <c r="N78" s="137"/>
      <c r="P78" s="104">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335</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336</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256</v>
      </c>
      <c r="H84" s="4"/>
      <c r="I84" s="79">
        <v>0.32383305849945426</v>
      </c>
      <c r="J84" s="4"/>
      <c r="K84" s="4"/>
      <c r="L84" s="4"/>
      <c r="M84" s="4"/>
      <c r="N84" s="137"/>
    </row>
    <row r="85" spans="1:14" s="104" customFormat="1" ht="13.5" customHeight="1" x14ac:dyDescent="0.25">
      <c r="A85" s="133"/>
      <c r="B85" s="136"/>
      <c r="C85" s="176"/>
      <c r="D85" s="3"/>
      <c r="E85" s="295"/>
      <c r="F85" s="3"/>
      <c r="G85" s="151" t="s">
        <v>255</v>
      </c>
      <c r="H85" s="4"/>
      <c r="I85" s="79">
        <v>0.17777859328346701</v>
      </c>
      <c r="J85" s="4"/>
      <c r="K85" s="4"/>
      <c r="L85" s="4"/>
      <c r="M85" s="4"/>
      <c r="N85" s="137"/>
    </row>
    <row r="86" spans="1:14" s="104" customFormat="1" ht="13.5" customHeight="1" x14ac:dyDescent="0.25">
      <c r="A86" s="133"/>
      <c r="B86" s="136"/>
      <c r="C86" s="176"/>
      <c r="D86" s="3"/>
      <c r="E86" s="295"/>
      <c r="F86" s="3"/>
      <c r="G86" s="151" t="s">
        <v>541</v>
      </c>
      <c r="H86" s="4"/>
      <c r="I86" s="119">
        <v>34556409.999999993</v>
      </c>
      <c r="J86" s="4"/>
      <c r="K86" s="4"/>
      <c r="L86" s="4"/>
      <c r="M86" s="4"/>
      <c r="N86" s="137"/>
    </row>
    <row r="87" spans="1:14" s="104" customFormat="1" ht="13.5" customHeight="1" x14ac:dyDescent="0.25">
      <c r="A87" s="133"/>
      <c r="B87" s="136"/>
      <c r="C87" s="176"/>
      <c r="D87" s="3"/>
      <c r="E87" s="295"/>
      <c r="F87" s="3"/>
      <c r="G87" s="151" t="s">
        <v>280</v>
      </c>
      <c r="H87" s="4"/>
      <c r="I87" s="119">
        <v>4244832.8</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337</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393</v>
      </c>
      <c r="H91" s="4"/>
      <c r="I91" s="37">
        <v>34.765837856692343</v>
      </c>
      <c r="J91" s="390" t="s">
        <v>251</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394</v>
      </c>
      <c r="H93" s="4"/>
      <c r="I93" s="406">
        <v>98.490373618004185</v>
      </c>
      <c r="J93" s="390" t="s">
        <v>251</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395</v>
      </c>
      <c r="H95" s="4"/>
      <c r="I95" s="406" t="s">
        <v>239</v>
      </c>
      <c r="J95" s="390" t="s">
        <v>470</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252</v>
      </c>
      <c r="H97" s="4"/>
      <c r="I97" s="116">
        <v>1.7907340657818942</v>
      </c>
      <c r="J97" s="390" t="s">
        <v>253</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338</v>
      </c>
      <c r="H99" s="4"/>
      <c r="I99" s="116">
        <v>2178.1519539999999</v>
      </c>
      <c r="J99" s="390" t="s">
        <v>254</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6" t="s">
        <v>470</v>
      </c>
      <c r="D101" s="727"/>
      <c r="E101" s="727"/>
      <c r="F101" s="727"/>
      <c r="G101" s="727"/>
      <c r="H101" s="727"/>
      <c r="I101" s="727"/>
      <c r="J101" s="727"/>
      <c r="K101" s="727"/>
      <c r="L101" s="727"/>
      <c r="M101" s="727"/>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295</v>
      </c>
      <c r="H103" s="474"/>
      <c r="I103" s="116">
        <v>19697.599999999999</v>
      </c>
      <c r="J103" s="472" t="s">
        <v>254</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8" t="s">
        <v>294</v>
      </c>
      <c r="D105" s="538"/>
      <c r="E105" s="538"/>
      <c r="F105" s="538"/>
      <c r="G105" s="538"/>
      <c r="H105" s="80"/>
      <c r="I105" s="247">
        <v>9.0432625528384047</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570</v>
      </c>
      <c r="D107" s="206"/>
      <c r="E107" s="306"/>
      <c r="F107" s="206"/>
      <c r="G107" s="206"/>
      <c r="H107" s="4"/>
      <c r="I107" s="4"/>
      <c r="J107" s="4"/>
      <c r="K107" s="192"/>
      <c r="L107" s="4"/>
      <c r="M107" s="4"/>
      <c r="N107" s="137"/>
    </row>
    <row r="108" spans="1:16" s="338" customFormat="1" ht="21" customHeight="1" x14ac:dyDescent="0.25">
      <c r="A108" s="334"/>
      <c r="B108" s="136"/>
      <c r="C108" s="335" t="s">
        <v>231</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5" t="s">
        <v>265</v>
      </c>
      <c r="D110" s="536"/>
      <c r="E110" s="536"/>
      <c r="F110" s="536"/>
      <c r="G110" s="536"/>
      <c r="H110" s="536"/>
      <c r="I110" s="536"/>
      <c r="J110" s="536"/>
      <c r="K110" s="536"/>
      <c r="L110" s="536"/>
      <c r="M110" s="537"/>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51" t="s">
        <v>545</v>
      </c>
      <c r="D112" s="551"/>
      <c r="E112" s="551"/>
      <c r="F112" s="551"/>
      <c r="G112" s="551"/>
      <c r="H112" s="551"/>
      <c r="I112" s="551"/>
      <c r="J112" s="551"/>
      <c r="K112" s="551"/>
      <c r="L112" s="551"/>
      <c r="M112" s="551"/>
      <c r="N112" s="328"/>
      <c r="P112" s="377"/>
    </row>
    <row r="113" spans="1:14" s="104" customFormat="1" ht="21.75" customHeight="1" x14ac:dyDescent="0.25">
      <c r="A113" s="133"/>
      <c r="B113" s="136"/>
      <c r="C113" s="475" t="s">
        <v>591</v>
      </c>
      <c r="D113" s="549"/>
      <c r="E113" s="550"/>
      <c r="F113" s="550"/>
      <c r="G113" s="550"/>
      <c r="H113" s="550"/>
      <c r="I113" s="550"/>
      <c r="J113" s="550"/>
      <c r="K113" s="550"/>
      <c r="L113" s="550"/>
      <c r="M113" s="550"/>
      <c r="N113" s="137"/>
    </row>
    <row r="114" spans="1:14" s="104" customFormat="1" ht="19.5" customHeight="1" x14ac:dyDescent="0.25">
      <c r="A114" s="133"/>
      <c r="B114" s="136"/>
      <c r="C114" s="728" t="s">
        <v>230</v>
      </c>
      <c r="D114" s="542"/>
      <c r="E114" s="542"/>
      <c r="F114" s="542"/>
      <c r="G114" s="542"/>
      <c r="H114" s="542"/>
      <c r="I114" s="542"/>
      <c r="J114" s="542"/>
      <c r="K114" s="542"/>
      <c r="L114" s="542"/>
      <c r="M114" s="542"/>
      <c r="N114" s="137"/>
    </row>
    <row r="115" spans="1:14" s="104" customFormat="1" ht="15" customHeight="1" x14ac:dyDescent="0.25">
      <c r="A115" s="133"/>
      <c r="B115" s="136"/>
      <c r="C115" s="476" t="s">
        <v>242</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266</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267</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83" priority="1" stopIfTrue="1">
      <formula>E14=""=TRUE</formula>
    </cfRule>
  </conditionalFormatting>
  <conditionalFormatting sqref="C32">
    <cfRule type="expression" dxfId="82" priority="2" stopIfTrue="1">
      <formula>AND(G30&gt;=G19,(G30&lt;&gt;0))</formula>
    </cfRule>
  </conditionalFormatting>
  <conditionalFormatting sqref="D32">
    <cfRule type="expression" dxfId="81" priority="3" stopIfTrue="1">
      <formula>AND(G30&gt;=G19,(G30&lt;&gt;0))</formula>
    </cfRule>
  </conditionalFormatting>
  <conditionalFormatting sqref="F32">
    <cfRule type="expression" dxfId="80" priority="4" stopIfTrue="1">
      <formula>AND(G30&gt;=G19,(G30&lt;&gt;0))</formula>
    </cfRule>
  </conditionalFormatting>
  <conditionalFormatting sqref="G32">
    <cfRule type="expression" dxfId="79" priority="5" stopIfTrue="1">
      <formula>AND(G30&gt;=G19,(G30&lt;&gt;0))</formula>
    </cfRule>
  </conditionalFormatting>
  <conditionalFormatting sqref="H32">
    <cfRule type="expression" dxfId="78" priority="6" stopIfTrue="1">
      <formula>AND(G30&gt;=G19,(G30&lt;&gt;0))</formula>
    </cfRule>
  </conditionalFormatting>
  <conditionalFormatting sqref="J32">
    <cfRule type="expression" dxfId="77" priority="7" stopIfTrue="1">
      <formula>AND(G30&gt;=G19,(G30&lt;&gt;0))</formula>
    </cfRule>
  </conditionalFormatting>
  <conditionalFormatting sqref="I32">
    <cfRule type="expression" dxfId="76" priority="8" stopIfTrue="1">
      <formula>AND(G30&gt;=G19,(G30&lt;&gt;0))</formula>
    </cfRule>
  </conditionalFormatting>
  <conditionalFormatting sqref="E32">
    <cfRule type="expression" dxfId="75" priority="9" stopIfTrue="1">
      <formula>AND(G30&gt;=G19,(G30&lt;&gt;0))</formula>
    </cfRule>
  </conditionalFormatting>
  <conditionalFormatting sqref="F111">
    <cfRule type="expression" dxfId="74" priority="10" stopIfTrue="1">
      <formula>"B106=0"</formula>
    </cfRule>
  </conditionalFormatting>
  <conditionalFormatting sqref="A110:A112 N110:IV112 D111 G111:M111">
    <cfRule type="expression" dxfId="73" priority="11" stopIfTrue="1">
      <formula>"M22=0"</formula>
    </cfRule>
  </conditionalFormatting>
  <conditionalFormatting sqref="G35 G42 G38 G30 G23:G26">
    <cfRule type="cellIs" dxfId="72" priority="12" stopIfTrue="1" operator="greaterThan">
      <formula>$G$19</formula>
    </cfRule>
  </conditionalFormatting>
  <conditionalFormatting sqref="G47">
    <cfRule type="cellIs" dxfId="71" priority="13" stopIfTrue="1" operator="greaterThan">
      <formula>$G$35</formula>
    </cfRule>
  </conditionalFormatting>
  <conditionalFormatting sqref="L38">
    <cfRule type="expression" dxfId="70" priority="14" stopIfTrue="1">
      <formula>$P$38=1</formula>
    </cfRule>
  </conditionalFormatting>
  <conditionalFormatting sqref="L42:M42">
    <cfRule type="expression" dxfId="69" priority="15" stopIfTrue="1">
      <formula>$P$42=1</formula>
    </cfRule>
  </conditionalFormatting>
  <conditionalFormatting sqref="J38">
    <cfRule type="expression" dxfId="68" priority="16" stopIfTrue="1">
      <formula>$P$38=2</formula>
    </cfRule>
  </conditionalFormatting>
  <conditionalFormatting sqref="G41">
    <cfRule type="expression" dxfId="67" priority="17" stopIfTrue="1">
      <formula>$P$38=2</formula>
    </cfRule>
  </conditionalFormatting>
  <conditionalFormatting sqref="F29">
    <cfRule type="expression" dxfId="66" priority="18" stopIfTrue="1">
      <formula>$P$26=2</formula>
    </cfRule>
  </conditionalFormatting>
  <conditionalFormatting sqref="L26">
    <cfRule type="expression" dxfId="65" priority="19" stopIfTrue="1">
      <formula>$P$26=1</formula>
    </cfRule>
  </conditionalFormatting>
  <conditionalFormatting sqref="J26">
    <cfRule type="expression" dxfId="64" priority="20" stopIfTrue="1">
      <formula>$P$26=2</formula>
    </cfRule>
  </conditionalFormatting>
  <conditionalFormatting sqref="C49:J49">
    <cfRule type="expression" dxfId="63" priority="21" stopIfTrue="1">
      <formula>AND($G$47&gt;=$G$35,($G$47&lt;&gt;0))</formula>
    </cfRule>
  </conditionalFormatting>
  <conditionalFormatting sqref="C69:J69">
    <cfRule type="expression" dxfId="62" priority="22" stopIfTrue="1">
      <formula>OR(AND(NOT(ISBLANK($G$67)),$P$69=1,$G$67&lt;=25),AND(NOT(ISBLANK($G$67)),$P$69&lt;&gt;1,$G$67&lt;=40))</formula>
    </cfRule>
  </conditionalFormatting>
  <conditionalFormatting sqref="C78:L78">
    <cfRule type="expression" dxfId="61" priority="23" stopIfTrue="1">
      <formula>$P$78=1</formula>
    </cfRule>
  </conditionalFormatting>
  <conditionalFormatting sqref="C28:J28">
    <cfRule type="expression" dxfId="60" priority="24" stopIfTrue="1">
      <formula>AND($P$26=2,$L$26&gt;0.125*$G$19)</formula>
    </cfRule>
    <cfRule type="expression" dxfId="59" priority="25" stopIfTrue="1">
      <formula>$P$26=1</formula>
    </cfRule>
    <cfRule type="expression" dxfId="58" priority="26" stopIfTrue="1">
      <formula>AND($P$26=2,$L$26=0)</formula>
    </cfRule>
  </conditionalFormatting>
  <conditionalFormatting sqref="C40:J40">
    <cfRule type="expression" dxfId="57" priority="27" stopIfTrue="1">
      <formula>AND($P$38=2,$L$38&gt;0.025*$G$19)</formula>
    </cfRule>
    <cfRule type="expression" dxfId="56" priority="28" stopIfTrue="1">
      <formula>$P$38=1</formula>
    </cfRule>
    <cfRule type="expression" dxfId="55" priority="29" stopIfTrue="1">
      <formula>AND($P$38=2,$L$38=0)</formula>
    </cfRule>
  </conditionalFormatting>
  <conditionalFormatting sqref="L75:M75">
    <cfRule type="expression" dxfId="54" priority="30" stopIfTrue="1">
      <formula>AND(NOT(ISBLANK($G$75)),ISBLANK($I$75))</formula>
    </cfRule>
  </conditionalFormatting>
  <conditionalFormatting sqref="C101:M101">
    <cfRule type="expression" dxfId="53" priority="31" stopIfTrue="1">
      <formula>$I$99="Not Valid"</formula>
    </cfRule>
  </conditionalFormatting>
  <conditionalFormatting sqref="E26">
    <cfRule type="expression" dxfId="52" priority="32" stopIfTrue="1">
      <formula>P26=1</formula>
    </cfRule>
    <cfRule type="expression" dxfId="51" priority="33" stopIfTrue="1">
      <formula>AND(P26=2,ISBLANK(L26))</formula>
    </cfRule>
  </conditionalFormatting>
  <conditionalFormatting sqref="J42">
    <cfRule type="expression" dxfId="50" priority="34" stopIfTrue="1">
      <formula>$P$42=2</formula>
    </cfRule>
    <cfRule type="expression" dxfId="49" priority="35" stopIfTrue="1">
      <formula>AND($P$42=1,ISBLANK(J42))</formula>
    </cfRule>
  </conditionalFormatting>
  <conditionalFormatting sqref="L44:M51">
    <cfRule type="expression" dxfId="48" priority="36" stopIfTrue="1">
      <formula>AND($P$42=1,ISBLANK($J$42))</formula>
    </cfRule>
  </conditionalFormatting>
  <conditionalFormatting sqref="K15:M15">
    <cfRule type="expression" dxfId="47" priority="37" stopIfTrue="1">
      <formula>AND(NOT(ISBLANK($G$15)),$G$15&gt;0,ISBLANK($I$15))</formula>
    </cfRule>
  </conditionalFormatting>
  <conditionalFormatting sqref="I15:J15">
    <cfRule type="expression" dxfId="46" priority="38" stopIfTrue="1">
      <formula>AND(NOT(ISBLANK(G15)),G15&gt;0,ISBLANK(I15))</formula>
    </cfRule>
  </conditionalFormatting>
  <conditionalFormatting sqref="E38">
    <cfRule type="expression" dxfId="45" priority="39" stopIfTrue="1">
      <formula>P38=1</formula>
    </cfRule>
    <cfRule type="expression" dxfId="44" priority="40" stopIfTrue="1">
      <formula>AND($P$38=2,$L$38=0)</formula>
    </cfRule>
  </conditionalFormatting>
  <conditionalFormatting sqref="E43">
    <cfRule type="expression" dxfId="43" priority="41" stopIfTrue="1">
      <formula>AND($G$43=0,$G$43&lt;&gt;"")</formula>
    </cfRule>
  </conditionalFormatting>
  <conditionalFormatting sqref="C45:J45">
    <cfRule type="expression" dxfId="42"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50A24636-EFAA-4194-A2B4-E25B56985A8B}">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701799DB-5AF9-4AC0-9058-3BB8451BE0D3}">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E187C00A-959B-4032-9C10-A3F7DA3EB7F4}">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BF9B38A1-A62F-47C4-8D32-911E9FE8C042}">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9F917579-CA2F-4EFE-9D3C-1916000AD480}">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C3B5E86B-D7D1-4354-AA00-95A40841FD37}">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43802C96-CBDE-44A2-959F-8977BF432D07}">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739C146B-621B-45A6-992E-0F3B99863563}">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969FF8EA-8BC8-453F-905A-493993F9B77A}">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53322CCE-A8E5-4F30-9BC0-6C3B3AD7EA22}">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A1A43371-12AE-4A38-BBC4-5B7115102F26}">
      <formula1>0</formula1>
    </dataValidation>
    <dataValidation type="decimal" operator="greaterThan" allowBlank="1" showErrorMessage="1" errorTitle="Data Validation" error="Enter a numerical value" promptTitle="Data Validation" prompt="Enter a numerical value greater than or equal to zero" sqref="G43" xr:uid="{06B0757A-A5AD-459B-A59C-A443D024FF7C}">
      <formula1>-1E+25</formula1>
    </dataValidation>
    <dataValidation type="decimal" errorStyle="warning" operator="lessThanOrEqual" allowBlank="1" showErrorMessage="1" errorTitle="Customer Service Lines" error="The value you entered is greater than an assumed maximum reasonable value." sqref="G65" xr:uid="{E5267498-A65F-4AC4-88A4-FE5FADFD4D98}">
      <formula1>100</formula1>
    </dataValidation>
    <dataValidation type="decimal" errorStyle="warning" operator="lessThanOrEqual" allowBlank="1" showErrorMessage="1" errorTitle="Average Operating Pressure" error="The value you entered is greater than an assumed maximum reasonable value." sqref="G67" xr:uid="{43DADE7B-60C8-4C2B-8FFF-A9A434870917}">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803"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2804"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2805"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2795"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2796"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2797"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381D-3056-4FB4-B109-52AE47AD3331}">
  <sheetPr codeName="Sheet13">
    <tabColor indexed="43"/>
    <pageSetUpPr fitToPage="1"/>
  </sheetPr>
  <dimension ref="A1:Q152"/>
  <sheetViews>
    <sheetView showGridLines="0" workbookViewId="0">
      <pane ySplit="6" topLeftCell="A7"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2" t="s">
        <v>141</v>
      </c>
      <c r="C2" s="483"/>
      <c r="D2" s="483"/>
      <c r="E2" s="483"/>
      <c r="F2" s="483"/>
      <c r="G2" s="483"/>
      <c r="H2" s="483"/>
      <c r="I2" s="483"/>
      <c r="J2" s="48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532</v>
      </c>
      <c r="D4" s="167" t="s">
        <v>115</v>
      </c>
      <c r="E4" s="296"/>
      <c r="F4" s="168"/>
      <c r="G4" s="146"/>
      <c r="H4" s="146"/>
      <c r="I4" s="146"/>
      <c r="J4" s="146"/>
      <c r="K4" s="169"/>
      <c r="L4" s="4"/>
      <c r="M4" s="4"/>
      <c r="N4" s="137"/>
    </row>
    <row r="5" spans="1:16" s="104" customFormat="1" x14ac:dyDescent="0.25">
      <c r="A5" s="133"/>
      <c r="B5" s="136"/>
      <c r="C5" s="170" t="s">
        <v>533</v>
      </c>
      <c r="D5" s="737">
        <v>2008</v>
      </c>
      <c r="E5" s="738"/>
      <c r="F5" s="171"/>
      <c r="G5" s="741" t="s">
        <v>559</v>
      </c>
      <c r="H5" s="742"/>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9"/>
      <c r="D7" s="489"/>
      <c r="E7" s="489"/>
      <c r="F7" s="489"/>
      <c r="G7" s="489"/>
      <c r="H7" s="489"/>
      <c r="I7" s="489"/>
      <c r="J7" s="489"/>
      <c r="K7" s="489"/>
      <c r="L7" s="489"/>
      <c r="M7" s="489"/>
      <c r="N7" s="137"/>
    </row>
    <row r="8" spans="1:16" s="104" customFormat="1" ht="13.5" customHeight="1" x14ac:dyDescent="0.25">
      <c r="A8" s="133"/>
      <c r="B8" s="136"/>
      <c r="C8" s="489"/>
      <c r="D8" s="489"/>
      <c r="E8" s="489"/>
      <c r="F8" s="489"/>
      <c r="G8" s="489"/>
      <c r="H8" s="489"/>
      <c r="I8" s="489"/>
      <c r="J8" s="489"/>
      <c r="K8" s="489"/>
      <c r="L8" s="489"/>
      <c r="M8" s="489"/>
      <c r="N8" s="137"/>
    </row>
    <row r="9" spans="1:16" s="104" customFormat="1" ht="15" customHeight="1" x14ac:dyDescent="0.25">
      <c r="A9" s="133"/>
      <c r="B9" s="136"/>
      <c r="C9" s="173"/>
      <c r="D9" s="173"/>
      <c r="E9" s="297"/>
      <c r="F9" s="173"/>
      <c r="G9" s="174" t="s">
        <v>471</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277</v>
      </c>
      <c r="D12" s="526" t="s">
        <v>235</v>
      </c>
      <c r="E12" s="515"/>
      <c r="F12" s="515"/>
      <c r="G12" s="515"/>
      <c r="H12" s="515"/>
      <c r="I12" s="515"/>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575</v>
      </c>
      <c r="D14" s="131"/>
      <c r="E14" s="457">
        <v>7</v>
      </c>
      <c r="F14" s="12"/>
      <c r="G14" s="458">
        <v>213977</v>
      </c>
      <c r="H14" s="5"/>
      <c r="I14" s="459" t="s">
        <v>472</v>
      </c>
      <c r="J14" s="175"/>
      <c r="K14" s="176"/>
      <c r="L14" s="78"/>
      <c r="M14" s="78"/>
      <c r="N14" s="137"/>
    </row>
    <row r="15" spans="1:16" s="104" customFormat="1" x14ac:dyDescent="0.25">
      <c r="A15" s="133"/>
      <c r="B15" s="136"/>
      <c r="C15" s="151" t="s">
        <v>515</v>
      </c>
      <c r="D15" s="3"/>
      <c r="E15" s="457">
        <v>4</v>
      </c>
      <c r="F15" s="12"/>
      <c r="G15" s="458">
        <v>0</v>
      </c>
      <c r="H15" s="5"/>
      <c r="I15" s="739"/>
      <c r="J15" s="740"/>
      <c r="K15" s="729" t="s">
        <v>462</v>
      </c>
      <c r="L15" s="730"/>
      <c r="M15" s="730"/>
      <c r="N15" s="137"/>
    </row>
    <row r="16" spans="1:16" s="104" customFormat="1" x14ac:dyDescent="0.25">
      <c r="A16" s="133"/>
      <c r="B16" s="136"/>
      <c r="C16" s="151" t="s">
        <v>117</v>
      </c>
      <c r="D16" s="3"/>
      <c r="E16" s="457" t="s">
        <v>81</v>
      </c>
      <c r="F16" s="12"/>
      <c r="G16" s="458">
        <v>0</v>
      </c>
      <c r="H16" s="5"/>
      <c r="I16" s="459" t="s">
        <v>462</v>
      </c>
      <c r="J16" s="251" t="s">
        <v>470</v>
      </c>
      <c r="K16" s="176"/>
      <c r="L16" s="78"/>
      <c r="M16" s="417"/>
      <c r="N16" s="137"/>
    </row>
    <row r="17" spans="1:17" s="104" customFormat="1" x14ac:dyDescent="0.25">
      <c r="A17" s="133"/>
      <c r="B17" s="136"/>
      <c r="C17" s="151" t="s">
        <v>118</v>
      </c>
      <c r="D17" s="3"/>
      <c r="E17" s="457">
        <v>7</v>
      </c>
      <c r="F17" s="12"/>
      <c r="G17" s="458">
        <v>26457.5</v>
      </c>
      <c r="H17" s="5"/>
      <c r="I17" s="459" t="s">
        <v>462</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276</v>
      </c>
      <c r="D19" s="81"/>
      <c r="E19" s="384"/>
      <c r="F19" s="12"/>
      <c r="G19" s="249">
        <v>187519.5</v>
      </c>
      <c r="H19" s="5"/>
      <c r="I19" s="459" t="s">
        <v>462</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151</v>
      </c>
      <c r="F21" s="12"/>
      <c r="G21" s="4"/>
      <c r="H21" s="4"/>
      <c r="I21" s="4"/>
      <c r="J21" s="13"/>
      <c r="K21" s="13"/>
      <c r="L21" s="13"/>
      <c r="M21" s="4"/>
      <c r="N21" s="137"/>
    </row>
    <row r="22" spans="1:17" s="104" customFormat="1" x14ac:dyDescent="0.25">
      <c r="A22" s="133"/>
      <c r="B22" s="136"/>
      <c r="C22" s="3" t="s">
        <v>278</v>
      </c>
      <c r="D22" s="3"/>
      <c r="E22" s="386"/>
      <c r="F22" s="3"/>
      <c r="G22" s="3"/>
      <c r="H22" s="3"/>
      <c r="I22" s="3"/>
      <c r="J22" s="3"/>
      <c r="K22" s="3"/>
      <c r="L22" s="3"/>
      <c r="M22" s="3"/>
      <c r="N22" s="137"/>
    </row>
    <row r="23" spans="1:17" s="104" customFormat="1" x14ac:dyDescent="0.25">
      <c r="A23" s="133"/>
      <c r="B23" s="136"/>
      <c r="C23" s="151" t="s">
        <v>576</v>
      </c>
      <c r="D23" s="9"/>
      <c r="E23" s="457">
        <v>7</v>
      </c>
      <c r="F23" s="12"/>
      <c r="G23" s="458">
        <v>163665</v>
      </c>
      <c r="H23" s="5"/>
      <c r="I23" s="459" t="s">
        <v>462</v>
      </c>
      <c r="J23" s="175"/>
      <c r="K23" s="176"/>
      <c r="L23" s="4"/>
      <c r="M23" s="4"/>
      <c r="N23" s="137"/>
      <c r="P23" s="17"/>
      <c r="Q23" s="17"/>
    </row>
    <row r="24" spans="1:17" s="104" customFormat="1" x14ac:dyDescent="0.25">
      <c r="A24" s="133"/>
      <c r="B24" s="136"/>
      <c r="C24" s="151" t="s">
        <v>577</v>
      </c>
      <c r="D24" s="9"/>
      <c r="E24" s="457">
        <v>2</v>
      </c>
      <c r="F24" s="12"/>
      <c r="G24" s="458">
        <v>433.9</v>
      </c>
      <c r="H24" s="5"/>
      <c r="I24" s="459" t="s">
        <v>462</v>
      </c>
      <c r="J24" s="175"/>
      <c r="K24" s="176"/>
      <c r="L24" s="151"/>
      <c r="M24" s="151"/>
      <c r="N24" s="137"/>
      <c r="P24" s="17"/>
      <c r="Q24" s="17"/>
    </row>
    <row r="25" spans="1:17" s="104" customFormat="1" x14ac:dyDescent="0.25">
      <c r="A25" s="133"/>
      <c r="B25" s="136"/>
      <c r="C25" s="151" t="s">
        <v>578</v>
      </c>
      <c r="D25" s="9"/>
      <c r="E25" s="457">
        <v>8</v>
      </c>
      <c r="F25" s="12"/>
      <c r="G25" s="458">
        <v>1768.4</v>
      </c>
      <c r="H25" s="5"/>
      <c r="I25" s="459" t="s">
        <v>462</v>
      </c>
      <c r="J25" s="241" t="s">
        <v>610</v>
      </c>
      <c r="K25" s="246"/>
      <c r="L25" s="4" t="s">
        <v>609</v>
      </c>
      <c r="M25" s="4"/>
      <c r="N25" s="137"/>
      <c r="P25" s="17"/>
      <c r="Q25" s="17"/>
    </row>
    <row r="26" spans="1:17" s="104" customFormat="1" ht="15" customHeight="1" x14ac:dyDescent="0.25">
      <c r="A26" s="133"/>
      <c r="B26" s="136"/>
      <c r="C26" s="151" t="s">
        <v>579</v>
      </c>
      <c r="D26" s="9"/>
      <c r="E26" s="457">
        <v>5</v>
      </c>
      <c r="F26" s="12"/>
      <c r="G26" s="249">
        <v>230.1</v>
      </c>
      <c r="H26" s="5"/>
      <c r="I26" s="459" t="s">
        <v>462</v>
      </c>
      <c r="J26" s="254">
        <v>1.2500000000000001E-2</v>
      </c>
      <c r="K26" s="133"/>
      <c r="L26" s="732">
        <v>230.1</v>
      </c>
      <c r="M26" s="73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5" t="s">
        <v>470</v>
      </c>
      <c r="D28" s="515"/>
      <c r="E28" s="515"/>
      <c r="F28" s="515"/>
      <c r="G28" s="515"/>
      <c r="H28" s="515"/>
      <c r="I28" s="515"/>
      <c r="J28" s="515"/>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275</v>
      </c>
      <c r="D30" s="81"/>
      <c r="E30" s="300"/>
      <c r="F30" s="12"/>
      <c r="G30" s="249">
        <v>166097.4</v>
      </c>
      <c r="H30" s="5"/>
      <c r="I30" s="459" t="s">
        <v>462</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470</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279</v>
      </c>
      <c r="D35" s="3"/>
      <c r="E35" s="300"/>
      <c r="F35" s="3"/>
      <c r="G35" s="249">
        <v>21422.1</v>
      </c>
      <c r="H35" s="4"/>
      <c r="I35" s="459" t="s">
        <v>462</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424</v>
      </c>
      <c r="D37" s="9"/>
      <c r="E37" s="300"/>
      <c r="F37" s="9"/>
      <c r="G37" s="4"/>
      <c r="H37" s="4"/>
      <c r="I37" s="4"/>
      <c r="J37" s="241" t="s">
        <v>610</v>
      </c>
      <c r="K37" s="246"/>
      <c r="L37" s="4" t="s">
        <v>609</v>
      </c>
      <c r="M37" s="4"/>
      <c r="N37" s="137"/>
      <c r="P37" s="39"/>
      <c r="Q37" s="17"/>
    </row>
    <row r="38" spans="1:17" s="104" customFormat="1" ht="15" customHeight="1" x14ac:dyDescent="0.25">
      <c r="A38" s="133"/>
      <c r="B38" s="136"/>
      <c r="C38" s="151" t="s">
        <v>580</v>
      </c>
      <c r="D38" s="9"/>
      <c r="E38" s="457">
        <v>5</v>
      </c>
      <c r="F38" s="9"/>
      <c r="G38" s="249">
        <v>886.8</v>
      </c>
      <c r="H38" s="183"/>
      <c r="I38" s="459" t="s">
        <v>462</v>
      </c>
      <c r="J38" s="254">
        <v>2.5000000000000001E-3</v>
      </c>
      <c r="K38" s="229"/>
      <c r="L38" s="732">
        <v>886.8</v>
      </c>
      <c r="M38" s="733"/>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6" t="s">
        <v>470</v>
      </c>
      <c r="D40" s="515"/>
      <c r="E40" s="515"/>
      <c r="F40" s="515"/>
      <c r="G40" s="515"/>
      <c r="H40" s="515"/>
      <c r="I40" s="515"/>
      <c r="J40" s="515"/>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581</v>
      </c>
      <c r="D42" s="9"/>
      <c r="E42" s="457">
        <v>7</v>
      </c>
      <c r="F42" s="9"/>
      <c r="G42" s="249">
        <v>2851</v>
      </c>
      <c r="H42" s="183"/>
      <c r="I42" s="459" t="s">
        <v>462</v>
      </c>
      <c r="J42" s="463"/>
      <c r="K42" s="229"/>
      <c r="L42" s="732">
        <v>2851</v>
      </c>
      <c r="M42" s="733"/>
      <c r="N42" s="137"/>
      <c r="P42" s="39">
        <v>2</v>
      </c>
      <c r="Q42" s="17"/>
    </row>
    <row r="43" spans="1:17" s="104" customFormat="1" x14ac:dyDescent="0.25">
      <c r="A43" s="133"/>
      <c r="B43" s="136"/>
      <c r="C43" s="151" t="s">
        <v>116</v>
      </c>
      <c r="D43" s="9"/>
      <c r="E43" s="457">
        <v>5</v>
      </c>
      <c r="F43" s="9"/>
      <c r="G43" s="464">
        <v>0</v>
      </c>
      <c r="H43" s="183"/>
      <c r="I43" s="459" t="s">
        <v>462</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0" t="s">
        <v>10</v>
      </c>
      <c r="M44" s="530"/>
      <c r="N44" s="137"/>
      <c r="P44" s="39"/>
      <c r="Q44" s="17"/>
    </row>
    <row r="45" spans="1:17" s="104" customFormat="1" x14ac:dyDescent="0.25">
      <c r="A45" s="133"/>
      <c r="B45" s="136"/>
      <c r="C45" s="543" t="s">
        <v>11</v>
      </c>
      <c r="D45" s="543"/>
      <c r="E45" s="543"/>
      <c r="F45" s="543"/>
      <c r="G45" s="543"/>
      <c r="H45" s="543"/>
      <c r="I45" s="543"/>
      <c r="J45" s="543"/>
      <c r="K45" s="5"/>
      <c r="L45" s="530"/>
      <c r="M45" s="530"/>
      <c r="N45" s="137"/>
      <c r="P45" s="39"/>
      <c r="Q45" s="17"/>
    </row>
    <row r="46" spans="1:17" s="104" customFormat="1" ht="2.25" customHeight="1" x14ac:dyDescent="0.25">
      <c r="A46" s="133"/>
      <c r="B46" s="136"/>
      <c r="C46" s="151"/>
      <c r="D46" s="9"/>
      <c r="E46" s="9"/>
      <c r="F46" s="9"/>
      <c r="G46" s="9"/>
      <c r="H46" s="9"/>
      <c r="I46" s="9"/>
      <c r="J46" s="4"/>
      <c r="K46" s="5"/>
      <c r="L46" s="530"/>
      <c r="M46" s="530"/>
      <c r="N46" s="137"/>
      <c r="P46" s="39"/>
      <c r="Q46" s="17"/>
    </row>
    <row r="47" spans="1:17" s="104" customFormat="1" x14ac:dyDescent="0.25">
      <c r="A47" s="133"/>
      <c r="B47" s="136"/>
      <c r="C47" s="151" t="s">
        <v>396</v>
      </c>
      <c r="D47" s="9"/>
      <c r="E47" s="303"/>
      <c r="F47" s="9"/>
      <c r="G47" s="249">
        <v>3737.8</v>
      </c>
      <c r="H47" s="9"/>
      <c r="I47" s="459" t="s">
        <v>620</v>
      </c>
      <c r="J47" s="4"/>
      <c r="K47" s="176"/>
      <c r="L47" s="530"/>
      <c r="M47" s="530"/>
      <c r="N47" s="137"/>
    </row>
    <row r="48" spans="1:17" s="104" customFormat="1" ht="2.25" customHeight="1" x14ac:dyDescent="0.25">
      <c r="A48" s="133"/>
      <c r="B48" s="136"/>
      <c r="C48" s="9"/>
      <c r="D48" s="14"/>
      <c r="E48" s="14"/>
      <c r="F48" s="14"/>
      <c r="G48" s="176"/>
      <c r="H48" s="14"/>
      <c r="I48" s="5"/>
      <c r="J48" s="5"/>
      <c r="K48" s="176"/>
      <c r="L48" s="530"/>
      <c r="M48" s="530"/>
      <c r="N48" s="137"/>
    </row>
    <row r="49" spans="1:14" s="104" customFormat="1" ht="15" customHeight="1" x14ac:dyDescent="0.25">
      <c r="A49" s="133"/>
      <c r="B49" s="136"/>
      <c r="C49" s="731" t="s">
        <v>470</v>
      </c>
      <c r="D49" s="731"/>
      <c r="E49" s="731"/>
      <c r="F49" s="731"/>
      <c r="G49" s="731"/>
      <c r="H49" s="731"/>
      <c r="I49" s="731"/>
      <c r="J49" s="731"/>
      <c r="K49" s="176"/>
      <c r="L49" s="530"/>
      <c r="M49" s="530"/>
      <c r="N49" s="137"/>
    </row>
    <row r="50" spans="1:14" s="104" customFormat="1" ht="2.25" customHeight="1" x14ac:dyDescent="0.25">
      <c r="A50" s="133"/>
      <c r="B50" s="136"/>
      <c r="C50" s="9"/>
      <c r="D50" s="14"/>
      <c r="E50" s="465"/>
      <c r="F50" s="14"/>
      <c r="G50" s="176"/>
      <c r="H50" s="14"/>
      <c r="I50" s="5"/>
      <c r="J50" s="5"/>
      <c r="K50" s="176"/>
      <c r="L50" s="530"/>
      <c r="M50" s="530"/>
      <c r="N50" s="137"/>
    </row>
    <row r="51" spans="1:14" s="104" customFormat="1" ht="10.5" customHeight="1" x14ac:dyDescent="0.25">
      <c r="A51" s="133"/>
      <c r="B51" s="136"/>
      <c r="C51" s="182" t="s">
        <v>293</v>
      </c>
      <c r="D51" s="14"/>
      <c r="E51" s="303"/>
      <c r="F51" s="14"/>
      <c r="G51" s="176"/>
      <c r="H51" s="176"/>
      <c r="I51" s="176"/>
      <c r="J51" s="176"/>
      <c r="K51" s="176"/>
      <c r="L51" s="530"/>
      <c r="M51" s="530"/>
      <c r="N51" s="137"/>
    </row>
    <row r="52" spans="1:14" s="104" customFormat="1" x14ac:dyDescent="0.25">
      <c r="A52" s="133"/>
      <c r="B52" s="136"/>
      <c r="C52" s="151" t="s">
        <v>42</v>
      </c>
      <c r="D52" s="14"/>
      <c r="E52" s="303"/>
      <c r="F52" s="14"/>
      <c r="G52" s="249">
        <v>17684.3</v>
      </c>
      <c r="H52" s="14"/>
      <c r="I52" s="459" t="s">
        <v>462</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272</v>
      </c>
      <c r="D54" s="82"/>
      <c r="E54" s="303"/>
      <c r="F54" s="16"/>
      <c r="G54" s="249">
        <v>21422.1</v>
      </c>
      <c r="H54" s="5"/>
      <c r="I54" s="459" t="s">
        <v>462</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136</v>
      </c>
      <c r="D57" s="14"/>
      <c r="E57" s="303"/>
      <c r="F57" s="14"/>
      <c r="G57" s="466"/>
      <c r="H57" s="14"/>
      <c r="I57" s="13"/>
      <c r="J57" s="176"/>
      <c r="K57" s="176"/>
      <c r="L57" s="5"/>
      <c r="M57" s="4"/>
      <c r="N57" s="137"/>
    </row>
    <row r="58" spans="1:14" s="104" customFormat="1" ht="13.5" customHeight="1" x14ac:dyDescent="0.25">
      <c r="A58" s="133"/>
      <c r="B58" s="136"/>
      <c r="C58" s="9" t="s">
        <v>587</v>
      </c>
      <c r="D58" s="14"/>
      <c r="E58" s="303"/>
      <c r="F58" s="14"/>
      <c r="G58" s="249">
        <v>23420.6</v>
      </c>
      <c r="H58" s="14"/>
      <c r="I58" s="459" t="s">
        <v>462</v>
      </c>
      <c r="J58" s="176"/>
      <c r="K58" s="176"/>
      <c r="L58" s="5"/>
      <c r="M58" s="4"/>
      <c r="N58" s="137"/>
    </row>
    <row r="59" spans="1:14" s="104" customFormat="1" ht="13.5" customHeight="1" x14ac:dyDescent="0.25">
      <c r="A59" s="133"/>
      <c r="B59" s="136"/>
      <c r="C59" s="404" t="s">
        <v>308</v>
      </c>
      <c r="D59" s="405"/>
      <c r="E59" s="405"/>
      <c r="F59" s="405"/>
      <c r="G59" s="405"/>
      <c r="H59" s="405"/>
      <c r="I59" s="405"/>
      <c r="J59" s="405"/>
      <c r="K59" s="405"/>
      <c r="L59" s="405"/>
      <c r="M59" s="405"/>
      <c r="N59" s="137"/>
    </row>
    <row r="60" spans="1:14" s="104" customFormat="1" ht="16.5" customHeight="1" x14ac:dyDescent="0.25">
      <c r="A60" s="133"/>
      <c r="B60" s="136"/>
      <c r="C60" s="3" t="s">
        <v>535</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582</v>
      </c>
      <c r="D62" s="3"/>
      <c r="E62" s="457">
        <v>8</v>
      </c>
      <c r="F62" s="3"/>
      <c r="G62" s="467">
        <v>4161</v>
      </c>
      <c r="H62" s="186"/>
      <c r="I62" s="390" t="s">
        <v>463</v>
      </c>
      <c r="J62" s="4"/>
      <c r="K62" s="4"/>
      <c r="L62" s="4"/>
      <c r="M62" s="4"/>
      <c r="N62" s="137"/>
    </row>
    <row r="63" spans="1:14" s="104" customFormat="1" x14ac:dyDescent="0.25">
      <c r="A63" s="133"/>
      <c r="B63" s="136"/>
      <c r="C63" s="151" t="s">
        <v>572</v>
      </c>
      <c r="D63" s="3"/>
      <c r="E63" s="457">
        <v>9</v>
      </c>
      <c r="F63" s="3"/>
      <c r="G63" s="468">
        <v>287905</v>
      </c>
      <c r="H63" s="186"/>
      <c r="I63" s="4"/>
      <c r="J63" s="4"/>
      <c r="K63" s="4"/>
      <c r="L63" s="4"/>
      <c r="M63" s="4"/>
      <c r="N63" s="137"/>
    </row>
    <row r="64" spans="1:14" s="104" customFormat="1" x14ac:dyDescent="0.25">
      <c r="A64" s="133"/>
      <c r="B64" s="136"/>
      <c r="C64" s="151" t="s">
        <v>536</v>
      </c>
      <c r="D64" s="3"/>
      <c r="E64" s="386"/>
      <c r="F64" s="3"/>
      <c r="G64" s="117">
        <v>69.191300168228793</v>
      </c>
      <c r="H64" s="4"/>
      <c r="I64" s="390" t="s">
        <v>464</v>
      </c>
      <c r="J64" s="176"/>
      <c r="K64" s="176"/>
      <c r="L64" s="4"/>
      <c r="M64" s="4"/>
      <c r="N64" s="137"/>
    </row>
    <row r="65" spans="1:16" s="104" customFormat="1" ht="13.5" customHeight="1" x14ac:dyDescent="0.25">
      <c r="A65" s="133"/>
      <c r="B65" s="136"/>
      <c r="C65" s="407" t="s">
        <v>43</v>
      </c>
      <c r="D65" s="3"/>
      <c r="E65" s="457">
        <v>5</v>
      </c>
      <c r="F65" s="3"/>
      <c r="G65" s="467">
        <v>16</v>
      </c>
      <c r="H65" s="3"/>
      <c r="I65" s="390" t="s">
        <v>465</v>
      </c>
      <c r="J65" s="541"/>
      <c r="K65" s="542"/>
      <c r="L65" s="542"/>
      <c r="M65" s="542"/>
      <c r="N65" s="137"/>
    </row>
    <row r="66" spans="1:16" s="104" customFormat="1" x14ac:dyDescent="0.25">
      <c r="A66" s="133"/>
      <c r="B66" s="136"/>
      <c r="C66" s="4"/>
      <c r="D66" s="3"/>
      <c r="E66" s="386"/>
      <c r="F66" s="3"/>
      <c r="G66" s="38"/>
      <c r="H66" s="3"/>
      <c r="I66" s="4"/>
      <c r="J66" s="542"/>
      <c r="K66" s="542"/>
      <c r="L66" s="542"/>
      <c r="M66" s="542"/>
      <c r="N66" s="137"/>
    </row>
    <row r="67" spans="1:16" s="104" customFormat="1" x14ac:dyDescent="0.25">
      <c r="A67" s="133"/>
      <c r="B67" s="136"/>
      <c r="C67" s="151" t="s">
        <v>583</v>
      </c>
      <c r="D67" s="3"/>
      <c r="E67" s="457">
        <v>6</v>
      </c>
      <c r="F67" s="3"/>
      <c r="G67" s="467">
        <v>58.4</v>
      </c>
      <c r="H67" s="187"/>
      <c r="I67" s="390" t="s">
        <v>38</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5" t="s">
        <v>470</v>
      </c>
      <c r="D69" s="515"/>
      <c r="E69" s="515"/>
      <c r="F69" s="515"/>
      <c r="G69" s="515"/>
      <c r="H69" s="515"/>
      <c r="I69" s="515"/>
      <c r="J69" s="515"/>
      <c r="K69" s="327"/>
      <c r="L69" s="4"/>
      <c r="M69" s="4"/>
      <c r="N69" s="137"/>
      <c r="P69" s="104">
        <v>1</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331</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584</v>
      </c>
      <c r="D74" s="9"/>
      <c r="E74" s="457">
        <v>3</v>
      </c>
      <c r="F74" s="4"/>
      <c r="G74" s="469">
        <v>100000000</v>
      </c>
      <c r="H74" s="4"/>
      <c r="I74" s="390" t="s">
        <v>339</v>
      </c>
      <c r="J74" s="4"/>
      <c r="K74" s="4"/>
      <c r="L74" s="4"/>
      <c r="M74" s="4"/>
      <c r="N74" s="137"/>
    </row>
    <row r="75" spans="1:16" s="104" customFormat="1" ht="14.25" customHeight="1" x14ac:dyDescent="0.25">
      <c r="A75" s="133"/>
      <c r="B75" s="136"/>
      <c r="C75" s="188" t="s">
        <v>307</v>
      </c>
      <c r="D75" s="9"/>
      <c r="E75" s="457">
        <v>10</v>
      </c>
      <c r="F75" s="4"/>
      <c r="G75" s="470">
        <v>0.64200000000000002</v>
      </c>
      <c r="H75" s="4"/>
      <c r="I75" s="723" t="s">
        <v>284</v>
      </c>
      <c r="J75" s="724"/>
      <c r="K75" s="725"/>
      <c r="L75" s="734" t="s">
        <v>470</v>
      </c>
      <c r="M75" s="735"/>
      <c r="N75" s="137"/>
    </row>
    <row r="76" spans="1:16" s="104" customFormat="1" ht="13.5" customHeight="1" x14ac:dyDescent="0.25">
      <c r="A76" s="133"/>
      <c r="B76" s="136"/>
      <c r="C76" s="188" t="s">
        <v>540</v>
      </c>
      <c r="D76" s="9"/>
      <c r="E76" s="457">
        <v>10</v>
      </c>
      <c r="F76" s="4"/>
      <c r="G76" s="470">
        <v>642</v>
      </c>
      <c r="H76" s="4"/>
      <c r="I76" s="459" t="s">
        <v>39</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40" t="s">
        <v>40</v>
      </c>
      <c r="D78" s="540"/>
      <c r="E78" s="540"/>
      <c r="F78" s="540"/>
      <c r="G78" s="540"/>
      <c r="H78" s="540"/>
      <c r="I78" s="540"/>
      <c r="J78" s="540"/>
      <c r="K78" s="540"/>
      <c r="L78" s="540"/>
      <c r="M78" s="4"/>
      <c r="N78" s="137"/>
      <c r="P78" s="104">
        <v>1</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335</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336</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256</v>
      </c>
      <c r="H84" s="4"/>
      <c r="I84" s="79">
        <v>0.12489687739141805</v>
      </c>
      <c r="J84" s="4"/>
      <c r="K84" s="4"/>
      <c r="L84" s="4"/>
      <c r="M84" s="4"/>
      <c r="N84" s="137"/>
    </row>
    <row r="85" spans="1:14" s="104" customFormat="1" ht="13.5" customHeight="1" x14ac:dyDescent="0.25">
      <c r="A85" s="133"/>
      <c r="B85" s="136"/>
      <c r="C85" s="176"/>
      <c r="D85" s="3"/>
      <c r="E85" s="295"/>
      <c r="F85" s="3"/>
      <c r="G85" s="151" t="s">
        <v>255</v>
      </c>
      <c r="H85" s="4"/>
      <c r="I85" s="79">
        <v>0.15036025200000011</v>
      </c>
      <c r="J85" s="4"/>
      <c r="K85" s="4"/>
      <c r="L85" s="4"/>
      <c r="M85" s="4"/>
      <c r="N85" s="137"/>
    </row>
    <row r="86" spans="1:14" s="104" customFormat="1" ht="13.5" customHeight="1" x14ac:dyDescent="0.25">
      <c r="A86" s="133"/>
      <c r="B86" s="136"/>
      <c r="C86" s="176"/>
      <c r="D86" s="3"/>
      <c r="E86" s="295"/>
      <c r="F86" s="3"/>
      <c r="G86" s="151" t="s">
        <v>541</v>
      </c>
      <c r="H86" s="4"/>
      <c r="I86" s="119">
        <v>2399667.6</v>
      </c>
      <c r="J86" s="4"/>
      <c r="K86" s="4"/>
      <c r="L86" s="4"/>
      <c r="M86" s="4"/>
      <c r="N86" s="137"/>
    </row>
    <row r="87" spans="1:14" s="104" customFormat="1" ht="13.5" customHeight="1" x14ac:dyDescent="0.25">
      <c r="A87" s="133"/>
      <c r="B87" s="136"/>
      <c r="C87" s="176"/>
      <c r="D87" s="3"/>
      <c r="E87" s="295"/>
      <c r="F87" s="3"/>
      <c r="G87" s="151" t="s">
        <v>280</v>
      </c>
      <c r="H87" s="4"/>
      <c r="I87" s="119">
        <v>11353320.600000011</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337</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393</v>
      </c>
      <c r="H91" s="4"/>
      <c r="I91" s="37">
        <v>35.569191035951022</v>
      </c>
      <c r="J91" s="390" t="s">
        <v>238</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394</v>
      </c>
      <c r="H93" s="4"/>
      <c r="I93" s="406">
        <v>168.28515304111224</v>
      </c>
      <c r="J93" s="390" t="s">
        <v>238</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395</v>
      </c>
      <c r="H95" s="4"/>
      <c r="I95" s="406" t="s">
        <v>239</v>
      </c>
      <c r="J95" s="390" t="s">
        <v>470</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240</v>
      </c>
      <c r="H97" s="4"/>
      <c r="I97" s="116">
        <v>2.8815950863204152</v>
      </c>
      <c r="J97" s="390" t="s">
        <v>241</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338</v>
      </c>
      <c r="H99" s="4"/>
      <c r="I99" s="116">
        <v>8960.9053439999989</v>
      </c>
      <c r="J99" s="390" t="s">
        <v>237</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6" t="s">
        <v>470</v>
      </c>
      <c r="D101" s="727"/>
      <c r="E101" s="727"/>
      <c r="F101" s="727"/>
      <c r="G101" s="727"/>
      <c r="H101" s="727"/>
      <c r="I101" s="727"/>
      <c r="J101" s="727"/>
      <c r="K101" s="727"/>
      <c r="L101" s="727"/>
      <c r="M101" s="727"/>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295</v>
      </c>
      <c r="H103" s="474"/>
      <c r="I103" s="116">
        <v>17684.3</v>
      </c>
      <c r="J103" s="472" t="s">
        <v>237</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8" t="s">
        <v>294</v>
      </c>
      <c r="D105" s="538"/>
      <c r="E105" s="538"/>
      <c r="F105" s="538"/>
      <c r="G105" s="538"/>
      <c r="H105" s="80"/>
      <c r="I105" s="247">
        <v>1.9734947888765491</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570</v>
      </c>
      <c r="D107" s="206"/>
      <c r="E107" s="306"/>
      <c r="F107" s="206"/>
      <c r="G107" s="206"/>
      <c r="H107" s="4"/>
      <c r="I107" s="4"/>
      <c r="J107" s="4"/>
      <c r="K107" s="192"/>
      <c r="L107" s="4"/>
      <c r="M107" s="4"/>
      <c r="N107" s="137"/>
    </row>
    <row r="108" spans="1:16" s="338" customFormat="1" ht="21" customHeight="1" x14ac:dyDescent="0.25">
      <c r="A108" s="334"/>
      <c r="B108" s="136"/>
      <c r="C108" s="335" t="s">
        <v>231</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5" t="s">
        <v>381</v>
      </c>
      <c r="D110" s="536"/>
      <c r="E110" s="536"/>
      <c r="F110" s="536"/>
      <c r="G110" s="536"/>
      <c r="H110" s="536"/>
      <c r="I110" s="536"/>
      <c r="J110" s="536"/>
      <c r="K110" s="536"/>
      <c r="L110" s="536"/>
      <c r="M110" s="537"/>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51" t="s">
        <v>545</v>
      </c>
      <c r="D112" s="551"/>
      <c r="E112" s="551"/>
      <c r="F112" s="551"/>
      <c r="G112" s="551"/>
      <c r="H112" s="551"/>
      <c r="I112" s="551"/>
      <c r="J112" s="551"/>
      <c r="K112" s="551"/>
      <c r="L112" s="551"/>
      <c r="M112" s="551"/>
      <c r="N112" s="328"/>
      <c r="P112" s="377"/>
    </row>
    <row r="113" spans="1:14" s="104" customFormat="1" ht="21.75" customHeight="1" x14ac:dyDescent="0.25">
      <c r="A113" s="133"/>
      <c r="B113" s="136"/>
      <c r="C113" s="475" t="s">
        <v>591</v>
      </c>
      <c r="D113" s="549"/>
      <c r="E113" s="550"/>
      <c r="F113" s="550"/>
      <c r="G113" s="550"/>
      <c r="H113" s="550"/>
      <c r="I113" s="550"/>
      <c r="J113" s="550"/>
      <c r="K113" s="550"/>
      <c r="L113" s="550"/>
      <c r="M113" s="550"/>
      <c r="N113" s="137"/>
    </row>
    <row r="114" spans="1:14" s="104" customFormat="1" ht="19.5" customHeight="1" x14ac:dyDescent="0.25">
      <c r="A114" s="133"/>
      <c r="B114" s="136"/>
      <c r="C114" s="728" t="s">
        <v>230</v>
      </c>
      <c r="D114" s="542"/>
      <c r="E114" s="542"/>
      <c r="F114" s="542"/>
      <c r="G114" s="542"/>
      <c r="H114" s="542"/>
      <c r="I114" s="542"/>
      <c r="J114" s="542"/>
      <c r="K114" s="542"/>
      <c r="L114" s="542"/>
      <c r="M114" s="542"/>
      <c r="N114" s="137"/>
    </row>
    <row r="115" spans="1:14" s="104" customFormat="1" ht="15" customHeight="1" x14ac:dyDescent="0.25">
      <c r="A115" s="133"/>
      <c r="B115" s="136"/>
      <c r="C115" s="476" t="s">
        <v>242</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382</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383</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41" priority="1" stopIfTrue="1">
      <formula>E14=""=TRUE</formula>
    </cfRule>
  </conditionalFormatting>
  <conditionalFormatting sqref="C32">
    <cfRule type="expression" dxfId="40" priority="2" stopIfTrue="1">
      <formula>AND(G30&gt;=G19,(G30&lt;&gt;0))</formula>
    </cfRule>
  </conditionalFormatting>
  <conditionalFormatting sqref="D32">
    <cfRule type="expression" dxfId="39" priority="3" stopIfTrue="1">
      <formula>AND(G30&gt;=G19,(G30&lt;&gt;0))</formula>
    </cfRule>
  </conditionalFormatting>
  <conditionalFormatting sqref="F32">
    <cfRule type="expression" dxfId="38" priority="4" stopIfTrue="1">
      <formula>AND(G30&gt;=G19,(G30&lt;&gt;0))</formula>
    </cfRule>
  </conditionalFormatting>
  <conditionalFormatting sqref="G32">
    <cfRule type="expression" dxfId="37" priority="5" stopIfTrue="1">
      <formula>AND(G30&gt;=G19,(G30&lt;&gt;0))</formula>
    </cfRule>
  </conditionalFormatting>
  <conditionalFormatting sqref="H32">
    <cfRule type="expression" dxfId="36" priority="6" stopIfTrue="1">
      <formula>AND(G30&gt;=G19,(G30&lt;&gt;0))</formula>
    </cfRule>
  </conditionalFormatting>
  <conditionalFormatting sqref="J32">
    <cfRule type="expression" dxfId="35" priority="7" stopIfTrue="1">
      <formula>AND(G30&gt;=G19,(G30&lt;&gt;0))</formula>
    </cfRule>
  </conditionalFormatting>
  <conditionalFormatting sqref="I32">
    <cfRule type="expression" dxfId="34" priority="8" stopIfTrue="1">
      <formula>AND(G30&gt;=G19,(G30&lt;&gt;0))</formula>
    </cfRule>
  </conditionalFormatting>
  <conditionalFormatting sqref="E32">
    <cfRule type="expression" dxfId="33" priority="9" stopIfTrue="1">
      <formula>AND(G30&gt;=G19,(G30&lt;&gt;0))</formula>
    </cfRule>
  </conditionalFormatting>
  <conditionalFormatting sqref="F111">
    <cfRule type="expression" dxfId="32" priority="10" stopIfTrue="1">
      <formula>"B106=0"</formula>
    </cfRule>
  </conditionalFormatting>
  <conditionalFormatting sqref="A110:A112 N110:IV112 D111 G111:M111">
    <cfRule type="expression" dxfId="31" priority="11" stopIfTrue="1">
      <formula>"M22=0"</formula>
    </cfRule>
  </conditionalFormatting>
  <conditionalFormatting sqref="G35 G42 G38 G30 G23:G26">
    <cfRule type="cellIs" dxfId="30" priority="12" stopIfTrue="1" operator="greaterThan">
      <formula>$G$19</formula>
    </cfRule>
  </conditionalFormatting>
  <conditionalFormatting sqref="G47">
    <cfRule type="cellIs" dxfId="29" priority="13" stopIfTrue="1" operator="greaterThan">
      <formula>$G$35</formula>
    </cfRule>
  </conditionalFormatting>
  <conditionalFormatting sqref="L38">
    <cfRule type="expression" dxfId="28" priority="14" stopIfTrue="1">
      <formula>$P$38=1</formula>
    </cfRule>
  </conditionalFormatting>
  <conditionalFormatting sqref="L42:M42">
    <cfRule type="expression" dxfId="27" priority="15" stopIfTrue="1">
      <formula>$P$42=1</formula>
    </cfRule>
  </conditionalFormatting>
  <conditionalFormatting sqref="J38">
    <cfRule type="expression" dxfId="26" priority="16" stopIfTrue="1">
      <formula>$P$38=2</formula>
    </cfRule>
  </conditionalFormatting>
  <conditionalFormatting sqref="G41">
    <cfRule type="expression" dxfId="25" priority="17" stopIfTrue="1">
      <formula>$P$38=2</formula>
    </cfRule>
  </conditionalFormatting>
  <conditionalFormatting sqref="F29">
    <cfRule type="expression" dxfId="24" priority="18" stopIfTrue="1">
      <formula>$P$26=2</formula>
    </cfRule>
  </conditionalFormatting>
  <conditionalFormatting sqref="L26">
    <cfRule type="expression" dxfId="23" priority="19" stopIfTrue="1">
      <formula>$P$26=1</formula>
    </cfRule>
  </conditionalFormatting>
  <conditionalFormatting sqref="J26">
    <cfRule type="expression" dxfId="22" priority="20" stopIfTrue="1">
      <formula>$P$26=2</formula>
    </cfRule>
  </conditionalFormatting>
  <conditionalFormatting sqref="C49:J49">
    <cfRule type="expression" dxfId="21" priority="21" stopIfTrue="1">
      <formula>AND($G$47&gt;=$G$35,($G$47&lt;&gt;0))</formula>
    </cfRule>
  </conditionalFormatting>
  <conditionalFormatting sqref="C69:J69">
    <cfRule type="expression" dxfId="20" priority="22" stopIfTrue="1">
      <formula>OR(AND(NOT(ISBLANK($G$67)),$P$69=1,$G$67&lt;=25),AND(NOT(ISBLANK($G$67)),$P$69&lt;&gt;1,$G$67&lt;=40))</formula>
    </cfRule>
  </conditionalFormatting>
  <conditionalFormatting sqref="C78:L78">
    <cfRule type="expression" dxfId="19" priority="23" stopIfTrue="1">
      <formula>$P$78=1</formula>
    </cfRule>
  </conditionalFormatting>
  <conditionalFormatting sqref="C28:J28">
    <cfRule type="expression" dxfId="18" priority="24" stopIfTrue="1">
      <formula>AND($P$26=2,$L$26&gt;0.125*$G$19)</formula>
    </cfRule>
    <cfRule type="expression" dxfId="17" priority="25" stopIfTrue="1">
      <formula>$P$26=1</formula>
    </cfRule>
    <cfRule type="expression" dxfId="16" priority="26" stopIfTrue="1">
      <formula>AND($P$26=2,$L$26=0)</formula>
    </cfRule>
  </conditionalFormatting>
  <conditionalFormatting sqref="C40:J40">
    <cfRule type="expression" dxfId="15" priority="27" stopIfTrue="1">
      <formula>AND($P$38=2,$L$38&gt;0.025*$G$19)</formula>
    </cfRule>
    <cfRule type="expression" dxfId="14" priority="28" stopIfTrue="1">
      <formula>$P$38=1</formula>
    </cfRule>
    <cfRule type="expression" dxfId="13" priority="29" stopIfTrue="1">
      <formula>AND($P$38=2,$L$38=0)</formula>
    </cfRule>
  </conditionalFormatting>
  <conditionalFormatting sqref="L75:M75">
    <cfRule type="expression" dxfId="12" priority="30" stopIfTrue="1">
      <formula>AND(NOT(ISBLANK($G$75)),ISBLANK($I$75))</formula>
    </cfRule>
  </conditionalFormatting>
  <conditionalFormatting sqref="C101:M101">
    <cfRule type="expression" dxfId="11" priority="31" stopIfTrue="1">
      <formula>$I$99="Not Valid"</formula>
    </cfRule>
  </conditionalFormatting>
  <conditionalFormatting sqref="E26">
    <cfRule type="expression" dxfId="10" priority="32" stopIfTrue="1">
      <formula>P26=1</formula>
    </cfRule>
    <cfRule type="expression" dxfId="9" priority="33" stopIfTrue="1">
      <formula>AND(P26=2,ISBLANK(L26))</formula>
    </cfRule>
  </conditionalFormatting>
  <conditionalFormatting sqref="J42">
    <cfRule type="expression" dxfId="8" priority="34" stopIfTrue="1">
      <formula>$P$42=2</formula>
    </cfRule>
    <cfRule type="expression" dxfId="7" priority="35" stopIfTrue="1">
      <formula>AND($P$42=1,ISBLANK(J42))</formula>
    </cfRule>
  </conditionalFormatting>
  <conditionalFormatting sqref="L44:M51">
    <cfRule type="expression" dxfId="6" priority="36" stopIfTrue="1">
      <formula>AND($P$42=1,ISBLANK($J$42))</formula>
    </cfRule>
  </conditionalFormatting>
  <conditionalFormatting sqref="K15:M15">
    <cfRule type="expression" dxfId="5" priority="37" stopIfTrue="1">
      <formula>AND(NOT(ISBLANK($G$15)),$G$15&gt;0,ISBLANK($I$15))</formula>
    </cfRule>
  </conditionalFormatting>
  <conditionalFormatting sqref="I15:J15">
    <cfRule type="expression" dxfId="4" priority="38"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5A51EF25-DAA1-4787-BEE2-BE023DDE4CE8}">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B2F210E6-0F65-4A90-9D1D-478C20A47131}">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66860F25-BFD9-493C-8FFC-C49AB4D86004}">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98A627E8-FF42-4613-AFFE-B7C0E525CE1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8F446205-1DD7-4EB7-8554-D8FB582E527D}">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ADB09195-A26D-4A46-940C-86061A4C7B14}">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9DD165B7-BB6A-429D-B955-37561B45139D}">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4E8FA47A-C266-4B90-93D1-C939F3F8D894}">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05C50F04-4996-4A12-A16A-E1FD0651F1A3}">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47D69CA4-E469-461E-9AD7-27301B0B8932}">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D32D8393-BA23-4687-8B73-F7AD8EC0E21E}">
      <formula1>0</formula1>
    </dataValidation>
    <dataValidation type="decimal" operator="greaterThan" allowBlank="1" showErrorMessage="1" errorTitle="Data Validation" error="Enter a numerical value" promptTitle="Data Validation" prompt="Enter a numerical value greater than or equal to zero" sqref="G43" xr:uid="{0B48FA7A-0475-4B40-AFA6-7089CE93F5BF}">
      <formula1>-1E+25</formula1>
    </dataValidation>
    <dataValidation type="decimal" errorStyle="warning" operator="lessThanOrEqual" allowBlank="1" showErrorMessage="1" errorTitle="Customer Service Lines" error="The value you entered is greater than an assumed maximum reasonable value." sqref="G65" xr:uid="{A6CE975A-0721-47C9-8307-EF9BCA5AAFBA}">
      <formula1>100</formula1>
    </dataValidation>
    <dataValidation type="decimal" errorStyle="warning" operator="lessThanOrEqual" allowBlank="1" showErrorMessage="1" errorTitle="Average Operating Pressure" error="The value you entered is greater than an assumed maximum reasonable value." sqref="G67" xr:uid="{FD371C4A-96FE-4E41-A74F-DBC43770557D}">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8261-87B2-4FBC-BEC1-2D0C7604F326}">
  <sheetPr codeName="Sheet14">
    <tabColor indexed="48"/>
  </sheetPr>
  <dimension ref="A1:IU80"/>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715" t="s">
        <v>322</v>
      </c>
      <c r="D2" s="716"/>
      <c r="E2" s="716"/>
      <c r="F2" s="716"/>
      <c r="G2" s="717"/>
      <c r="H2" s="717"/>
      <c r="I2" s="717"/>
      <c r="J2" s="717"/>
      <c r="K2" s="718"/>
      <c r="L2" s="718"/>
      <c r="M2" s="718"/>
      <c r="N2" s="718"/>
      <c r="O2" s="718"/>
      <c r="P2" s="48"/>
      <c r="Q2" s="48"/>
      <c r="R2" s="48"/>
      <c r="S2" s="357"/>
      <c r="T2" s="353"/>
      <c r="U2" s="351"/>
    </row>
    <row r="3" spans="1:22" ht="8.25" customHeight="1" thickTop="1" thickBot="1" x14ac:dyDescent="0.3">
      <c r="B3" s="53"/>
      <c r="C3" s="32"/>
      <c r="D3" s="32"/>
      <c r="E3" s="32"/>
      <c r="F3" s="32"/>
      <c r="G3" s="2"/>
      <c r="H3" s="2"/>
      <c r="I3" s="2"/>
      <c r="J3" s="2"/>
      <c r="K3" s="2"/>
      <c r="L3" s="2"/>
      <c r="M3" s="2"/>
      <c r="N3" s="2"/>
      <c r="O3" s="2"/>
      <c r="P3" s="2"/>
      <c r="Q3" s="2"/>
      <c r="R3" s="2"/>
      <c r="S3" s="358"/>
      <c r="T3" s="354"/>
      <c r="U3" s="350"/>
    </row>
    <row r="4" spans="1:22" ht="46.5" customHeight="1" thickBot="1" x14ac:dyDescent="0.3">
      <c r="B4" s="53"/>
      <c r="C4" s="675" t="s">
        <v>186</v>
      </c>
      <c r="D4" s="676"/>
      <c r="E4" s="676"/>
      <c r="F4" s="676"/>
      <c r="G4" s="676"/>
      <c r="H4" s="676"/>
      <c r="I4" s="676"/>
      <c r="J4" s="676"/>
      <c r="K4" s="676"/>
      <c r="L4" s="676"/>
      <c r="M4" s="676"/>
      <c r="N4" s="676"/>
      <c r="O4" s="676"/>
      <c r="P4" s="676"/>
      <c r="Q4" s="676"/>
      <c r="R4" s="677"/>
      <c r="S4" s="359"/>
      <c r="T4" s="355"/>
      <c r="U4" s="352"/>
    </row>
    <row r="5" spans="1:22" ht="7.5" customHeight="1" thickBot="1" x14ac:dyDescent="0.4">
      <c r="B5" s="53"/>
      <c r="C5" s="99"/>
      <c r="D5" s="51"/>
      <c r="E5" s="51"/>
      <c r="F5" s="51"/>
      <c r="G5" s="51"/>
      <c r="H5" s="51"/>
      <c r="I5" s="51"/>
      <c r="J5" s="51"/>
      <c r="K5" s="51"/>
      <c r="L5" s="51"/>
      <c r="M5" s="51"/>
      <c r="N5" s="51"/>
      <c r="O5" s="51"/>
      <c r="P5" s="51"/>
      <c r="Q5" s="51"/>
      <c r="R5" s="51"/>
      <c r="S5" s="359"/>
      <c r="T5" s="355"/>
      <c r="U5" s="352"/>
    </row>
    <row r="6" spans="1:22" ht="84" customHeight="1" thickBot="1" x14ac:dyDescent="0.3">
      <c r="B6" s="53"/>
      <c r="C6" s="675" t="s">
        <v>371</v>
      </c>
      <c r="D6" s="676"/>
      <c r="E6" s="676"/>
      <c r="F6" s="676"/>
      <c r="G6" s="676"/>
      <c r="H6" s="676"/>
      <c r="I6" s="676"/>
      <c r="J6" s="676"/>
      <c r="K6" s="676"/>
      <c r="L6" s="676"/>
      <c r="M6" s="676"/>
      <c r="N6" s="676"/>
      <c r="O6" s="676"/>
      <c r="P6" s="676"/>
      <c r="Q6" s="676"/>
      <c r="R6" s="677"/>
      <c r="S6" s="359"/>
      <c r="T6" s="355"/>
      <c r="U6" s="352"/>
    </row>
    <row r="7" spans="1:22" ht="8.25" customHeight="1" thickBot="1" x14ac:dyDescent="0.3">
      <c r="B7" s="53"/>
      <c r="C7" s="32"/>
      <c r="D7" s="32"/>
      <c r="E7" s="32"/>
      <c r="F7" s="32"/>
      <c r="G7" s="2"/>
      <c r="H7" s="2"/>
      <c r="I7" s="2"/>
      <c r="J7" s="2"/>
      <c r="K7" s="2"/>
      <c r="L7" s="2"/>
      <c r="M7" s="2"/>
      <c r="N7" s="2"/>
      <c r="O7" s="2"/>
      <c r="P7" s="2"/>
      <c r="Q7" s="2"/>
      <c r="R7" s="2"/>
      <c r="S7" s="358"/>
      <c r="T7" s="354"/>
      <c r="U7" s="350"/>
    </row>
    <row r="8" spans="1:22" ht="16.5" x14ac:dyDescent="0.3">
      <c r="B8" s="53"/>
      <c r="C8" s="86" t="s">
        <v>334</v>
      </c>
      <c r="D8" s="87" t="s">
        <v>319</v>
      </c>
      <c r="E8" s="87"/>
      <c r="F8" s="87"/>
      <c r="G8" s="88"/>
      <c r="H8" s="88"/>
      <c r="I8" s="88"/>
      <c r="J8" s="89"/>
      <c r="K8" s="89"/>
      <c r="L8" s="89"/>
      <c r="M8" s="89"/>
      <c r="N8" s="89"/>
      <c r="O8" s="89"/>
      <c r="P8" s="89"/>
      <c r="Q8" s="89"/>
      <c r="R8" s="89"/>
      <c r="S8" s="358"/>
      <c r="T8" s="354"/>
      <c r="U8" s="350"/>
    </row>
    <row r="9" spans="1:22" ht="16.5" x14ac:dyDescent="0.3">
      <c r="B9" s="53"/>
      <c r="C9" s="90"/>
      <c r="D9" s="83" t="s">
        <v>589</v>
      </c>
      <c r="E9" s="83"/>
      <c r="F9" s="83"/>
      <c r="G9" s="84"/>
      <c r="H9" s="84"/>
      <c r="I9" s="84"/>
      <c r="J9" s="85"/>
      <c r="K9" s="85"/>
      <c r="L9" s="85"/>
      <c r="M9" s="85"/>
      <c r="N9" s="85"/>
      <c r="O9" s="85"/>
      <c r="P9" s="85"/>
      <c r="Q9" s="85"/>
      <c r="R9" s="85"/>
      <c r="S9" s="358"/>
      <c r="T9" s="354"/>
      <c r="U9" s="350"/>
    </row>
    <row r="10" spans="1:22" ht="16.5" x14ac:dyDescent="0.3">
      <c r="B10" s="53"/>
      <c r="C10" s="91"/>
      <c r="D10" s="83" t="s">
        <v>343</v>
      </c>
      <c r="E10" s="83"/>
      <c r="F10" s="83"/>
      <c r="G10" s="84"/>
      <c r="H10" s="84"/>
      <c r="I10" s="84"/>
      <c r="J10" s="85"/>
      <c r="K10" s="85"/>
      <c r="L10" s="85"/>
      <c r="M10" s="85"/>
      <c r="N10" s="85"/>
      <c r="O10" s="85"/>
      <c r="P10" s="85"/>
      <c r="Q10" s="85"/>
      <c r="R10" s="85"/>
      <c r="S10" s="358"/>
      <c r="T10" s="354"/>
      <c r="U10" s="350"/>
    </row>
    <row r="11" spans="1:22" ht="16.5" x14ac:dyDescent="0.3">
      <c r="B11" s="53"/>
      <c r="C11" s="91"/>
      <c r="D11" s="83" t="s">
        <v>345</v>
      </c>
      <c r="E11" s="83"/>
      <c r="F11" s="83"/>
      <c r="G11" s="84"/>
      <c r="H11" s="84"/>
      <c r="I11" s="84"/>
      <c r="J11" s="85"/>
      <c r="K11" s="85"/>
      <c r="L11" s="85"/>
      <c r="M11" s="85"/>
      <c r="N11" s="85"/>
      <c r="O11" s="85"/>
      <c r="P11" s="85"/>
      <c r="Q11" s="85"/>
      <c r="R11" s="85"/>
      <c r="S11" s="358"/>
      <c r="T11" s="354"/>
      <c r="U11" s="350"/>
    </row>
    <row r="12" spans="1:22" ht="17.25" thickBot="1" x14ac:dyDescent="0.35">
      <c r="B12" s="53"/>
      <c r="C12" s="92"/>
      <c r="D12" s="93" t="s">
        <v>344</v>
      </c>
      <c r="E12" s="93"/>
      <c r="F12" s="93"/>
      <c r="G12" s="94"/>
      <c r="H12" s="94"/>
      <c r="I12" s="94"/>
      <c r="J12" s="95"/>
      <c r="K12" s="95"/>
      <c r="L12" s="95"/>
      <c r="M12" s="95"/>
      <c r="N12" s="95"/>
      <c r="O12" s="95"/>
      <c r="P12" s="95"/>
      <c r="Q12" s="95"/>
      <c r="R12" s="95"/>
      <c r="S12" s="358"/>
      <c r="T12" s="354"/>
      <c r="U12" s="350"/>
    </row>
    <row r="13" spans="1:22" ht="8.25" customHeight="1" thickBot="1" x14ac:dyDescent="0.3">
      <c r="B13" s="53"/>
      <c r="C13" s="2"/>
      <c r="D13" s="2"/>
      <c r="E13" s="2"/>
      <c r="F13" s="2"/>
      <c r="G13" s="2"/>
      <c r="H13" s="2"/>
      <c r="I13" s="2"/>
      <c r="J13" s="2"/>
      <c r="K13" s="2"/>
      <c r="L13" s="2"/>
      <c r="M13" s="2"/>
      <c r="N13" s="2"/>
      <c r="O13" s="2"/>
      <c r="P13" s="2"/>
      <c r="Q13" s="2"/>
      <c r="R13" s="2"/>
      <c r="S13" s="358"/>
      <c r="T13" s="354"/>
      <c r="U13" s="350"/>
    </row>
    <row r="14" spans="1:22" ht="48" customHeight="1" x14ac:dyDescent="0.25">
      <c r="B14" s="53"/>
      <c r="C14" s="96" t="s">
        <v>333</v>
      </c>
      <c r="D14" s="743" t="s">
        <v>268</v>
      </c>
      <c r="E14" s="743"/>
      <c r="F14" s="743"/>
      <c r="G14" s="743"/>
      <c r="H14" s="743"/>
      <c r="I14" s="743"/>
      <c r="J14" s="743"/>
      <c r="K14" s="743"/>
      <c r="L14" s="743"/>
      <c r="M14" s="743"/>
      <c r="N14" s="743"/>
      <c r="O14" s="743"/>
      <c r="P14" s="743"/>
      <c r="Q14" s="743"/>
      <c r="R14" s="744"/>
      <c r="S14" s="358"/>
      <c r="T14" s="354"/>
      <c r="U14" s="350"/>
    </row>
    <row r="15" spans="1:22" ht="73.5" customHeight="1" thickBot="1" x14ac:dyDescent="0.35">
      <c r="B15" s="53"/>
      <c r="C15" s="97"/>
      <c r="D15" s="745" t="s">
        <v>431</v>
      </c>
      <c r="E15" s="745"/>
      <c r="F15" s="745"/>
      <c r="G15" s="745"/>
      <c r="H15" s="745"/>
      <c r="I15" s="745"/>
      <c r="J15" s="745"/>
      <c r="K15" s="745"/>
      <c r="L15" s="745"/>
      <c r="M15" s="745"/>
      <c r="N15" s="745"/>
      <c r="O15" s="745"/>
      <c r="P15" s="745"/>
      <c r="Q15" s="745"/>
      <c r="R15" s="746"/>
      <c r="S15" s="358"/>
      <c r="T15" s="354"/>
      <c r="U15" s="350"/>
    </row>
    <row r="16" spans="1:22" ht="6" customHeight="1" thickBot="1" x14ac:dyDescent="0.3">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25"/>
    <row r="18" ht="13.5" hidden="1" x14ac:dyDescent="0.25"/>
    <row r="19" ht="13.5" hidden="1" x14ac:dyDescent="0.25"/>
    <row r="20" ht="13.5" hidden="1" x14ac:dyDescent="0.25"/>
    <row r="21" ht="13.5" hidden="1" x14ac:dyDescent="0.25"/>
    <row r="22" ht="13.5" hidden="1" x14ac:dyDescent="0.25"/>
    <row r="23" ht="13.5" hidden="1" x14ac:dyDescent="0.25"/>
    <row r="24" ht="13.5" hidden="1" x14ac:dyDescent="0.25"/>
    <row r="25" ht="13.5" hidden="1" x14ac:dyDescent="0.25"/>
    <row r="26" ht="13.5" hidden="1" x14ac:dyDescent="0.25"/>
    <row r="27" ht="13.5" hidden="1" x14ac:dyDescent="0.25"/>
    <row r="28" ht="13.5" hidden="1" x14ac:dyDescent="0.25"/>
    <row r="29" ht="13.5" hidden="1" x14ac:dyDescent="0.25"/>
    <row r="30" ht="13.5" hidden="1" x14ac:dyDescent="0.25"/>
    <row r="31" ht="13.5" hidden="1" x14ac:dyDescent="0.25"/>
    <row r="3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customHeight="1" x14ac:dyDescent="0.25"/>
  </sheetData>
  <sheetProtection password="E218"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23EE-6FD5-4B65-BDA0-150AADA16D67}">
  <sheetPr codeName="Sheet15"/>
  <dimension ref="A1:P55"/>
  <sheetViews>
    <sheetView workbookViewId="0">
      <selection activeCell="F23" sqref="F23"/>
    </sheetView>
  </sheetViews>
  <sheetFormatPr defaultRowHeight="12.75" x14ac:dyDescent="0.2"/>
  <cols>
    <col min="1" max="1" width="32.28515625" style="196" customWidth="1"/>
    <col min="2" max="2" width="20.28515625" style="196" customWidth="1"/>
    <col min="3" max="3" width="23.28515625" style="196" bestFit="1" customWidth="1"/>
    <col min="4" max="4" width="12.5703125" style="196" bestFit="1" customWidth="1"/>
    <col min="5" max="5" width="6.28515625" style="196" customWidth="1"/>
    <col min="6" max="6" width="12.7109375" style="196" customWidth="1"/>
    <col min="7" max="7" width="16.85546875" style="196" customWidth="1"/>
    <col min="8" max="8" width="6" style="196" customWidth="1"/>
    <col min="9" max="9" width="33.28515625" style="196" bestFit="1" customWidth="1"/>
    <col min="10" max="10" width="4.140625" style="196" customWidth="1"/>
    <col min="11" max="11" width="9" style="196" customWidth="1"/>
    <col min="12" max="13" width="33.28515625" style="196" bestFit="1" customWidth="1"/>
    <col min="14" max="14" width="18.85546875" style="196" bestFit="1" customWidth="1"/>
    <col min="15" max="15" width="33.28515625" style="196" bestFit="1" customWidth="1"/>
    <col min="16" max="16384" width="9.140625" style="196"/>
  </cols>
  <sheetData>
    <row r="1" spans="1:16" x14ac:dyDescent="0.2">
      <c r="A1" s="195"/>
      <c r="B1" s="195" t="s">
        <v>150</v>
      </c>
      <c r="C1" s="195" t="s">
        <v>586</v>
      </c>
      <c r="D1" s="195" t="s">
        <v>284</v>
      </c>
      <c r="F1" s="232" t="s">
        <v>626</v>
      </c>
      <c r="G1" s="233"/>
      <c r="M1" s="275" t="s">
        <v>224</v>
      </c>
      <c r="N1" s="195" t="s">
        <v>215</v>
      </c>
      <c r="O1" s="195" t="s">
        <v>213</v>
      </c>
      <c r="P1" s="195" t="s">
        <v>214</v>
      </c>
    </row>
    <row r="2" spans="1:16" x14ac:dyDescent="0.2">
      <c r="A2" s="195" t="s">
        <v>215</v>
      </c>
      <c r="B2" s="234">
        <f>1000000/(F2*100)</f>
        <v>1336.8055610095364</v>
      </c>
      <c r="C2" s="234">
        <v>1000</v>
      </c>
      <c r="D2" s="234">
        <f>1000/F5</f>
        <v>3785.4117999999999</v>
      </c>
      <c r="E2" s="197"/>
      <c r="F2" s="272">
        <v>7.4805194500000001</v>
      </c>
      <c r="G2" s="230" t="s">
        <v>623</v>
      </c>
      <c r="H2" s="196" t="s">
        <v>627</v>
      </c>
      <c r="M2" s="195" t="s">
        <v>215</v>
      </c>
      <c r="N2" s="234">
        <v>1</v>
      </c>
      <c r="O2" s="234">
        <f>F4</f>
        <v>3.7854117999999999</v>
      </c>
      <c r="P2" s="276">
        <v>3.068883289737228</v>
      </c>
    </row>
    <row r="3" spans="1:16" x14ac:dyDescent="0.2">
      <c r="A3" s="195" t="s">
        <v>213</v>
      </c>
      <c r="B3" s="234">
        <f>1000000/F4/(F2*100)</f>
        <v>353.14666716301156</v>
      </c>
      <c r="C3" s="234">
        <f>1000/F4</f>
        <v>264.17205124155845</v>
      </c>
      <c r="D3" s="234">
        <v>1000</v>
      </c>
      <c r="F3" s="235">
        <v>43560</v>
      </c>
      <c r="G3" s="230" t="s">
        <v>628</v>
      </c>
      <c r="H3" s="198"/>
      <c r="M3" s="195" t="s">
        <v>213</v>
      </c>
      <c r="N3" s="234">
        <f>1/O2</f>
        <v>0.26417205124155846</v>
      </c>
      <c r="O3" s="234">
        <v>1</v>
      </c>
      <c r="P3" s="234">
        <v>0.8107131936708255</v>
      </c>
    </row>
    <row r="4" spans="1:16" x14ac:dyDescent="0.2">
      <c r="A4" s="195" t="s">
        <v>214</v>
      </c>
      <c r="B4" s="234">
        <f>F3/100</f>
        <v>435.6</v>
      </c>
      <c r="C4" s="234">
        <f>F3*F2/1000</f>
        <v>325.851427242</v>
      </c>
      <c r="D4" s="234">
        <f>F3*F2*F4/1000</f>
        <v>1233.4818377287083</v>
      </c>
      <c r="F4" s="271">
        <v>3.7854117999999999</v>
      </c>
      <c r="G4" s="230" t="s">
        <v>625</v>
      </c>
      <c r="H4" s="198"/>
      <c r="M4" s="195" t="s">
        <v>214</v>
      </c>
      <c r="N4" s="276">
        <f>325851.427242/1000000</f>
        <v>0.325851427242</v>
      </c>
      <c r="O4" s="234">
        <v>1.2334818377287082</v>
      </c>
      <c r="P4" s="234">
        <v>1</v>
      </c>
    </row>
    <row r="5" spans="1:16" x14ac:dyDescent="0.2">
      <c r="F5" s="270">
        <f>1/F4</f>
        <v>0.26417205124155846</v>
      </c>
      <c r="G5" s="231" t="s">
        <v>624</v>
      </c>
      <c r="H5" s="198"/>
    </row>
    <row r="6" spans="1:16" ht="13.5" thickBot="1" x14ac:dyDescent="0.25">
      <c r="H6" s="198"/>
    </row>
    <row r="7" spans="1:16" ht="13.5" thickBot="1" x14ac:dyDescent="0.25">
      <c r="A7" s="198" t="s">
        <v>281</v>
      </c>
      <c r="B7" s="199">
        <v>1</v>
      </c>
      <c r="C7" s="196" t="s">
        <v>585</v>
      </c>
      <c r="D7" s="196">
        <f>MATCH(C7,A2:A4,0)</f>
        <v>1</v>
      </c>
      <c r="H7" s="198"/>
    </row>
    <row r="8" spans="1:16" ht="13.5" thickBot="1" x14ac:dyDescent="0.25">
      <c r="A8" s="198"/>
      <c r="E8" s="196">
        <f>INDEX($B$2:$D$4,MATCH(C7,A2:A4,0),MATCH(C9,B1:D1,0))</f>
        <v>1336.8055610095364</v>
      </c>
      <c r="H8" s="198"/>
    </row>
    <row r="9" spans="1:16" ht="13.5" thickBot="1" x14ac:dyDescent="0.25">
      <c r="A9" s="198" t="s">
        <v>282</v>
      </c>
      <c r="B9" s="200">
        <v>10</v>
      </c>
      <c r="C9" s="196" t="s">
        <v>150</v>
      </c>
      <c r="D9" s="196">
        <f>MATCH(C9,B1:D1,0)</f>
        <v>1</v>
      </c>
      <c r="H9" s="198"/>
    </row>
    <row r="11" spans="1:16" x14ac:dyDescent="0.2">
      <c r="B11" s="198" t="s">
        <v>283</v>
      </c>
      <c r="C11" s="201">
        <f>B7*B9*E8</f>
        <v>13368.055610095364</v>
      </c>
      <c r="I11" s="196" t="s">
        <v>223</v>
      </c>
    </row>
    <row r="12" spans="1:16" x14ac:dyDescent="0.2">
      <c r="G12" s="196" t="s">
        <v>617</v>
      </c>
      <c r="I12" s="274" t="s">
        <v>220</v>
      </c>
      <c r="J12" s="274"/>
      <c r="K12" s="195"/>
      <c r="L12" s="274" t="s">
        <v>221</v>
      </c>
    </row>
    <row r="13" spans="1:16" ht="14.25" x14ac:dyDescent="0.2">
      <c r="G13" s="196" t="s">
        <v>616</v>
      </c>
      <c r="H13" s="278">
        <v>1</v>
      </c>
      <c r="I13" s="273" t="s">
        <v>214</v>
      </c>
      <c r="J13" s="277" t="s">
        <v>225</v>
      </c>
      <c r="K13" s="196">
        <f>H13*INDEX(N2:P4,MATCH(I13,M2:M4,0),MATCH(L13,N1:P1,0))</f>
        <v>1.2334818377287082</v>
      </c>
      <c r="L13" s="273" t="s">
        <v>213</v>
      </c>
    </row>
    <row r="14" spans="1:16" x14ac:dyDescent="0.2">
      <c r="K14" s="197"/>
    </row>
    <row r="15" spans="1:16" x14ac:dyDescent="0.2">
      <c r="B15" s="196" t="s">
        <v>289</v>
      </c>
    </row>
    <row r="16" spans="1:16" x14ac:dyDescent="0.2">
      <c r="B16" s="195" t="s">
        <v>150</v>
      </c>
      <c r="C16" s="195" t="s">
        <v>586</v>
      </c>
      <c r="D16" s="195" t="s">
        <v>284</v>
      </c>
    </row>
    <row r="17" spans="1:5" x14ac:dyDescent="0.2">
      <c r="A17" s="195" t="s">
        <v>585</v>
      </c>
      <c r="B17" s="196">
        <f>1000000/(7.48*100)</f>
        <v>1336.8983957219252</v>
      </c>
      <c r="C17" s="196">
        <v>1000</v>
      </c>
      <c r="D17" s="196">
        <f>1000000/CONVERT(1000,"l","gal")</f>
        <v>3785.4117839999994</v>
      </c>
    </row>
    <row r="18" spans="1:5" x14ac:dyDescent="0.2">
      <c r="A18" s="195" t="s">
        <v>618</v>
      </c>
      <c r="B18" s="196">
        <f>1000000/CONVERT((7.48*100),"gal","l")</f>
        <v>353.171192992177</v>
      </c>
      <c r="C18" s="196">
        <f>1000000/CONVERT(1000,"gal","l")</f>
        <v>264.17205235814845</v>
      </c>
      <c r="D18" s="196">
        <v>1000</v>
      </c>
    </row>
    <row r="19" spans="1:5" x14ac:dyDescent="0.2">
      <c r="A19" s="195" t="s">
        <v>14</v>
      </c>
      <c r="B19" s="196">
        <f>43560/100</f>
        <v>435.6</v>
      </c>
      <c r="C19" s="196">
        <f>43560/(1000/7.48)</f>
        <v>325.8288</v>
      </c>
      <c r="D19" s="196">
        <f>F3/(CONVERT(1000,"l","gal")/F2)</f>
        <v>1233.4818325150852</v>
      </c>
    </row>
    <row r="21" spans="1:5" ht="13.5" thickBot="1" x14ac:dyDescent="0.25"/>
    <row r="22" spans="1:5" ht="13.5" thickBot="1" x14ac:dyDescent="0.25">
      <c r="A22" s="198" t="s">
        <v>289</v>
      </c>
      <c r="B22" s="199">
        <v>5</v>
      </c>
      <c r="C22" s="196" t="s">
        <v>586</v>
      </c>
      <c r="D22" s="196">
        <f>MATCH(C22,B16:D16,0)</f>
        <v>2</v>
      </c>
    </row>
    <row r="23" spans="1:5" ht="13.5" thickBot="1" x14ac:dyDescent="0.25">
      <c r="A23" s="198"/>
      <c r="E23" s="196">
        <f>INDEX($B$2:$D$4,MATCH(C24,A2:A4,0),MATCH(C22,B1:D1,0))</f>
        <v>1000</v>
      </c>
    </row>
    <row r="24" spans="1:5" ht="13.5" thickBot="1" x14ac:dyDescent="0.25">
      <c r="A24" s="198" t="s">
        <v>290</v>
      </c>
      <c r="B24" s="200">
        <v>5000</v>
      </c>
      <c r="C24" s="196" t="s">
        <v>585</v>
      </c>
      <c r="D24" s="196">
        <f>MATCH(C24,A17:A19,0)</f>
        <v>1</v>
      </c>
    </row>
    <row r="26" spans="1:5" x14ac:dyDescent="0.2">
      <c r="B26" s="198" t="s">
        <v>283</v>
      </c>
      <c r="C26" s="202">
        <f>(B22*E23)/B24</f>
        <v>1</v>
      </c>
    </row>
    <row r="27" spans="1:5" x14ac:dyDescent="0.2">
      <c r="C27" s="196" t="s">
        <v>148</v>
      </c>
    </row>
    <row r="28" spans="1:5" x14ac:dyDescent="0.2">
      <c r="C28" s="196" t="s">
        <v>149</v>
      </c>
    </row>
    <row r="31" spans="1:5" x14ac:dyDescent="0.2">
      <c r="A31" s="197" t="s">
        <v>622</v>
      </c>
    </row>
    <row r="33" spans="1:2" x14ac:dyDescent="0.2">
      <c r="B33" s="196" t="s">
        <v>611</v>
      </c>
    </row>
    <row r="37" spans="1:2" x14ac:dyDescent="0.2">
      <c r="A37" s="197" t="s">
        <v>219</v>
      </c>
    </row>
    <row r="38" spans="1:2" x14ac:dyDescent="0.2">
      <c r="A38" s="237" t="s">
        <v>599</v>
      </c>
    </row>
    <row r="39" spans="1:2" x14ac:dyDescent="0.2">
      <c r="A39" s="196" t="s">
        <v>605</v>
      </c>
    </row>
    <row r="40" spans="1:2" x14ac:dyDescent="0.2">
      <c r="A40" s="196" t="s">
        <v>629</v>
      </c>
    </row>
    <row r="42" spans="1:2" x14ac:dyDescent="0.2">
      <c r="A42" s="240" t="s">
        <v>630</v>
      </c>
    </row>
    <row r="43" spans="1:2" x14ac:dyDescent="0.2">
      <c r="A43" s="240" t="s">
        <v>631</v>
      </c>
    </row>
    <row r="44" spans="1:2" x14ac:dyDescent="0.2">
      <c r="A44" s="240" t="s">
        <v>604</v>
      </c>
    </row>
    <row r="45" spans="1:2" x14ac:dyDescent="0.2">
      <c r="A45" s="240" t="s">
        <v>597</v>
      </c>
    </row>
    <row r="47" spans="1:2" x14ac:dyDescent="0.2">
      <c r="A47" s="238" t="s">
        <v>598</v>
      </c>
    </row>
    <row r="48" spans="1:2" x14ac:dyDescent="0.2">
      <c r="A48" s="238" t="s">
        <v>600</v>
      </c>
    </row>
    <row r="49" spans="1:1" x14ac:dyDescent="0.2">
      <c r="A49" s="238" t="s">
        <v>601</v>
      </c>
    </row>
    <row r="50" spans="1:1" x14ac:dyDescent="0.2">
      <c r="A50" s="238" t="s">
        <v>597</v>
      </c>
    </row>
    <row r="52" spans="1:1" x14ac:dyDescent="0.2">
      <c r="A52" s="239" t="s">
        <v>606</v>
      </c>
    </row>
    <row r="53" spans="1:1" x14ac:dyDescent="0.2">
      <c r="A53" s="239" t="s">
        <v>600</v>
      </c>
    </row>
    <row r="54" spans="1:1" x14ac:dyDescent="0.2">
      <c r="A54" s="239" t="s">
        <v>601</v>
      </c>
    </row>
    <row r="55" spans="1:1" x14ac:dyDescent="0.2">
      <c r="A55" s="239" t="s">
        <v>597</v>
      </c>
    </row>
  </sheetData>
  <sheetProtection password="E218" sheet="1" objects="1" scenarios="1"/>
  <phoneticPr fontId="0" type="noConversion"/>
  <dataValidations count="3">
    <dataValidation type="list" allowBlank="1" showInputMessage="1" showErrorMessage="1" sqref="L13 I13" xr:uid="{3C7C4283-28E6-4707-AC19-A29ADE1CF19F}">
      <formula1>"Million Gallons (US),Megalitres (thousand cubic metres),Acre-feet"</formula1>
    </dataValidation>
    <dataValidation type="list" allowBlank="1" showInputMessage="1" showErrorMessage="1" sqref="C9 C22" xr:uid="{FF4BEB71-178D-42D1-A4C8-B4D20835E867}">
      <formula1>"$/1000 gallons (US),$/1000 litres,$/100 cubic feet (ccf)"</formula1>
    </dataValidation>
    <dataValidation type="list" allowBlank="1" showInputMessage="1" showErrorMessage="1" sqref="C7 C24" xr:uid="{F0442979-2B30-40A4-B5A6-D63610DBE97C}">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337ED422-494F-4456-99A6-D15CAA7173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3B9B50-4CCD-47B9-A6E4-3CD3EEFE7401}">
  <ds:schemaRefs>
    <ds:schemaRef ds:uri="http://schemas.microsoft.com/office/2006/metadata/longProperties"/>
  </ds:schemaRefs>
</ds:datastoreItem>
</file>

<file path=customXml/itemProps3.xml><?xml version="1.0" encoding="utf-8"?>
<ds:datastoreItem xmlns:ds="http://schemas.openxmlformats.org/officeDocument/2006/customXml" ds:itemID="{7A18F898-8B67-4DB3-83D4-8C3E5D174C34}">
  <ds:schemaRefs>
    <ds:schemaRef ds:uri="http://schemas.microsoft.com/sharepoint/v3/contenttype/forms"/>
  </ds:schemaRefs>
</ds:datastoreItem>
</file>

<file path=customXml/itemProps4.xml><?xml version="1.0" encoding="utf-8"?>
<ds:datastoreItem xmlns:ds="http://schemas.openxmlformats.org/officeDocument/2006/customXml" ds:itemID="{332CDC65-580F-4474-9702-0EA741362F1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 AWWA Water Loss Control Committee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2014-03-26T20:37:13Z</cp:lastPrinted>
  <dcterms:created xsi:type="dcterms:W3CDTF">2004-11-04T17:59:53Z</dcterms:created>
  <dcterms:modified xsi:type="dcterms:W3CDTF">2025-05-22T22:58:53Z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Heinicke, Karl [DRBC]</vt:lpwstr>
  </property>
  <property fmtid="{D5CDD505-2E9C-101B-9397-08002B2CF9AE}" pid="4" name="Order">
    <vt:lpwstr>5936600.00000000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Heinicke, Karl [DRBC]</vt:lpwstr>
  </property>
  <property fmtid="{D5CDD505-2E9C-101B-9397-08002B2CF9AE}" pid="8" name="ComplianceAssetId">
    <vt:lpwstr/>
  </property>
  <property fmtid="{D5CDD505-2E9C-101B-9397-08002B2CF9AE}" pid="9" name="TemplateUrl">
    <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