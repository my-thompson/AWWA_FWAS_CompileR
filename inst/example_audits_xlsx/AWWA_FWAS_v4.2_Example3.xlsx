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C:\Users\MichaelThompson\Documents\Compliance\WaterAudit\CompilerTesting\Downloads_v4.2\XLS_Files\"/>
    </mc:Choice>
  </mc:AlternateContent>
  <xr:revisionPtr revIDLastSave="0" documentId="8_{AD315EDF-884B-488D-8173-348D8C000E42}" xr6:coauthVersionLast="47" xr6:coauthVersionMax="47" xr10:uidLastSave="{00000000-0000-0000-0000-000000000000}"/>
  <workbookProtection workbookPassword="CFA3" lockStructure="1"/>
  <bookViews>
    <workbookView xWindow="-120" yWindow="-120" windowWidth="38640" windowHeight="21120" tabRatio="884" firstSheet="3" activeTab="4" xr2:uid="{3B1D0918-6A49-43E4-9993-14DF8B7FF260}"/>
  </bookViews>
  <sheets>
    <sheet name="Sheet4" sheetId="50" state="veryHidden" r:id="rId1"/>
    <sheet name="Sheet3" sheetId="49" state="veryHidden" r:id="rId2"/>
    <sheet name="Sheet2" sheetId="48" state="veryHidden" r:id="rId3"/>
    <sheet name="Instructions" sheetId="23" r:id="rId4"/>
    <sheet name="Reporting Worksheet" sheetId="22" r:id="rId5"/>
    <sheet name="Water Balance" sheetId="16" r:id="rId6"/>
    <sheet name="GradingAssessment" sheetId="30" state="veryHidden" r:id="rId7"/>
    <sheet name="Grading Matrix" sheetId="40" r:id="rId8"/>
    <sheet name="Service Connection Diagram" sheetId="42" r:id="rId9"/>
    <sheet name="Definitions" sheetId="2" r:id="rId10"/>
    <sheet name="Loss Control Planning" sheetId="32" r:id="rId11"/>
    <sheet name="Ex. Audit 1 (Million Gallons)" sheetId="46" r:id="rId12"/>
    <sheet name="Ex. Audit 2 (Megalitres)" sheetId="47" r:id="rId13"/>
    <sheet name="Acknowledgements" sheetId="43" r:id="rId14"/>
    <sheet name="Sheet1" sheetId="27" state="veryHidden" r:id="rId15"/>
  </sheets>
  <definedNames>
    <definedName name="_xlnm.Print_Area" localSheetId="9">Definitions!$B$1:$N$74</definedName>
    <definedName name="_xlnm.Print_Area" localSheetId="11">'Ex. Audit 1 (Million Gallons)'!$B$2:$N$120</definedName>
    <definedName name="_xlnm.Print_Area" localSheetId="12">'Ex. Audit 2 (Megalitres)'!$B$2:$N$120</definedName>
    <definedName name="_xlnm.Print_Area" localSheetId="7">'Grading Matrix'!$A$1:$P$51</definedName>
    <definedName name="_xlnm.Print_Area" localSheetId="4">'Reporting Worksheet'!$B$2:$N$120</definedName>
    <definedName name="_xlnm.Print_Area" localSheetId="8">'Service Connection Diagram'!$B$2:$F$24</definedName>
    <definedName name="_xlnm.Print_Titles" localSheetId="9">Definitions!$4:$4</definedName>
    <definedName name="_xlnm.Print_Titles" localSheetId="7">'Grading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 i="22" l="1"/>
  <c r="P78" i="22"/>
  <c r="I99" i="22"/>
  <c r="J103" i="22"/>
  <c r="G19" i="22"/>
  <c r="C45" i="22"/>
  <c r="G42" i="22"/>
  <c r="D13" i="30" s="1"/>
  <c r="F18" i="16"/>
  <c r="C4" i="30"/>
  <c r="L4" i="30"/>
  <c r="D8" i="30"/>
  <c r="K8" i="30"/>
  <c r="M8" i="30" s="1"/>
  <c r="D10" i="30"/>
  <c r="K10" i="30"/>
  <c r="M10" i="30" s="1"/>
  <c r="D9" i="30"/>
  <c r="K9" i="30" s="1"/>
  <c r="M9" i="30" s="1"/>
  <c r="F9" i="30"/>
  <c r="H9" i="30" s="1"/>
  <c r="D7" i="30"/>
  <c r="F7" i="30" s="1"/>
  <c r="D4" i="30"/>
  <c r="K4" i="30" s="1"/>
  <c r="M4" i="30" s="1"/>
  <c r="D6" i="30"/>
  <c r="F6" i="30"/>
  <c r="D5" i="30"/>
  <c r="F5" i="30" s="1"/>
  <c r="H5" i="30" s="1"/>
  <c r="C5" i="30"/>
  <c r="C7" i="30"/>
  <c r="L7" i="30"/>
  <c r="C8" i="30"/>
  <c r="L8" i="30"/>
  <c r="C9" i="30"/>
  <c r="G9" i="30" s="1"/>
  <c r="L9" i="30"/>
  <c r="C10" i="30"/>
  <c r="L10" i="30"/>
  <c r="C11" i="30"/>
  <c r="L11" i="30"/>
  <c r="M11" i="30" s="1"/>
  <c r="C12" i="30"/>
  <c r="L12" i="30" s="1"/>
  <c r="C13" i="30"/>
  <c r="L13" i="30"/>
  <c r="C14" i="30"/>
  <c r="C15" i="30"/>
  <c r="C16" i="30"/>
  <c r="L16" i="30"/>
  <c r="C17" i="30"/>
  <c r="L17" i="30"/>
  <c r="C18" i="30"/>
  <c r="L18" i="30"/>
  <c r="C19" i="30"/>
  <c r="L19" i="30"/>
  <c r="M19" i="30"/>
  <c r="C20" i="30"/>
  <c r="L20" i="30" s="1"/>
  <c r="M20" i="30" s="1"/>
  <c r="C21" i="30"/>
  <c r="L21" i="30"/>
  <c r="G64" i="22"/>
  <c r="C6" i="30"/>
  <c r="L6" i="30" s="1"/>
  <c r="Q39" i="40"/>
  <c r="Q40" i="40"/>
  <c r="Q48" i="40"/>
  <c r="Q49" i="40" s="1"/>
  <c r="Q46" i="40"/>
  <c r="Q47" i="40"/>
  <c r="Q44" i="40"/>
  <c r="Q45" i="40"/>
  <c r="Q41" i="40"/>
  <c r="Q42" i="40"/>
  <c r="Q36" i="40"/>
  <c r="Q37" i="40" s="1"/>
  <c r="Q34" i="40"/>
  <c r="Q35" i="40"/>
  <c r="Q31" i="40"/>
  <c r="Q32" i="40"/>
  <c r="Q29" i="40"/>
  <c r="Q30" i="40"/>
  <c r="Q27" i="40"/>
  <c r="Q24" i="40"/>
  <c r="Q25" i="40" s="1"/>
  <c r="Q22" i="40"/>
  <c r="Q23" i="40"/>
  <c r="Q20" i="40"/>
  <c r="Q21" i="40" s="1"/>
  <c r="Q18" i="40"/>
  <c r="Q19" i="40"/>
  <c r="Q15" i="40"/>
  <c r="Q16" i="40"/>
  <c r="Q13" i="40"/>
  <c r="Q14" i="40"/>
  <c r="Q11" i="40"/>
  <c r="Q12" i="40"/>
  <c r="Q9" i="40"/>
  <c r="Q10" i="40" s="1"/>
  <c r="K15" i="22"/>
  <c r="L44" i="22"/>
  <c r="L75" i="22"/>
  <c r="E4" i="42"/>
  <c r="C40" i="22"/>
  <c r="C28" i="22"/>
  <c r="Q28" i="40"/>
  <c r="K6" i="30"/>
  <c r="P69" i="22"/>
  <c r="C69" i="22"/>
  <c r="K11" i="30"/>
  <c r="K12" i="30"/>
  <c r="K14" i="30"/>
  <c r="M14" i="30" s="1"/>
  <c r="K15" i="30"/>
  <c r="K16" i="30"/>
  <c r="M16" i="30"/>
  <c r="K17" i="30"/>
  <c r="M17" i="30" s="1"/>
  <c r="K18" i="30"/>
  <c r="M18" i="30" s="1"/>
  <c r="K19" i="30"/>
  <c r="K20" i="30"/>
  <c r="K21" i="30"/>
  <c r="M21" i="30" s="1"/>
  <c r="G5" i="22"/>
  <c r="L25" i="30"/>
  <c r="I67" i="22"/>
  <c r="G97" i="22"/>
  <c r="G9" i="22"/>
  <c r="G58" i="2"/>
  <c r="K13" i="27"/>
  <c r="I57" i="2"/>
  <c r="N4" i="27"/>
  <c r="O2" i="27"/>
  <c r="N3" i="27"/>
  <c r="I14" i="22"/>
  <c r="J91" i="22"/>
  <c r="J93" i="22"/>
  <c r="J97" i="22"/>
  <c r="I65" i="22"/>
  <c r="I64" i="22"/>
  <c r="I62" i="22"/>
  <c r="I58" i="22"/>
  <c r="I54" i="22"/>
  <c r="I52" i="22"/>
  <c r="I43" i="22"/>
  <c r="I42" i="22"/>
  <c r="I38" i="22"/>
  <c r="I35" i="22"/>
  <c r="I30" i="22"/>
  <c r="I26" i="22"/>
  <c r="I25" i="22"/>
  <c r="I24" i="22"/>
  <c r="I23" i="22"/>
  <c r="I19" i="22"/>
  <c r="I17" i="22"/>
  <c r="I16" i="22"/>
  <c r="F5" i="27"/>
  <c r="D2" i="27" s="1"/>
  <c r="D4" i="27"/>
  <c r="B4" i="27"/>
  <c r="C3" i="27"/>
  <c r="B3" i="27"/>
  <c r="C4" i="27"/>
  <c r="B2" i="27"/>
  <c r="D19" i="27"/>
  <c r="D4" i="22"/>
  <c r="D5" i="22"/>
  <c r="E23" i="27"/>
  <c r="C26" i="27"/>
  <c r="B17" i="27"/>
  <c r="D22" i="27"/>
  <c r="D24" i="27"/>
  <c r="C19" i="27"/>
  <c r="B19" i="27"/>
  <c r="C18" i="27"/>
  <c r="B18" i="27"/>
  <c r="D17" i="27"/>
  <c r="D7" i="27"/>
  <c r="E8" i="27"/>
  <c r="C11" i="27" s="1"/>
  <c r="D9" i="27"/>
  <c r="B13" i="16"/>
  <c r="C6" i="16"/>
  <c r="B23" i="16"/>
  <c r="G3" i="16"/>
  <c r="F3" i="16"/>
  <c r="E4" i="16"/>
  <c r="E9" i="16"/>
  <c r="F20" i="16"/>
  <c r="F12" i="16"/>
  <c r="F10" i="16"/>
  <c r="F8" i="16"/>
  <c r="G9" i="16"/>
  <c r="Q38" i="40"/>
  <c r="K5" i="30"/>
  <c r="L14" i="30"/>
  <c r="C101" i="22"/>
  <c r="J99" i="22"/>
  <c r="G26" i="22"/>
  <c r="G38" i="22"/>
  <c r="G47" i="22"/>
  <c r="I86" i="22" s="1"/>
  <c r="C17" i="16"/>
  <c r="J16" i="22"/>
  <c r="G6" i="30"/>
  <c r="H6" i="30"/>
  <c r="C78" i="22"/>
  <c r="F16" i="16"/>
  <c r="E17" i="16"/>
  <c r="G30" i="22"/>
  <c r="D11" i="16" s="1"/>
  <c r="F14" i="16"/>
  <c r="M6" i="30" l="1"/>
  <c r="K13" i="30"/>
  <c r="M13" i="30" s="1"/>
  <c r="D22" i="30"/>
  <c r="D23" i="30" s="1"/>
  <c r="E13" i="30"/>
  <c r="F13" i="30" s="1"/>
  <c r="H7" i="30"/>
  <c r="G7" i="30"/>
  <c r="M12" i="30"/>
  <c r="E10" i="30"/>
  <c r="F10" i="30" s="1"/>
  <c r="G5" i="30"/>
  <c r="C32" i="22"/>
  <c r="E13" i="16"/>
  <c r="K7" i="30"/>
  <c r="M7" i="30" s="1"/>
  <c r="L15" i="30"/>
  <c r="M15" i="30" s="1"/>
  <c r="L5" i="30"/>
  <c r="M5" i="30" s="1"/>
  <c r="M22" i="30" s="1"/>
  <c r="G52" i="22"/>
  <c r="G35" i="22"/>
  <c r="C49" i="22" s="1"/>
  <c r="G54" i="22"/>
  <c r="D21" i="16" s="1"/>
  <c r="I91" i="22"/>
  <c r="G15" i="16"/>
  <c r="P110" i="22" l="1"/>
  <c r="C112" i="22"/>
  <c r="G10" i="30"/>
  <c r="H10" i="30" s="1"/>
  <c r="G13" i="30"/>
  <c r="H13" i="30" s="1"/>
  <c r="E23" i="16"/>
  <c r="I93" i="22"/>
  <c r="I103" i="22"/>
  <c r="I105" i="22" s="1"/>
  <c r="I87" i="22"/>
  <c r="E12" i="30"/>
  <c r="F12" i="30" s="1"/>
  <c r="E6" i="30"/>
  <c r="E5" i="30"/>
  <c r="E15" i="30"/>
  <c r="F15" i="30" s="1"/>
  <c r="E11" i="30"/>
  <c r="F11" i="30" s="1"/>
  <c r="E18" i="30"/>
  <c r="F18" i="30" s="1"/>
  <c r="E21" i="30"/>
  <c r="F21" i="30" s="1"/>
  <c r="E19" i="30"/>
  <c r="F19" i="30" s="1"/>
  <c r="E20" i="30"/>
  <c r="F20" i="30" s="1"/>
  <c r="E17" i="30"/>
  <c r="F17" i="30" s="1"/>
  <c r="E14" i="30"/>
  <c r="F14" i="30" s="1"/>
  <c r="E16" i="30"/>
  <c r="F16" i="30" s="1"/>
  <c r="E9" i="30"/>
  <c r="G58" i="22"/>
  <c r="E7" i="30"/>
  <c r="I85" i="22"/>
  <c r="E8" i="30"/>
  <c r="F8" i="30" s="1"/>
  <c r="E4" i="30"/>
  <c r="I84" i="22"/>
  <c r="G20" i="30" l="1"/>
  <c r="H20" i="30" s="1"/>
  <c r="G19" i="30"/>
  <c r="H19" i="30" s="1"/>
  <c r="G12" i="30"/>
  <c r="H12" i="30" s="1"/>
  <c r="S25" i="32"/>
  <c r="S21" i="32"/>
  <c r="S24" i="32"/>
  <c r="S22" i="32"/>
  <c r="S23" i="32"/>
  <c r="G21" i="30"/>
  <c r="H21" i="30" s="1"/>
  <c r="G18" i="30"/>
  <c r="H18" i="30"/>
  <c r="G11" i="30"/>
  <c r="H11" i="30" s="1"/>
  <c r="G15" i="30"/>
  <c r="H15" i="30" s="1"/>
  <c r="E22" i="30"/>
  <c r="F4" i="30"/>
  <c r="I97" i="22"/>
  <c r="I95" i="22"/>
  <c r="J95" i="22" s="1"/>
  <c r="G8" i="30"/>
  <c r="H8" i="30" s="1"/>
  <c r="G16" i="30"/>
  <c r="H16" i="30" s="1"/>
  <c r="G14" i="30"/>
  <c r="H14" i="30"/>
  <c r="G17" i="30"/>
  <c r="H17" i="30" s="1"/>
  <c r="F22" i="30" l="1"/>
  <c r="G4" i="30"/>
  <c r="G22" i="30" s="1"/>
  <c r="H16" i="32" l="1"/>
  <c r="Q16" i="32"/>
  <c r="E16" i="32"/>
  <c r="N16" i="32"/>
  <c r="K16" i="32"/>
  <c r="C110" i="22"/>
  <c r="H4" i="30"/>
  <c r="I4" i="30" l="1" a="1"/>
  <c r="I4" i="30" s="1"/>
  <c r="I5" i="30" a="1"/>
  <c r="I5" i="30" s="1"/>
  <c r="I6" i="30" a="1"/>
  <c r="I6" i="30" s="1"/>
  <c r="I9" i="30" a="1"/>
  <c r="I9" i="30" s="1"/>
  <c r="I7" i="30" a="1"/>
  <c r="I7" i="30" s="1"/>
  <c r="I13" i="30" a="1"/>
  <c r="I13" i="30" s="1"/>
  <c r="I10" i="30" a="1"/>
  <c r="I10" i="30" s="1"/>
  <c r="I16" i="30" a="1"/>
  <c r="I16" i="30" s="1"/>
  <c r="I17" i="30" a="1"/>
  <c r="I17" i="30" s="1"/>
  <c r="I8" i="30" a="1"/>
  <c r="I8" i="30" s="1"/>
  <c r="I14" i="30" a="1"/>
  <c r="I14" i="30" s="1"/>
  <c r="I15" i="30" a="1"/>
  <c r="I15" i="30" s="1"/>
  <c r="I18" i="30" a="1"/>
  <c r="I18" i="30" s="1"/>
  <c r="I11" i="30" a="1"/>
  <c r="I11" i="30" s="1"/>
  <c r="I19" i="30" a="1"/>
  <c r="I19" i="30" s="1"/>
  <c r="I21" i="30" a="1"/>
  <c r="I21" i="30" s="1"/>
  <c r="I20" i="30" a="1"/>
  <c r="I20" i="30" s="1"/>
  <c r="I12" i="30" a="1"/>
  <c r="I12" i="30" s="1"/>
  <c r="R3" i="40" l="1"/>
  <c r="C117" i="22"/>
  <c r="R5" i="40"/>
  <c r="C115" i="22"/>
  <c r="R4" i="40"/>
  <c r="C119" i="22"/>
  <c r="R39" i="40" l="1"/>
  <c r="R18" i="40"/>
  <c r="R27" i="40"/>
  <c r="R22" i="40"/>
  <c r="R11" i="40"/>
  <c r="R13" i="40"/>
  <c r="R36" i="40"/>
  <c r="R29" i="40"/>
  <c r="R24" i="40"/>
  <c r="R46" i="40"/>
  <c r="R9" i="40"/>
  <c r="R44" i="40"/>
  <c r="R34" i="40"/>
  <c r="R41" i="40"/>
  <c r="R31" i="40"/>
  <c r="R20" i="40"/>
  <c r="R15" i="40"/>
  <c r="R38" i="40"/>
  <c r="R48"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CC0075F7-2EF7-46EA-8C76-9EC2BC5BEC19}">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DC870EFB-1B5D-49F1-9602-953A6921B601}">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D3BC02B5-9CC4-4AA2-87F1-749482359AD4}">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991AE578-64CA-4D69-9388-D046F156441F}">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EB580DCE-5A6B-4B0E-80F9-523BC2AC3505}">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519ABEAB-A0D3-4D08-8109-4CAC92CB9668}">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45B5AEF7-1D70-4426-8601-681EF1DE633F}">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BC5F4F7A-D184-4950-AACB-9AABA7FBB5EC}">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72091EB7-4CBE-44BC-92D7-216148C20FAD}">
      <text>
        <r>
          <rPr>
            <b/>
            <sz val="8"/>
            <color indexed="81"/>
            <rFont val="Tahoma"/>
            <family val="2"/>
          </rPr>
          <t>Selecting the default percentage option will automatically assign a grading of 5 for this audit component</t>
        </r>
      </text>
    </comment>
    <comment ref="E38" authorId="0" shapeId="0" xr:uid="{B303DAFD-E5AB-49E2-9058-BEE54A2512CE}">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D37E062A-B969-403B-913A-A9E076FD7C3D}">
      <text>
        <r>
          <rPr>
            <b/>
            <sz val="8"/>
            <color indexed="81"/>
            <rFont val="Tahoma"/>
            <family val="2"/>
          </rPr>
          <t>Selecting the default percentage option will automatically assign a grading of 5 for this audit component</t>
        </r>
      </text>
    </comment>
    <comment ref="E42" authorId="0" shapeId="0" xr:uid="{C3F7D07A-3C77-4081-A4A0-FCFDCADAB8F5}">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1D59411B-DC5C-44F0-80F7-88C20127BB7B}">
      <text>
        <r>
          <rPr>
            <b/>
            <sz val="8"/>
            <color indexed="81"/>
            <rFont val="Tahoma"/>
            <family val="2"/>
          </rPr>
          <t>Enter a value &lt; 10%</t>
        </r>
      </text>
    </comment>
    <comment ref="E43" authorId="0" shapeId="0" xr:uid="{5049F4F2-DEBE-4C31-996F-141933FFAC3C}">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E08ECB24-8A1A-4D77-9E7F-7E14CD28B006}">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61E3ED11-F377-4D31-B515-C9A38E7C6593}">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CE564812-1382-46F8-8817-9684DD400562}">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03394856-4F9C-4DAB-943C-B415BC1E46A1}">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1089C844-955E-4442-AB9A-E0048DCBC758}">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5445ACA1-EC9D-4838-BDEA-676EFB1F7D67}">
      <text>
        <r>
          <rPr>
            <b/>
            <sz val="8"/>
            <color indexed="81"/>
            <rFont val="Tahoma"/>
            <family val="2"/>
          </rPr>
          <t xml:space="preserve">Note: </t>
        </r>
        <r>
          <rPr>
            <sz val="8"/>
            <color indexed="81"/>
            <rFont val="Tahoma"/>
            <family val="2"/>
          </rPr>
          <t>the weighted average cost should also include additional charges for sewer, stormwater or biosolids processing, if these charges are based upon the volume of potable water consumed.</t>
        </r>
        <r>
          <rPr>
            <b/>
            <sz val="8"/>
            <color indexed="10"/>
            <rFont val="Tahoma"/>
            <family val="2"/>
          </rPr>
          <t xml:space="preserve">
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7A4BC84C-EAD9-4060-8BEA-9FF0A371AF82}">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5" authorId="0" shapeId="0" xr:uid="{9B46E499-BF88-4953-A850-7A5DE868284C}">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7" authorId="0" shapeId="0" xr:uid="{86FF598B-2A45-4B2A-95AB-7A9C4D7D99D9}">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7" authorId="0" shapeId="0" xr:uid="{09C131C9-6FF0-4C62-B1BA-5FDDCD8249A5}">
      <text>
        <r>
          <rPr>
            <b/>
            <sz val="8"/>
            <color indexed="81"/>
            <rFont val="Tahoma"/>
            <family val="2"/>
          </rPr>
          <t>All consumption that is billed and authorized by the utility. This may include both metered and unmetered consumption.</t>
        </r>
      </text>
    </comment>
    <comment ref="F7" authorId="0" shapeId="0" xr:uid="{FDD3BA67-0147-47AE-9B2D-75BCA7A4194C}">
      <text>
        <r>
          <rPr>
            <b/>
            <sz val="8"/>
            <color indexed="81"/>
            <rFont val="Tahoma"/>
            <family val="2"/>
          </rPr>
          <t>All metered consumption which is billed. This includes all groups of customers such as domestic, commercial, industrial or institutional and also includes water transferred across operational boundaries (water exported) which is metered and billed.</t>
        </r>
      </text>
    </comment>
    <comment ref="G7" authorId="0" shapeId="0" xr:uid="{3E64AB83-E44C-4C0C-BDEE-AD281E219BC5}">
      <text>
        <r>
          <rPr>
            <b/>
            <sz val="8"/>
            <color indexed="81"/>
            <rFont val="Tahoma"/>
            <family val="2"/>
          </rPr>
          <t>Water which provides revenue to the utility.</t>
        </r>
      </text>
    </comment>
    <comment ref="F9" authorId="0" shapeId="0" xr:uid="{5DD1246A-71B8-4DFA-9717-BC7411621734}">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1" authorId="0" shapeId="0" xr:uid="{7DA5577F-9459-446F-950A-0CAEF52F59A5}">
      <text>
        <r>
          <rPr>
            <b/>
            <sz val="8"/>
            <color indexed="81"/>
            <rFont val="Tahoma"/>
            <family val="2"/>
          </rPr>
          <t xml:space="preserve">All consumption that is unbilled, but is still authorized by the utility. </t>
        </r>
      </text>
    </comment>
    <comment ref="F11" authorId="0" shapeId="0" xr:uid="{01C6EB29-EF05-4980-8678-646C0174A397}">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1" authorId="0" shapeId="0" xr:uid="{A8FAFA9B-44FB-4CDB-B362-BD97BF05575A}">
      <text>
        <r>
          <rPr>
            <b/>
            <sz val="8"/>
            <color indexed="81"/>
            <rFont val="Tahoma"/>
            <family val="2"/>
          </rPr>
          <t>Water which does not provide any revenue to the utility.</t>
        </r>
      </text>
    </comment>
    <comment ref="F13" authorId="0" shapeId="0" xr:uid="{9E0F3F12-175F-4A24-8097-3E1E0D2768CE}">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5" authorId="0" shapeId="0" xr:uid="{AEE30FEF-F845-4A20-AA52-6764FCA18CC2}">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5" authorId="0" shapeId="0" xr:uid="{26169754-CCC1-4C07-BBF4-D2912D6DEE06}">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5" authorId="0" shapeId="0" xr:uid="{2921C571-29FF-480C-9E46-260E5520C704}">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17" authorId="0" shapeId="0" xr:uid="{44D99266-BBFC-48BA-B669-A9E678FB5C2E}">
      <text>
        <r>
          <rPr>
            <b/>
            <sz val="8"/>
            <color indexed="81"/>
            <rFont val="Tahoma"/>
            <family val="2"/>
          </rPr>
          <t>Apparent water losses caused by customer meter inaccuracies.</t>
        </r>
      </text>
    </comment>
    <comment ref="F19" authorId="0" shapeId="0" xr:uid="{36AA87ED-E8DC-4A57-BEFC-B5C90054AAA5}">
      <text>
        <r>
          <rPr>
            <b/>
            <sz val="8"/>
            <color indexed="81"/>
            <rFont val="Tahoma"/>
            <family val="2"/>
          </rPr>
          <t>Apparent water losses caused by data handling errors in the meter reading and billing system.</t>
        </r>
      </text>
    </comment>
    <comment ref="E21" authorId="0" shapeId="0" xr:uid="{18368C10-82DD-4C88-9D60-7A2D4747508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1" authorId="0" shapeId="0" xr:uid="{3479E73C-BD81-4435-A429-358D5120F291}">
      <text>
        <r>
          <rPr>
            <b/>
            <sz val="8"/>
            <color indexed="81"/>
            <rFont val="Tahoma"/>
            <family val="2"/>
          </rPr>
          <t>Physical water losses from a pressurized system up to the point of customer use. This is the annual volume lost through all types of leaks and bursts.</t>
        </r>
      </text>
    </comment>
    <comment ref="F23" authorId="0" shapeId="0" xr:uid="{87A3FABE-2D0D-4EEE-AAAF-FA951A4677C3}">
      <text>
        <r>
          <rPr>
            <b/>
            <sz val="8"/>
            <color indexed="81"/>
            <rFont val="Tahoma"/>
            <family val="2"/>
          </rPr>
          <t>Physical water losses from the utility's storage tanks.</t>
        </r>
      </text>
    </comment>
    <comment ref="F25" authorId="0" shapeId="0" xr:uid="{13D5FFF7-4B4B-4D2E-A161-23243F4482BC}">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7125232D-DB7D-44FE-AFA6-E00D1933C209}">
      <text>
        <r>
          <rPr>
            <b/>
            <sz val="8"/>
            <color indexed="81"/>
            <rFont val="Tahoma"/>
            <family val="2"/>
          </rPr>
          <t xml:space="preserve">Grade captured from Reporting Worksheet
</t>
        </r>
        <r>
          <rPr>
            <sz val="8"/>
            <color indexed="81"/>
            <rFont val="Tahoma"/>
            <family val="2"/>
          </rPr>
          <t>If default is used, grading value is set to 3</t>
        </r>
      </text>
    </comment>
    <comment ref="D3" authorId="0" shapeId="0" xr:uid="{DA6259AB-4950-41F0-BEDB-CCF8B13725C8}">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AB399101-CD61-4AEE-9260-759CB7FBA166}">
      <text>
        <r>
          <rPr>
            <b/>
            <sz val="8"/>
            <color indexed="81"/>
            <rFont val="Tahoma"/>
            <family val="2"/>
          </rPr>
          <t>New weighting is calculated for each item - "rebasing" to 100</t>
        </r>
      </text>
    </comment>
    <comment ref="F3" authorId="0" shapeId="0" xr:uid="{FD6EAE9B-793C-42D0-B71E-86AF2DC28FE0}">
      <text>
        <r>
          <rPr>
            <b/>
            <sz val="8"/>
            <color indexed="81"/>
            <rFont val="Tahoma"/>
            <family val="2"/>
          </rPr>
          <t>Creates "multiplier" for what each point (1-10) is worth</t>
        </r>
      </text>
    </comment>
    <comment ref="G3" authorId="0" shapeId="0" xr:uid="{23E07823-9F22-42CB-992D-EF586B5B10CF}">
      <text>
        <r>
          <rPr>
            <b/>
            <sz val="8"/>
            <color indexed="81"/>
            <rFont val="Tahoma"/>
            <family val="2"/>
          </rPr>
          <t xml:space="preserve">Calculates score (col C x col F) a perfect score will always = 100. </t>
        </r>
      </text>
    </comment>
    <comment ref="H3" authorId="0" shapeId="0" xr:uid="{7E52D7E2-2EBC-4E4E-8A52-AEC91A958D04}">
      <text>
        <r>
          <rPr>
            <b/>
            <sz val="8"/>
            <color indexed="81"/>
            <rFont val="Tahoma"/>
            <family val="2"/>
          </rPr>
          <t>Calcualates where most points were lost</t>
        </r>
      </text>
    </comment>
    <comment ref="I3" authorId="0" shapeId="0" xr:uid="{231204DE-1F69-43E9-B0F8-9B037C0D1924}">
      <text>
        <r>
          <rPr>
            <b/>
            <sz val="8"/>
            <color indexed="81"/>
            <rFont val="Tahoma"/>
            <family val="2"/>
          </rPr>
          <t>Unique ranking formula</t>
        </r>
        <r>
          <rPr>
            <sz val="8"/>
            <color indexed="81"/>
            <rFont val="Tahoma"/>
            <family val="2"/>
          </rPr>
          <t>; avoids limitation with Excel RANK() function of duplicate ranks</t>
        </r>
      </text>
    </comment>
    <comment ref="M3" authorId="0" shapeId="0" xr:uid="{4C1157A7-A66B-433F-B94B-153250D1D9BB}">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1B18746A-A791-4463-814F-63A6C3446F7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AD90CB44-FE24-4368-859B-B14DC7E2BEA8}">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7B209F18-241D-4AAC-B9C3-5E7AFF5A502A}">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233787FF-6CD5-4FA6-AF1E-EB523F3D5053}">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6EF9803D-8D66-48B6-9ADF-569FA5E67392}">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CFDA3D7B-5466-4E20-88FD-AFFEF08391FA}">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91FABBEC-C108-4B13-AFDE-14B6778C1AD2}">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1B4BED9B-3BD5-48E5-8329-E710B7859F81}">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3CFB9A68-BD53-4067-81B7-4DCE776AB5A2}">
      <text>
        <r>
          <rPr>
            <b/>
            <sz val="8"/>
            <color indexed="81"/>
            <rFont val="Tahoma"/>
            <family val="2"/>
          </rPr>
          <t>Selecting the default percentage option will automatically assign a grading of 5 for this audit component</t>
        </r>
      </text>
    </comment>
    <comment ref="E38" authorId="0" shapeId="0" xr:uid="{4107C81A-888E-4362-A06E-470672ED970D}">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AC86FDD4-050F-46D7-838C-C0A49DE4ED9E}">
      <text>
        <r>
          <rPr>
            <b/>
            <sz val="8"/>
            <color indexed="81"/>
            <rFont val="Tahoma"/>
            <family val="2"/>
          </rPr>
          <t>Selecting the default percentage option will automatically assign a grading of 5 for this audit component</t>
        </r>
      </text>
    </comment>
    <comment ref="E42" authorId="0" shapeId="0" xr:uid="{3F627C48-9680-4AF1-8514-63E917935884}">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9EEC47DA-6EA0-4213-BA11-995104149BD9}">
      <text>
        <r>
          <rPr>
            <b/>
            <sz val="8"/>
            <color indexed="81"/>
            <rFont val="Tahoma"/>
            <family val="2"/>
          </rPr>
          <t>Enter a value &lt; 10%</t>
        </r>
      </text>
    </comment>
    <comment ref="E43" authorId="0" shapeId="0" xr:uid="{AC2E913A-03B4-4755-9B97-B06998E8C92E}">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E9FE94FD-AF1F-41A0-9F7F-1980E7183E7E}">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F7CFBD90-7454-451E-A0B6-2D3D56E6F323}">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44A005A7-589E-4F0F-85B2-DAAD5BA1345E}">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3675469A-F3BE-4AD4-8502-1052FA993342}">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02021A45-940D-459A-A488-88E6CFF1FD0F}">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C96A7BBC-1909-4B64-8248-75D2049CE6CD}">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41673452-D7C8-42B0-83BA-E6A6876D45C7}">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AF861572-ACC5-4BBC-ABFC-F28735B6DA32}">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46C6A56A-4F00-4B10-AD7E-F3AA8916B386}">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6E91B686-3170-422E-B7E4-84D39D38FA67}">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9A1DD9F3-E656-4C64-AC9E-82DF1FD72253}">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5F18055B-F741-4EB0-AB97-9E03A1C2FB05}">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62E1DF20-E3DC-4EA7-97C4-C4889BC6957C}">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58712EF4-763D-43DB-AA91-477D8FC8A33F}">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23A0163F-82EC-4658-BFE3-463B37D82A01}">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0CA84E8D-11CF-4987-837C-AE5BC1DCAED4}">
      <text>
        <r>
          <rPr>
            <b/>
            <sz val="8"/>
            <color indexed="81"/>
            <rFont val="Tahoma"/>
            <family val="2"/>
          </rPr>
          <t>Selecting the default percentage option will automatically assign a grading of 5 for this audit component</t>
        </r>
      </text>
    </comment>
    <comment ref="E38" authorId="0" shapeId="0" xr:uid="{A38BA235-0CCB-46C5-94D0-1CE66D9D769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2994A752-1EBB-4703-B863-C1CE3684270D}">
      <text>
        <r>
          <rPr>
            <b/>
            <sz val="8"/>
            <color indexed="81"/>
            <rFont val="Tahoma"/>
            <family val="2"/>
          </rPr>
          <t>Selecting the default percentage option will automatically assign a grading of 5 for this audit component</t>
        </r>
      </text>
    </comment>
    <comment ref="E42" authorId="0" shapeId="0" xr:uid="{2AB6ABD2-321D-4979-84A5-679837A2B713}">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33CCFBA6-50D0-4E05-BDD2-FAF7F2CD8E05}">
      <text>
        <r>
          <rPr>
            <b/>
            <sz val="8"/>
            <color indexed="81"/>
            <rFont val="Tahoma"/>
            <family val="2"/>
          </rPr>
          <t>Enter a value &lt; 10%</t>
        </r>
      </text>
    </comment>
    <comment ref="E43" authorId="0" shapeId="0" xr:uid="{57A91F39-31A8-4586-A283-BF5F8426E65B}">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F4411CB0-8D1D-4FA5-AA16-52B0E0BEE8E4}">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561A8A07-7AFC-4D12-8E75-C59384A1446E}">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793276A8-E13A-4546-8657-1E8F0480D5E1}">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ADFE8837-C8C2-4B91-A6FF-EDB0B55DAD27}">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39144CBD-BA74-43B7-8885-E6551B31693C}">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13DA246A-2D79-4214-BDC0-4DC268031482}">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1EB852B2-DE30-4365-A093-A5699903FCD6}">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<sst xmlns="http://schemas.openxmlformats.org/spreadsheetml/2006/main" count="966" uniqueCount="631">
  <si>
    <t>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t>
  </si>
  <si>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</si>
  <si>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t>100% of exported water sources are metered, meter accuracy testing and/or electronic calibration conducted annually, less than 10% of meters are found outside of +/- 6% accuracy</t>
  </si>
  <si>
    <t xml:space="preserve">At least 75% of exported water sources are metered, meter accuracy testing and/or electronic calibration conducted annually.  Less than 25% of tested meters are found outside of +/- 6% accuracy.  </t>
  </si>
  <si>
    <t>Comments:</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</si>
  <si>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</si>
  <si>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</si>
  <si>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</si>
  <si>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</si>
  <si>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</si>
  <si>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</si>
  <si>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</si>
  <si>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</si>
  <si>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</si>
  <si>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Lehighton Water Authority</t>
  </si>
  <si>
    <t>United Stetes</t>
  </si>
  <si>
    <t>waterlwa@ptd.net</t>
  </si>
  <si>
    <r>
      <t>to qualify for 2</t>
    </r>
    <r>
      <rPr>
        <sz val="8"/>
        <rFont val="Arial"/>
        <family val="2"/>
      </rPr>
      <t>:
Gather available meter purchase records.  Conduct testing on a small number of meters believed to be the most inaccurate.  Review staffing needs of metering group and budget for necessary resources to better organize meter management.</t>
    </r>
  </si>
  <si>
    <t>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</si>
  <si>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In the Reporting Worksheet, grades were assigned to each component of the audit to describe the confidence and accuracy of the input data. The grading assigned to each audit component and the corresponding recommended improvements and actions are highlighted in yellow. Audit accuracy is likely to be improved by prioritizing those items shown in red</t>
  </si>
  <si>
    <t>The current sheet</t>
  </si>
  <si>
    <t>Enter the required data on this worksheet to calculate the water balance</t>
  </si>
  <si>
    <t>The values entered in the Reporting Worksheet are used to populate the water balance</t>
  </si>
  <si>
    <t>Use this sheet to understand terms used in the audit process</t>
  </si>
  <si>
    <t xml:space="preserve">Value calculated based on input data </t>
  </si>
  <si>
    <t>COUNTRY:</t>
  </si>
  <si>
    <t>Water Audit Report for:</t>
  </si>
  <si>
    <t>Reporting Year:</t>
  </si>
  <si>
    <t>REPORTING YEAR:</t>
  </si>
  <si>
    <t>SYSTEM DATA</t>
  </si>
  <si>
    <t>Connection density:</t>
  </si>
  <si>
    <t>Water Audit Report For:</t>
  </si>
  <si>
    <t>Report Yr:</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</si>
  <si>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</si>
  <si>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</si>
  <si>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</si>
  <si>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 xml:space="preserve">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</si>
  <si>
    <r>
      <t>PURPOSE:</t>
    </r>
    <r>
      <rPr>
        <sz val="10"/>
        <rFont val="Courier New"/>
        <family val="3"/>
      </rPr>
      <t xml:space="preserve"> 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r>
  </si>
  <si>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</si>
  <si>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</si>
  <si>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</si>
  <si>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</si>
  <si>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</si>
  <si>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</si>
  <si>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 xml:space="preserve">Apparent water losses caused by the collective under-registration of customer water meters. Many customer water meters will wear as large cumulative volumes of water are passed through them over time.  This causes the meters to under-register.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Alternatively, if the auditor has substantial data from meter testing to arrive at their own volumes of such losses, this volume may be entered directly. Note that a value of zero will be accepted but an alert will appear asking if the customer population is unmetered.  Since all metered systems have some degree of inaccuracy, then a positive value should be entered.  A value of zero in this component is valid only if the water utility does not meter its customer population.    </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</si>
  <si>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</si>
  <si>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</si>
  <si>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</si>
  <si>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 xml:space="preserve">Electronic, industry-standard cost accounting system in place.  Gaps in data known to exist, periodic internal reviews conducted but not a structured audit. </t>
  </si>
  <si>
    <r>
      <t>to qualify for 2</t>
    </r>
    <r>
      <rPr>
        <sz val="8"/>
        <rFont val="Arial"/>
        <family val="2"/>
      </rPr>
      <t>:
Gather available records, institute new procedures to regularly collect and audit basic cost data of most important operations functions.</t>
    </r>
  </si>
  <si>
    <r>
      <t>to qualify for 6</t>
    </r>
    <r>
      <rPr>
        <sz val="8"/>
        <rFont val="Arial"/>
        <family val="2"/>
      </rPr>
      <t>:
Establish process for periodic internal audit of water system operating costs; identify cost data gaps and institute procedures for tracking these outstanding costs.</t>
    </r>
  </si>
  <si>
    <t>Improvements to attain higher data grading for "Variable Production Cost" component:</t>
  </si>
  <si>
    <r>
      <t>to qualify for 8</t>
    </r>
    <r>
      <rPr>
        <sz val="8"/>
        <rFont val="Arial"/>
        <family val="2"/>
      </rPr>
      <t>:
Formalize the accounting process to include primary cost components (power, treatment) as well as secondary components (liability, residuals management, etc.) Conduct periodic third-party audits.</t>
    </r>
  </si>
  <si>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</si>
  <si>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</si>
  <si>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</si>
  <si>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</si>
  <si>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</si>
  <si>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</si>
  <si>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</si>
  <si>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r>
      <t>to qualify for 6</t>
    </r>
    <r>
      <rPr>
        <sz val="8"/>
        <rFont val="Arial"/>
        <family val="2"/>
      </rPr>
      <t>:
Refine permitting and billing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</si>
  <si>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</si>
  <si>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</si>
  <si>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Apparent Losses + Real Losses + Unbilled Metered + Unbilled Unmetered
Water which does not provide any revenue to the utility</t>
  </si>
  <si>
    <t>* only the most applicable of these two indicators will be calculated</t>
  </si>
  <si>
    <t xml:space="preserve">The average pressure may be approximated when compiling the preliminary water audit.  Once routine water auditing has been established, a more accurate assessment of average pressure should be pursued.  If the water utility infrastructure is recorded in a Geographical Information System (GIS) the average pressure at many locations in the distribution system can be readily obtained.  If a GIS does not exist, a weighted average of pressure data can be calculated from water pressure measured at various fire hydrants scattered across the water distribution system. </t>
  </si>
  <si>
    <r>
      <t xml:space="preserve">Number of </t>
    </r>
    <r>
      <rPr>
        <u/>
        <sz val="10"/>
        <rFont val="Courier New"/>
        <family val="3"/>
      </rPr>
      <t>active AND inactive</t>
    </r>
    <r>
      <rPr>
        <sz val="10"/>
        <rFont val="Courier New"/>
        <family val="3"/>
      </rPr>
      <t xml:space="preserve"> service connections:</t>
    </r>
  </si>
  <si>
    <t>Bulk water purchased to become part of the water supplied. Typically this is water purchased from a neighboring water utility or regional water authority. Be sure to account for any import meter inaccuracy in reporting this volume</t>
  </si>
  <si>
    <t>Bulk water sold and conveyed out of the water distribution system. Typically this is water sold to a neighboring water utility. Be sure to account for any export meter inaccuracy in reporting this volume</t>
  </si>
  <si>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</si>
  <si>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</si>
  <si>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</si>
  <si>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</si>
  <si>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</si>
  <si>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</si>
  <si>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</si>
  <si>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</si>
  <si>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</si>
  <si>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</si>
  <si>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</si>
  <si>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</si>
  <si>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</si>
  <si>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</si>
  <si>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DAVID GOFF, P.E.  Goff Water Audits &amp; Engineering</t>
  </si>
  <si>
    <t>Less than 1.0</t>
  </si>
  <si>
    <r>
      <t xml:space="preserve"> </t>
    </r>
    <r>
      <rPr>
        <b/>
        <u/>
        <sz val="11"/>
        <rFont val="Courier New"/>
        <family val="3"/>
      </rPr>
      <t>PRIORITY AREAS FOR ATTENTION:</t>
    </r>
  </si>
  <si>
    <t>Depending on the confidence of audit inputs, a grading is assigned to the audit score</t>
  </si>
  <si>
    <t xml:space="preserve">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</si>
  <si>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r>
      <t>to qualify for 2</t>
    </r>
    <r>
      <rPr>
        <sz val="8"/>
        <rFont val="Arial"/>
        <family val="2"/>
      </rPr>
      <t xml:space="preserve">:
Draft written policy for permitting and billing.  Investigate and budget for computerized customer billing system.  Conduct initial audit of billing records by flow-charting the basic business processes of the customer account/billing function.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</si>
  <si>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</si>
  <si>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r>
      <t>to qualify for 4</t>
    </r>
    <r>
      <rPr>
        <sz val="8"/>
        <rFont val="Arial"/>
        <family val="2"/>
      </rPr>
      <t xml:space="preserve">: 
Implement a new water utility policy requiring customer metering.  Expand pilot metering study to include several different meter types, which will provide data for economic assessment of full scale metering options.  Assess sites with access difficulties to devise means to obtain water consumption volumes. </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</si>
  <si>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</si>
  <si>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</si>
  <si>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</si>
  <si>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</si>
  <si>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</si>
  <si>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r>
      <t>to qualify for 4</t>
    </r>
    <r>
      <rPr>
        <sz val="8"/>
        <rFont val="Arial"/>
        <family val="2"/>
      </rPr>
      <t>:
Refine policy and procedures for permitting and billing.  Research computerized recordkeeping system (Customer Information System or Customer Billing System) to improve documentation format for service connections.</t>
    </r>
  </si>
  <si>
    <r>
      <t>to qualify for 6</t>
    </r>
    <r>
      <rPr>
        <sz val="8"/>
        <rFont val="Arial"/>
        <family val="2"/>
      </rPr>
      <t>:
Refine procedures to ensure consistency with permitting policy to establish new service connections or decommission existing connections.  Improve process to include all totals for at least five years prior to audit year.</t>
    </r>
  </si>
  <si>
    <t xml:space="preserve">          (((18 * length of mains) + (0.8 * # connections) + (25 * (# service connections * avg len of pipe / 1000))) * pressure)   /1000</t>
  </si>
  <si>
    <t>Logic:</t>
  </si>
  <si>
    <t>If instructions is acre-feet Then</t>
  </si>
  <si>
    <t>wlc@awwa.org</t>
  </si>
  <si>
    <t>If you have questions or comments regarding the software please contact us at:</t>
  </si>
  <si>
    <t>Value:</t>
  </si>
  <si>
    <t>Pcnt:</t>
  </si>
  <si>
    <t>(reallosses * real loss cost per unit) + (apparent losses * apparent loss cost per unit * unit conversion factor)</t>
  </si>
  <si>
    <t>Average length of customer service line</t>
  </si>
  <si>
    <t>Average length of customer service line:</t>
  </si>
  <si>
    <t>Use of Option Buttons</t>
  </si>
  <si>
    <t>Includes water illegally withdrawn from hydrants, illegal connections, bypasses to consumption meter or meter reading equipment tampering.  While this component has a direct impact on revenue, in most water utilities the volume is low and it is recommended that the auditor apply a default value of 0.25% of the volume from own sources.  If the auditor has well validated data that indicates the volume from unauthorized consumption is substantially higher or lower than that generated by the default value then this value can be entered.  However, for most water utilities it is recommended to apply the default value.  Note that a value of zero will not be accepted since all water utilities have some volume of unauthorized consumption occurring in their system.</t>
  </si>
  <si>
    <r>
      <t>m</t>
    </r>
    <r>
      <rPr>
        <vertAlign val="superscript"/>
        <sz val="10"/>
        <rFont val="Arial"/>
        <family val="2"/>
      </rPr>
      <t>3</t>
    </r>
  </si>
  <si>
    <t>million</t>
  </si>
  <si>
    <t>thousand cubic metres</t>
  </si>
  <si>
    <t>These cells contain recommended default values</t>
  </si>
  <si>
    <t xml:space="preserve"> </t>
  </si>
  <si>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</si>
  <si>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</si>
  <si>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</si>
  <si>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</si>
  <si>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</si>
  <si>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</si>
  <si>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</si>
  <si>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</si>
  <si>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</si>
  <si>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</si>
  <si>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</si>
  <si>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</si>
  <si>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</si>
  <si>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r>
      <t>to qualify for 4</t>
    </r>
    <r>
      <rPr>
        <sz val="8"/>
        <rFont val="Arial"/>
        <family val="2"/>
      </rPr>
      <t xml:space="preserve">:
Install automatic datalogging equipment on production meters.  Identify tanks/storage facilities and include estimated daily volume of water added to, or subtracted from, "Water Supplied" volume based upon changes in storage  </t>
    </r>
  </si>
  <si>
    <t>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</si>
  <si>
    <t>100% of imported water sources are metered, meter accuracy testing and/or electronic calibration conducted annually, less than 10% of meters are found outside of +/- 6% accuracy</t>
  </si>
  <si>
    <r>
      <t>to qualify for 8</t>
    </r>
    <r>
      <rPr>
        <sz val="8"/>
        <rFont val="Arial"/>
        <family val="2"/>
      </rPr>
      <t>:
Complete project to install new, or replace defective, meters on all imported water interconnections.  Maintain annual meter accuracy testing for all imported water meters.  Repair or replace meters outside of +/- 6% accuracy.</t>
    </r>
  </si>
  <si>
    <t xml:space="preserve">25% - 50% of exported water sources are metered; other sources estimated.  No regular meter accuracy testing. </t>
  </si>
  <si>
    <r>
      <t>to qualify for 8</t>
    </r>
    <r>
      <rPr>
        <sz val="8"/>
        <rFont val="Arial"/>
        <family val="2"/>
      </rPr>
      <t>:
Complete project to install new, or replace defective, meters on all exported water interconnections.  Maintain annual meter accuracy testing for all imported water meters.  Repair or replace meters outside of +/- 6% accuracy.</t>
    </r>
  </si>
  <si>
    <r>
      <t>to qualify for 2</t>
    </r>
    <r>
      <rPr>
        <sz val="8"/>
        <rFont val="Arial"/>
        <family val="2"/>
      </rPr>
      <t>:
Conduct investigations or trials of customer meters to select appropriate meter models.  Budget funding for meter installations.  Investigate volume based water rate structures.</t>
    </r>
  </si>
  <si>
    <r>
      <t>to qualify for 10</t>
    </r>
    <r>
      <rPr>
        <sz val="8"/>
        <rFont val="Arial"/>
        <family val="2"/>
      </rPr>
      <t xml:space="preserve">:
Purchase and install meters on unmetered accounts.  Launch Automatic Meter Reading (AMR) system trials if manual meter reading success rate of at least 95% is not achieved within a five-year program.  Continue meter accuracy testing program.  Conduct planning and budgeting for large scale meter replacement based upon meter life cycle analysis using cumulative flow target.  Continue routine auditing and require annual third party review.   </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</si>
  <si>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</si>
  <si>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r>
      <t xml:space="preserve">The Customer Retail Unit Cost represents the charge that customers pay for water service.  This unit cost is applied to the components of apparent loss, since these losses represent water reaching customers but not (fully) paid for.  It is important to compile these costs per the same unit cost basis as the volume measure included in the water audit.  For example, if all water volumes are measured in million gallons, then the unit cost should be dollars per million gallon ($/mil gal).  The software allows the user to select the units that are charged to customers (either $/1,000 gallons, $/hundred cubic feet or $/1,000 litres) and automatically converts these units to the units that appear in the "WATER SUPPLIED" box.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stormwater or biosolids processing, </t>
    </r>
    <r>
      <rPr>
        <u/>
        <sz val="9"/>
        <rFont val="Courier New"/>
        <family val="3"/>
      </rPr>
      <t>if</t>
    </r>
    <r>
      <rPr>
        <sz val="9"/>
        <rFont val="Courier New"/>
        <family val="3"/>
      </rPr>
      <t xml:space="preserve"> these 
charges are based upon the volume of potable water consumed.</t>
    </r>
  </si>
  <si>
    <t>Select this grading only if the water utility purchases/imports all of its water resources (i.e. has no sources of its own)</t>
  </si>
  <si>
    <t>Less than 25% of water production sources are metered, remaining sources are estimated.  No regular meter accuracy testing.</t>
  </si>
  <si>
    <t>Improvements to attain higher data grading for "Volume from own Sources" component:</t>
  </si>
  <si>
    <t xml:space="preserve">Select n/a only if the water utility fails to have meters on its sources of supply, either its own source, and/or imported (purchased) water sources </t>
  </si>
  <si>
    <t>Improvements to attain higher data grading for "Master meter error adjustment" component:</t>
  </si>
  <si>
    <t xml:space="preserve">Sound policy and procedures exist for permitting and commissioning new water mains.  Electronic recordkeeping and asset management system are used to store and manage data.  </t>
  </si>
  <si>
    <r>
      <t>- Kunkel, G. et al, 2003.  Water Loss Control Committee Report: Applying Worldwide Best Management Practices in Water Loss Control.  Journal AWWA, 95:8:65
- AWWA Water Audits and Loss Control Programs, M36 Publication, 3</t>
    </r>
    <r>
      <rPr>
        <b/>
        <i/>
        <vertAlign val="superscript"/>
        <sz val="12"/>
        <color indexed="9"/>
        <rFont val="Courier New"/>
        <family val="3"/>
      </rPr>
      <t>rd</t>
    </r>
    <r>
      <rPr>
        <b/>
        <i/>
        <sz val="12"/>
        <color indexed="9"/>
        <rFont val="Courier New"/>
        <family val="3"/>
      </rPr>
      <t xml:space="preserve"> Edition, 2009
- Service Connection Diagrams courtesy of Ronnie McKenzie, WRP Pty Ltd. </t>
    </r>
  </si>
  <si>
    <r>
      <t>to qualify for 4</t>
    </r>
    <r>
      <rPr>
        <sz val="8"/>
        <rFont val="Arial"/>
        <family val="2"/>
      </rPr>
      <t>:
Complete inventory of paper records of water main installations &amp; abandonments for a number of years prior to audit year.  Review policy and procedures for commissioning and documenting new water main installation and abandonments.</t>
    </r>
  </si>
  <si>
    <t>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</si>
  <si>
    <r>
      <t>to qualify for 10</t>
    </r>
    <r>
      <rPr>
        <sz val="8"/>
        <rFont val="Arial"/>
        <family val="2"/>
      </rPr>
      <t>:
Continue customer meter installation throughout the service area, with a goal to minimize unmetered accounts.  Sustain the effort to investigate accounts with access difficulties to devise means to install water meters or otherwise measure water consumption.</t>
    </r>
  </si>
  <si>
    <r>
      <t>to qualify for 8</t>
    </r>
    <r>
      <rPr>
        <sz val="8"/>
        <rFont val="Arial"/>
        <family val="2"/>
      </rPr>
      <t>: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t>
    </r>
  </si>
  <si>
    <r>
      <t>to maintain 10</t>
    </r>
    <r>
      <rPr>
        <sz val="8"/>
        <rFont val="Arial"/>
        <family val="2"/>
      </rPr>
      <t>:
Reassess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</si>
  <si>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</si>
  <si>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</si>
  <si>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</si>
  <si>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</si>
  <si>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</si>
  <si>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</si>
  <si>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</si>
  <si>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</si>
  <si>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</si>
  <si>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</si>
  <si>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</si>
  <si>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</si>
  <si>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</si>
  <si>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 xml:space="preserve">Well-managed pressure districts/zones, SCADA System and hydraulic model exist to give very precise pressure data across the water distribution system.  Average system pressure is reliably calculated from extensive, reliable, and cross-checked data.  </t>
  </si>
  <si>
    <t>Improvements to attain higher data grading for "Average Operating Pressure" component:</t>
  </si>
  <si>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</si>
  <si>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t>&lt;&lt; Enter grading in column 'E'</t>
  </si>
  <si>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</si>
  <si>
    <t>ML/yr</t>
  </si>
  <si>
    <r>
      <t>to qualify for 5</t>
    </r>
    <r>
      <rPr>
        <sz val="8"/>
        <rFont val="Arial"/>
        <family val="2"/>
      </rPr>
      <t xml:space="preserve">:
Use accepted default of 0.25% of system input volume.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</si>
  <si>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</si>
  <si>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system input volume as expedient means to gain a reasonable quantification of all such use.  This is particularly appropriate for water utilities who are in the early stages of the water auditing process.</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</si>
  <si>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use and documentation of various occurrences of unauthorized consumption as they are uncovered.   </t>
    </r>
  </si>
  <si>
    <t>Customer meters exist, but with unorganized paper records on meters; no meter accuracy testing or meter replacement program.  Workflow is driven chaotically by customer complaints with no proactive management.  Loss volume due to aggregate meter inaccuracy is guesstimated.</t>
  </si>
  <si>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</si>
  <si>
    <t>Enter criteria in these cells</t>
  </si>
  <si>
    <r>
      <t xml:space="preserve"> AWWA WLCC Free Water Audit Software: </t>
    </r>
    <r>
      <rPr>
        <b/>
        <u/>
        <sz val="14"/>
        <color indexed="9"/>
        <rFont val="Courier New"/>
        <family val="3"/>
      </rPr>
      <t>Customer Service Line Diagrams</t>
    </r>
  </si>
  <si>
    <t xml:space="preserve">Reasonably maintained, but incomplete, paper or electronic accounting provides data to estimate the major portion of water system operating costs. </t>
  </si>
  <si>
    <t xml:space="preserve">Reliable electronic, industry-standard cost accounting system in place, with all pertinent water system operating costs tracked.  Data audited periodically by utility personnel, not a Certified Public Accountant (CPA).  </t>
  </si>
  <si>
    <t xml:space="preserve">Reliable electronic, industry-standard cost accounting system in place, with all pertinent water system operating costs tracked.  Data audited at least annually by utility personnel, and periodically by third-party CPA.  </t>
  </si>
  <si>
    <t>7/2007 - 6/2008</t>
  </si>
  <si>
    <t>*** YOUR SCORE IS: 82 out of 100 ***</t>
  </si>
  <si>
    <t xml:space="preserve">     2: Billed metered</t>
  </si>
  <si>
    <t xml:space="preserve">     3: Systematic data handling errors</t>
  </si>
  <si>
    <t>- Alegre, H., Hirner, W., Baptista, J. and Parena, R. Performance Indicators for Water Supply Services.  IWA Publishing ‘Manual of Best Practice’ Series, 2000.  ISBN 1 900222 272</t>
  </si>
  <si>
    <t>THE FOLLOWING KEY APPLIES THROUGHOUT:</t>
  </si>
  <si>
    <t>START DATE(MM/YYYY):</t>
  </si>
  <si>
    <t>END DATE(MM/YYYY):</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</si>
  <si>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</si>
  <si>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</si>
  <si>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</si>
  <si>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</si>
  <si>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</si>
  <si>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</si>
  <si>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</si>
  <si>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</si>
  <si>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</si>
  <si>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</si>
  <si>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</si>
  <si>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</si>
  <si>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</si>
  <si>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r>
      <t>USE:</t>
    </r>
    <r>
      <rPr>
        <sz val="10"/>
        <rFont val="Courier New"/>
        <family val="3"/>
      </rPr>
      <t xml:space="preserve"> The spreadsheet contains several separate worksheets. Sheets can be accessed using the tabs towards the bottom of the screen, or by clicking the buttons on the left below. Descriptions of each sheet are also given below.</t>
    </r>
  </si>
  <si>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</si>
  <si>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</si>
  <si>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</si>
  <si>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</si>
  <si>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</si>
  <si>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</si>
  <si>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</si>
  <si>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r>
      <t>to qualify for 4</t>
    </r>
    <r>
      <rPr>
        <sz val="8"/>
        <rFont val="Arial"/>
        <family val="2"/>
      </rPr>
      <t>:
Finalize written policy for permitting and billing.  Implement a computerized customer billing system.  Conduct initial audit of billing records as part of this process.</t>
    </r>
  </si>
  <si>
    <r>
      <t>to qualify for 8</t>
    </r>
    <r>
      <rPr>
        <sz val="8"/>
        <rFont val="Arial"/>
        <family val="2"/>
      </rPr>
      <t>:
Formalize regular review of permitting and billing practices.  Enhance reporting capability of computerized billing system.  Formalize regular auditing process to reveal scope of data handling error.</t>
    </r>
  </si>
  <si>
    <t>Improvements to attain higher data grading for "Water Imported Volume" component:</t>
  </si>
  <si>
    <t>Improvements to attain higher data grading for "Water Exported Volume" component:</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</si>
  <si>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</si>
  <si>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</si>
  <si>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</si>
  <si>
    <t>Improvements to attain higher data grading for "Billed Unmetered Consumption" component:</t>
  </si>
  <si>
    <t>Improvements to attain higher data grading for "Unbilled 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</si>
  <si>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</si>
  <si>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 xml:space="preserve">Reliable electronic, industry-standard cost accounting system in place, with all pertinent water system operating costs tracked.  Data audited annually by utility personnel and by third-party CPA.  </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</si>
  <si>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</si>
  <si>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</si>
  <si>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t xml:space="preserve">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</si>
  <si>
    <r>
      <t>Either of two conditions can be met to obtain a grading of 10</t>
    </r>
    <r>
      <rPr>
        <sz val="8"/>
        <rFont val="Arial"/>
        <family val="2"/>
      </rPr>
      <t xml:space="preserve">:
1) Third party CPA audit of all primary and secondary cost components on an annual basis.
</t>
    </r>
    <r>
      <rPr>
        <u/>
        <sz val="8"/>
        <rFont val="Arial"/>
        <family val="2"/>
      </rPr>
      <t>or</t>
    </r>
    <r>
      <rPr>
        <sz val="8"/>
        <rFont val="Arial"/>
        <family val="2"/>
      </rPr>
      <t>:
2) Water supply is entirely purchased as bulk imported water, and unit purchase cost serves as the variable production cost.</t>
    </r>
  </si>
  <si>
    <r>
      <t>to qualify for 6</t>
    </r>
    <r>
      <rPr>
        <sz val="8"/>
        <rFont val="Arial"/>
        <family val="2"/>
      </rPr>
      <t xml:space="preserve">:
Formalize process for regular internal audits of production costs.  Assess whether additional costs (liability, residuals management, etc.) should be included to calculate a more accurate variable production cost.  </t>
    </r>
  </si>
  <si>
    <r>
      <t xml:space="preserve">Customer retail unit cost </t>
    </r>
    <r>
      <rPr>
        <sz val="8"/>
        <rFont val="Courier New"/>
        <family val="3"/>
      </rPr>
      <t>(applied to Apparent Losses):</t>
    </r>
  </si>
  <si>
    <t>= Total Water Loss + Unbilled Metered + Unbilled Unmetered</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</si>
  <si>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for water from fire hydrants).  </t>
    </r>
  </si>
  <si>
    <t>All consumption that is unbilled, but still authorized by the utility. See "Authorized Consumption" for more information.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</si>
  <si>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</si>
  <si>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</si>
  <si>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</si>
  <si>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</si>
  <si>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</si>
  <si>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Click to advance to sheet…</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</si>
  <si>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</si>
  <si>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UARL (gallons/day)=(5.41Lm + 0.15Nc + 7.5Lc) xP,          
                     or
UARL (litres/day)=(18.0Lm + 0.8Nc + 25.0Lc) xP
where:
Lm = length of mains (miles or kilometres)                                        
Nc = number of service connections                                        
Lc = total length of customer service lines (miles or km) 
   = Nc multiplied by the average distance of customer service line, Lp (miles or km)
P  = Pressure (psi or metres)</t>
  </si>
  <si>
    <t>ANDREW CHASTAIN-HOWLEY, Miya Water</t>
  </si>
  <si>
    <r>
      <t>Either of two conditions can be met to obtain a grading of 10</t>
    </r>
    <r>
      <rPr>
        <sz val="8"/>
        <rFont val="Arial"/>
        <family val="2"/>
      </rPr>
      <t>: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</si>
  <si>
    <t>Diagrams depicting possible customer service connection configurations</t>
  </si>
  <si>
    <r>
      <t xml:space="preserve"> AWWA WLCC Free Water Audit Software: </t>
    </r>
    <r>
      <rPr>
        <b/>
        <u/>
        <sz val="14"/>
        <color indexed="9"/>
        <rFont val="Courier New"/>
        <family val="3"/>
      </rPr>
      <t>Acknowledgements</t>
    </r>
  </si>
  <si>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</si>
  <si>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Paper records in poor condition (no annual tracking of installations &amp; abandonments).  Poor procedures to ensure that new water mains installed by developers are accurately documented.</t>
  </si>
  <si>
    <t>Sound policy and procedures for permitting and documenting new water main installations, but gaps in management result in a uncertain degree of error in tabulation of mains length.</t>
  </si>
  <si>
    <t>Please begin by providing the following information, then proceed through each sheet in the workbook:</t>
  </si>
  <si>
    <t>NAME OF CONTACT PERSON:</t>
  </si>
  <si>
    <t>E-MAIL:</t>
  </si>
  <si>
    <t>Ext.</t>
  </si>
  <si>
    <t>TELEPHONE:</t>
  </si>
  <si>
    <t>COST DATA</t>
  </si>
  <si>
    <t>NAME OF CITY OR UTILITY:</t>
  </si>
  <si>
    <t>REFERENCES:</t>
  </si>
  <si>
    <t>DEVELOPED BY:</t>
  </si>
  <si>
    <t>PERFORMANCE INDICATORS</t>
  </si>
  <si>
    <t>Financial Indicators</t>
  </si>
  <si>
    <t>Operational Efficiency Indicators</t>
  </si>
  <si>
    <t>Unavoidable Annual Real Losses (UARL):</t>
  </si>
  <si>
    <t>$/Year</t>
  </si>
  <si>
    <t>Water which is charged to customers to provide revenue to the utility.</t>
  </si>
  <si>
    <t>Unavoidable Annual Real Losses (UARL)</t>
  </si>
  <si>
    <t>Infrastructure Leakage Index (ILI)</t>
  </si>
  <si>
    <t>GEORGE KUNKEL, P.E.  Philadelphia Water Department</t>
  </si>
  <si>
    <t>DAVID SAYERS, Delaware River Basin Commission</t>
  </si>
  <si>
    <t>ALAIN LALONDE, Veritec Consulting</t>
  </si>
  <si>
    <t>Target ILI Range</t>
  </si>
  <si>
    <t>Operational Considerations</t>
  </si>
  <si>
    <t>Water Resources Considerations</t>
  </si>
  <si>
    <t>Financial Considerations</t>
  </si>
  <si>
    <t>1.0 - 3.0</t>
  </si>
  <si>
    <t>Greater than 8.0</t>
  </si>
  <si>
    <t>= unauthorized consumption + meter under-registration + data handling errors
Includes all types of inaccuracies associated with customer metering as well as data handling errors (meter reading and billing), plus unauthorized consumption (theft or illegal use).
NOTE: Over-registration of customer meters, leads to under-estimation of Real Losses.  Under-registration of customer meters, leads to over-estimation of Real Losses.</t>
  </si>
  <si>
    <t>Improvements to attain higher data grading for "Customer Retail Unit Cost" component:</t>
  </si>
  <si>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</si>
  <si>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</si>
  <si>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Meter customers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</si>
  <si>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</si>
  <si>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</si>
  <si>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</si>
  <si>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</si>
  <si>
    <t xml:space="preserve">Reliable electronic, industry-standard cost accounting system in place, with all pertinent variable production costs tracked.  Data audited at least annually by utility personnel, and periodically by third-party.  </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</si>
  <si>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</si>
  <si>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</si>
  <si>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</si>
  <si>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</si>
  <si>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</si>
  <si>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</si>
  <si>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</si>
  <si>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</si>
  <si>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Systematic Data Handling Error:</t>
  </si>
  <si>
    <t>This software is intended to serve as a basic tool to compile a preliminary, or “top-down”, water audit.  It is recommended that users also refer to the 3rd Edition AWWA M36 Publication, Water Audits and Loss Control Programs, for detailed guidance on compiling a comprehensive, or “bottom-up”, water audit using the same water audit methodology.</t>
  </si>
  <si>
    <r>
      <t xml:space="preserve">to qualify for 8:
</t>
    </r>
    <r>
      <rPr>
        <sz val="8"/>
        <rFont val="Arial"/>
        <family val="2"/>
      </rPr>
      <t xml:space="preserve">Conduct annual meter accuracy testing on all meters.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</si>
  <si>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for all meters.  Repair or replace meters outside of +/- 6%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</si>
  <si>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</si>
  <si>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Inventory information on meters and paper records of measured volumes in crude condition; data error cannot be determined </t>
  </si>
  <si>
    <t>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</si>
  <si>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</si>
  <si>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t>Coherent policies exist for some forms of unbilled, unmetered consumption but others await closer evaluation. Reasonable recordkeeping for the managed uses exists and allows for annual volumes to be quantified by inference, but unsupervised uses are guesstimated.</t>
  </si>
  <si>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</si>
  <si>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</si>
  <si>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</si>
  <si>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</si>
  <si>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</si>
  <si>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</si>
  <si>
    <t xml:space="preserve">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</si>
  <si>
    <r>
      <t>to qualify for 10</t>
    </r>
    <r>
      <rPr>
        <sz val="8"/>
        <rFont val="Arial"/>
        <family val="2"/>
      </rPr>
      <t xml:space="preserve">: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</si>
  <si>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t>
    </r>
  </si>
  <si>
    <r>
      <t>to qualify for 10</t>
    </r>
    <r>
      <rPr>
        <sz val="8"/>
        <rFont val="Arial"/>
        <family val="2"/>
      </rPr>
      <t>:
Ensure that meter management (meter accuracy testing, meter replacement) and meter reading activities are accorded the same priority as billed accounts.  Establish ongoing annual auditing process to ensure that water consumption is reliably collected and provided to the annual water audit process.</t>
    </r>
  </si>
  <si>
    <t xml:space="preserve">Extent of unbilled, unmetered consumption is partially known, and procedures exist to document certain events such as miscellaneous fire hydrant uses.  Formulae is used to quantify the consumption from such events (time running x typical flowrate x number of  events).  </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</si>
  <si>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2</t>
    </r>
    <r>
      <rPr>
        <sz val="8"/>
        <rFont val="Arial"/>
        <family val="2"/>
      </rPr>
      <t xml:space="preserve">:
Establish a policy regarding what water uses should be allowed as unbilled and unmetered.  Consider tracking a small sample of one such use (ex: fire hydrant flushings).   </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</si>
  <si>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</si>
  <si>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technology in Advanced Metering Infrastructure (AMI) to grasp opportunities for greater accuracy in metering and customer consumption data.</t>
    </r>
  </si>
  <si>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</si>
  <si>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</si>
  <si>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</si>
  <si>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</si>
  <si>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</si>
  <si>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</si>
  <si>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</si>
  <si>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</si>
  <si>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</si>
  <si>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</si>
  <si>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</si>
  <si>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</si>
  <si>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</si>
  <si>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</si>
  <si>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</si>
  <si>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</si>
  <si>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</si>
  <si>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Number of service connections, main to curb stop. Please note that this includes the actual number of distinct piping connections including fire connections whether active or inactive. This may differ substantially from the number of Customers (or number of accounts)</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</si>
  <si>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</si>
  <si>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</si>
  <si>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</si>
  <si>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</si>
  <si>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</si>
  <si>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r>
      <t>to qualify for 2</t>
    </r>
    <r>
      <rPr>
        <sz val="8"/>
        <rFont val="Arial"/>
        <family val="2"/>
      </rPr>
      <t xml:space="preserve">:
Assign personnel to inventory current as-built records and compare with customer billing system records and highway plans.  Assemble policy documents regarding permitting and documentation of water main installations by the utility and building developers; identify gaps in procedure that result in poor documentation. </t>
    </r>
  </si>
  <si>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</si>
  <si>
    <t>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</si>
  <si>
    <r>
      <t>to qualify for 10</t>
    </r>
    <r>
      <rPr>
        <sz val="8"/>
        <rFont val="Arial"/>
        <family val="2"/>
      </rPr>
      <t xml:space="preserve">:
Close policy/procedure  loopholes that allow some customer accounts to go unbilled, or data handling errors to exist.  Ensure that internal and third party audits are conducted annually. </t>
    </r>
  </si>
  <si>
    <t>PLEASE SELECT PREFERRED REPORTING UNITS FOR WATER VOLUME:</t>
  </si>
  <si>
    <t>Choose this option to enter a percentage of billed metered consumption. This is NOT a default value</t>
  </si>
  <si>
    <t>Systematic data handling errors are likely, please enter a non-zero value; otherwise grade = 5</t>
  </si>
  <si>
    <t>= apparent losses + real losses
The difference between System Input and Authorized Consumption. Water losses can be considered as a total volume for the whole system, or for partial systems such as transmission or distribution systems, or individual zones. Water Losses consist of Real Losses and Apparent Losses.</t>
  </si>
  <si>
    <r>
      <t xml:space="preserve">Number of </t>
    </r>
    <r>
      <rPr>
        <u/>
        <sz val="10"/>
        <color indexed="9"/>
        <rFont val="Courier New"/>
        <family val="3"/>
      </rPr>
      <t>active AND inactive</t>
    </r>
    <r>
      <rPr>
        <sz val="10"/>
        <color indexed="9"/>
        <rFont val="Courier New"/>
        <family val="3"/>
      </rPr>
      <t xml:space="preserve"> service connections</t>
    </r>
  </si>
  <si>
    <t>acre-feet</t>
  </si>
  <si>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</si>
  <si>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</si>
  <si>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</si>
  <si>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</si>
  <si>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</si>
  <si>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</si>
  <si>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Connection density</t>
  </si>
  <si>
    <r>
      <t>to qualify for 5</t>
    </r>
    <r>
      <rPr>
        <sz val="8"/>
        <rFont val="Arial"/>
        <family val="2"/>
      </rPr>
      <t>:
Utilize accepted default value of 1.25% of system input volume as expedient means to gain a reasonable quantification of all such use.  This is particularly appropriate for water utilities who are in the early stages of the water auditing process.</t>
    </r>
  </si>
  <si>
    <t xml:space="preserve">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</si>
  <si>
    <t>Physical water losses from the pressurized system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</si>
  <si>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t>
    </r>
  </si>
  <si>
    <r>
      <t>to qualify for 6 or greater</t>
    </r>
    <r>
      <rPr>
        <sz val="8"/>
        <rFont val="Arial"/>
        <family val="2"/>
      </rPr>
      <t>:
Finalize policy and do field checks.  Proceed if top-down audit exists and/or a great volume of such use is suspected.</t>
    </r>
  </si>
  <si>
    <r>
      <t>to qualify for 8</t>
    </r>
    <r>
      <rPr>
        <sz val="8"/>
        <rFont val="Arial"/>
        <family val="2"/>
      </rPr>
      <t xml:space="preserve">:
Assess water utility policy and procedures to ensure that fire hydrant permits are issued for use by persons outside of the utility.  Create written procedures for use and documentation of fire hydrants by water utility personnel. </t>
    </r>
  </si>
  <si>
    <r>
      <t>to qualify for 2</t>
    </r>
    <r>
      <rPr>
        <sz val="8"/>
        <rFont val="Arial"/>
        <family val="2"/>
      </rPr>
      <t>:
Research and collect paper records of service line installations.  Inspect several sites in the field using pipe locators to locate curbstops.  Obtain the length of this small sample of connections in this manner.</t>
    </r>
  </si>
  <si>
    <r>
      <t>to qualify for 6</t>
    </r>
    <r>
      <rPr>
        <sz val="8"/>
        <rFont val="Arial"/>
        <family val="2"/>
      </rPr>
      <t>:
Establish coherent procedures to ensure that policy for curbstop, meter installation and documentation is followed.  Gain consensus within the water utility for the establishment of a computerized information management system.</t>
    </r>
  </si>
  <si>
    <r>
      <t>to qualify for 8</t>
    </r>
    <r>
      <rPr>
        <sz val="8"/>
        <rFont val="Arial"/>
        <family val="2"/>
      </rPr>
      <t xml:space="preserve">:
Implement an electronic means of recordkeeping, typically via a customer information system or customer billing system.  Standardize the process to conduct field checks of limited number of locations.  </t>
    </r>
  </si>
  <si>
    <r>
      <t>to qualify for 10</t>
    </r>
    <r>
      <rPr>
        <sz val="8"/>
        <rFont val="Arial"/>
        <family val="2"/>
      </rPr>
      <t>:
Link customer information management system and Geographic Information System (GIS), standardize process for field verification of data.</t>
    </r>
  </si>
  <si>
    <r>
      <t>to qualify for 10</t>
    </r>
    <r>
      <rPr>
        <sz val="8"/>
        <rFont val="Arial"/>
        <family val="2"/>
      </rPr>
      <t xml:space="preserve">:  
Obtain average pressure data from hydraulic model of the distribution system that has been calibrated via field measurements in the water distribution system and confirmed in comparisons with SCADA System data.      </t>
    </r>
  </si>
  <si>
    <t>Incomplete paper records and lack of documentation on many operating functions making calculation of water system operating costs a pure guesstimate</t>
  </si>
  <si>
    <t>Incomplete paper records and lack of documentation on primary operating functions (electric power and treatment costs most importantly) makes calculation of variable production costs a pure guesstimate</t>
  </si>
  <si>
    <r>
      <t>to maintain 10</t>
    </r>
    <r>
      <rPr>
        <sz val="8"/>
        <rFont val="Arial"/>
        <family val="2"/>
      </rPr>
      <t xml:space="preserve">:
Monitor meter innovations for development of more accurate and less expensive flowmeters.  Continue to replace or repair meters as they perform outside of desired accuracy limits. </t>
    </r>
  </si>
  <si>
    <t>Sound policy exists for managing water mains extensions and replacements.  Geographic Information System (GIS) data and asset management database agree and random field validation proves truth of databases.</t>
  </si>
  <si>
    <t>Less than 50% of customers with volume-based billings from meter readings; flat or fixed rate billed for the majority of the customer population</t>
  </si>
  <si>
    <t xml:space="preserve">select n/a if all billing-exempt consumption is unmetered.  </t>
  </si>
  <si>
    <t>Default value of 1.25% of system input volume is employed</t>
  </si>
  <si>
    <t>Default value of 0.25% of system input volume is employed</t>
  </si>
  <si>
    <t xml:space="preserve">Clear policies exist to identify all known unauthorized uses of water.  Staff and procedures exist to provide enforcement of policies and detect violations.  Each occurrence is quantified via formulae (time x typical flow) or similar methods.  </t>
  </si>
  <si>
    <t xml:space="preserve">Ongoing meter replacement and accuracy testing result in highly accurate customer meter population.  Testing is conducted on samples of meters at varying lifespans to determine optimum replacement time for various types of meters.  </t>
  </si>
  <si>
    <t>Real Losses = Water Losses - Apparent Losses:</t>
  </si>
  <si>
    <r>
      <t>Average</t>
    </r>
    <r>
      <rPr>
        <sz val="10"/>
        <rFont val="Courier New"/>
        <family val="3"/>
      </rPr>
      <t xml:space="preserve"> length of customer service line:</t>
    </r>
  </si>
  <si>
    <t>The cost to produce and supply the next unit of water. (E.g., $/million gallons) This cost is determined by calculating the summed unit costs for ground and surface water treatment and all power used for pumping from the source to the customer. It should also include the unit cost of bulk water purchased as an import if applicable.</t>
  </si>
  <si>
    <t>No automatic datalogging of production volumes; daily readings are scribed on paper records.  Tank/storage elevation changes are not employed in calculating "Volume from own sources" component.  Data is adjusted only when grossly evident data error occurs.</t>
  </si>
  <si>
    <t>Customer retail unit cost (applied to Apparent Losses)</t>
  </si>
  <si>
    <t>Number of active AND inactive service connections:</t>
  </si>
  <si>
    <t>Customer retail unit cost (applied to Apparent Losses):</t>
  </si>
  <si>
    <t>Variable production cost (applied to Real Losses):</t>
  </si>
  <si>
    <t>Volume from own sources:</t>
  </si>
  <si>
    <t>Master meter error adjustment:</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</si>
  <si>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</si>
  <si>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</si>
  <si>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</si>
  <si>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</si>
  <si>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</si>
  <si>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</si>
  <si>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</si>
  <si>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</si>
  <si>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</si>
  <si>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</si>
  <si>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</si>
  <si>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</si>
  <si>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</si>
  <si>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</si>
  <si>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Grading</t>
  </si>
  <si>
    <t>D</t>
  </si>
  <si>
    <t>Water Loss Control Planning Guide</t>
  </si>
  <si>
    <t>Functional Focus Area</t>
  </si>
  <si>
    <r>
      <t>to qualify for 4</t>
    </r>
    <r>
      <rPr>
        <sz val="8"/>
        <rFont val="Arial"/>
        <family val="2"/>
      </rPr>
      <t>:
Implement an electronic cost accounting system, structured according to accounting standards for water utilities</t>
    </r>
  </si>
  <si>
    <r>
      <t>to qualify for 8</t>
    </r>
    <r>
      <rPr>
        <sz val="8"/>
        <rFont val="Arial"/>
        <family val="2"/>
      </rPr>
      <t>:
Standardize the process to conduct routine financial audit on an annual basis.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</si>
  <si>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</si>
  <si>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budget/track costs proactively</t>
    </r>
  </si>
  <si>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</si>
  <si>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</si>
  <si>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Customer population unmetered. Fixed fee charged; single composite number derived from multiple customer classes.</t>
  </si>
  <si>
    <t>ML/Yr</t>
  </si>
  <si>
    <t>kilometers</t>
  </si>
  <si>
    <t>conn./km main</t>
  </si>
  <si>
    <t>metres</t>
  </si>
  <si>
    <t>Clear policies exist to identify permitted use of water in unbilled, unmetered fashion, with the intention of minimizing this type of consumption.  Good records document each occurrence and consumption is quantified via formulae (time x typical flow) or use of temporary meters.</t>
  </si>
  <si>
    <t xml:space="preserve">Procedures exist to document some unauthorized consumption such as observed unauthorized fire hydrant openings.  Use formulae to quantify this consumption (time running x typical flowrate x number of  events).  </t>
  </si>
  <si>
    <t>Use this sheet to interpret the results of the audit validity score and performance indicators</t>
  </si>
  <si>
    <r>
      <t>Level I</t>
    </r>
    <r>
      <rPr>
        <sz val="10"/>
        <rFont val="Arial"/>
      </rPr>
      <t xml:space="preserve"> (0-25)</t>
    </r>
  </si>
  <si>
    <t/>
  </si>
  <si>
    <t>All volumes to be entered as: MEGALITRES (THOUSAND CUBIC METRES) PER YEAR</t>
  </si>
  <si>
    <t>Megalitres/yr (or ML/Yr)</t>
  </si>
  <si>
    <t>Apparent water losses caused by systematic data handling errors in the meter reading and billing system.</t>
  </si>
  <si>
    <t>Water imported</t>
  </si>
  <si>
    <t>Volume from own sources</t>
  </si>
  <si>
    <t>Billed metered consumption</t>
  </si>
  <si>
    <t>Billed unmetered consumption</t>
  </si>
  <si>
    <t>Water exported</t>
  </si>
  <si>
    <t>Unbilled unmetered consumption</t>
  </si>
  <si>
    <t>Unbilled metered consumption</t>
  </si>
  <si>
    <t>Customer metering inaccuracies</t>
  </si>
  <si>
    <t>These costs include those for operations, maintenance and any annually incurred costs for long-term upkeep of the system, such as repayment of capital bonds for infrastructure expansion or improvement.  Typical costs include employee salaries and benefits, materials, equipment, insurance, fees, administrative costs and all other costs that exist to sustain the drinking water supply.  These costs should not include any costs to operate wastewater, biosolids or other systems outside of drinking water.</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</si>
  <si>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</si>
  <si>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t>
  </si>
  <si>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</si>
  <si>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Note: if the water utility purchases/imports its entire water supply, then enter the unit purchase cost of the bulk water supply in the Reporting Worksheet with a grading of 10</t>
  </si>
  <si>
    <t xml:space="preserve">25% - 50% of treated water production sources are metered; other sources estimated.  No regular meter accuracy testing. </t>
  </si>
  <si>
    <t>50% - 75% of treated water production sources are metered, other sources estimated.  Occasional meter accuracy testing</t>
  </si>
  <si>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conducted annually.  Less than 25% of tested meters are found outside of +/- 6% accuracy.  </t>
    </r>
  </si>
  <si>
    <t xml:space="preserve">100% of treated water production sources are metered, meter accuracy testing and electronic calibration conducted semi-annually, with less than 10% found outside of +/- 3% accuracy.     </t>
  </si>
  <si>
    <t>100% of treated water production sources are metered, meter accuracy testing and electronic calibration conducted annually, less than 10% of meters are found outside of +/- 6% accuracy</t>
  </si>
  <si>
    <t>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</si>
  <si>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</si>
  <si>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</si>
  <si>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</si>
  <si>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</si>
  <si>
    <t>Improvements to attain higher data grading for "Number of Active and Inactive customer service connections" component:</t>
  </si>
  <si>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</si>
  <si>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</si>
  <si>
    <t>Third party reviewed weighted average composite consumption rate (includes residential, commercial, industrial, etc.)</t>
  </si>
  <si>
    <r>
      <t>to qualify for 2</t>
    </r>
    <r>
      <rPr>
        <sz val="8"/>
        <rFont val="Arial"/>
        <family val="2"/>
      </rPr>
      <t>:
Formalize the process to implement water rates, including a secure documentation procedure.  Create a current, formal water rate document and gain approval from all stakeholders.</t>
    </r>
  </si>
  <si>
    <t xml:space="preserve">Clear policy exists to define utility/customer responsibility for service connection piping.  Accurate, well-maintained paper or basic electronic recordkeeping system exists.  Periodic field checks confirm piping lengths for a sample of customer properties.   </t>
  </si>
  <si>
    <t>Improvements to attain higher data grading for "Average Length of Customer Service Line" component:</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</si>
  <si>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</si>
  <si>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t>Good records of number, type and size of customer meters; ongoing meter replacement occurs.  Regular meter accuracy testing gives reliable measure of composite inaccuracy volume for the system.  New metering technology is embraced to keep overall accuracy improving.</t>
  </si>
  <si>
    <t>Select n/a if it is the policy of the water utility to meter all customer connections and it has been confirmed by detailed auditing that all customers do indeed have a water meter; i.e. no unmetered accounts exist</t>
  </si>
  <si>
    <t>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</si>
  <si>
    <t>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</si>
  <si>
    <r>
      <t>to qualify for 8</t>
    </r>
    <r>
      <rPr>
        <sz val="8"/>
        <rFont val="Arial"/>
        <family val="2"/>
      </rPr>
      <t>:
Install customer meters on a full scale basis.  Refine metering policy and procedures to ensure that all accounts, including municipal properties, are designated for meters.  Implement procedures to obtain reliable consumption estimate for unmetered accounts awaiting meter installation.</t>
    </r>
  </si>
  <si>
    <t>Improvements to attain higher data grading for "Unbilled Unmetered Consumption" component:</t>
  </si>
  <si>
    <t>Improvements to attain higher data grading for "Unauthorized Consumption" component:</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</si>
  <si>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</si>
  <si>
    <t>English 4.1</t>
  </si>
  <si>
    <r>
      <t xml:space="preserve">to qualify for 2:
</t>
    </r>
    <r>
      <rPr>
        <sz val="8"/>
        <rFont val="Arial"/>
        <family val="2"/>
      </rPr>
      <t>Develop plan to restructure recordkeeping system to capture all flow data; set procedure to review data daily to detect input errors</t>
    </r>
  </si>
  <si>
    <r>
      <t>to qualify for 6</t>
    </r>
    <r>
      <rPr>
        <sz val="8"/>
        <rFont val="Arial"/>
        <family val="2"/>
      </rPr>
      <t xml:space="preserve">:
Review hourly production meter data for gross error on, at least, a weekly basis.  Begin to install instrumentation on tanks/storage facilities to record elevation changes.  Use daily net storage change to balance flows in calculating "Water Supplied" volume. </t>
    </r>
  </si>
  <si>
    <t>An estimate or measure of the degree of any inaccuracy that exists in the master meters measuring the Volume from own sources. Please also indicate if this adjustment is because the master meters under-registered (did not capture all the flow) or over-registered (overstated the actual flow). All systems encounter some degree of error in their Master Meter data. Please enter a positive value.</t>
  </si>
  <si>
    <r>
      <t xml:space="preserve">Once data has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Courier New"/>
        <family val="3"/>
      </rPr>
      <t>Note:</t>
    </r>
    <r>
      <rPr>
        <b/>
        <sz val="11"/>
        <rFont val="Courier New"/>
        <family val="3"/>
      </rPr>
      <t xml:space="preserve"> this table offers an approximate guideline for leakage reduction target-setting.  The best means of setting such targets include performing an economic assessment of various loss control methods.  However, this table is useful if such an assessment is not possible. </t>
    </r>
  </si>
  <si>
    <r>
      <t>to qualify for 8</t>
    </r>
    <r>
      <rPr>
        <sz val="8"/>
        <rFont val="Arial"/>
        <family val="2"/>
      </rPr>
      <t xml:space="preserve">:  
Install a Supervisory Control and Data Acquisition (SCADA)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</si>
  <si>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t xml:space="preserve">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</si>
  <si>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</si>
  <si>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</si>
  <si>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</si>
  <si>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</si>
  <si>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</si>
  <si>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</si>
  <si>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</si>
  <si>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Billed Metered Consumption (inc. water exported)</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</si>
  <si>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</si>
  <si>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</si>
  <si>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</si>
  <si>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</si>
  <si>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</si>
  <si>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</si>
  <si>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</si>
  <si>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</si>
  <si>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</si>
  <si>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</si>
  <si>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All metered consumption which is billed.  This includes all groups of customers such as domestic, commercial, industrial or institutional.  It does NOT include water sold to neighboring utilities (water exported) which is metered and billed.  The metered consumption data can be taken directly from billing records for the water audit period.  The accuracy of yearly metered consumption data can be refined by including an adjustment to account for customer meter reading lagtime, however additional analysis is necessary to determine the adjustment value, which may or may not be significant.</t>
  </si>
  <si>
    <t>WATER LOSSES</t>
  </si>
  <si>
    <t>Unauthorized consumption</t>
  </si>
  <si>
    <t>Systematic data handling errors</t>
  </si>
  <si>
    <t>NON-REVENUE WATER</t>
  </si>
  <si>
    <t>Average operating pressure</t>
  </si>
  <si>
    <t>Total annual cost of operating the water system</t>
  </si>
  <si>
    <t>Customer retail unit cost</t>
  </si>
  <si>
    <t>Sound policy and procedures exist for permitting and commissioning new water mains.  Highly accurate paper records with regular field validation; or electronic records and asset management system in good condition.  Includes system backup.</t>
  </si>
  <si>
    <r>
      <t xml:space="preserve"> AWWA WLCC Free Water Audit Software: </t>
    </r>
    <r>
      <rPr>
        <b/>
        <u/>
        <sz val="16"/>
        <color indexed="9"/>
        <rFont val="Courier New"/>
        <family val="3"/>
      </rPr>
      <t>Reporting Worksheet</t>
    </r>
  </si>
  <si>
    <r>
      <t xml:space="preserve"> AWWA WLCC Free Water Audit Software: </t>
    </r>
    <r>
      <rPr>
        <b/>
        <u/>
        <sz val="14"/>
        <color indexed="9"/>
        <rFont val="Courier New"/>
        <family val="3"/>
      </rPr>
      <t>Water Balance</t>
    </r>
  </si>
  <si>
    <r>
      <t xml:space="preserve"> AWWA WLCC Free Water Audit Software: </t>
    </r>
    <r>
      <rPr>
        <b/>
        <u/>
        <sz val="15"/>
        <color indexed="9"/>
        <rFont val="Courier New"/>
        <family val="3"/>
      </rPr>
      <t>Grading Matrix</t>
    </r>
  </si>
  <si>
    <r>
      <t xml:space="preserve"> AWWA WLCC Free Water Audit Software: </t>
    </r>
    <r>
      <rPr>
        <b/>
        <u/>
        <sz val="16"/>
        <color indexed="9"/>
        <rFont val="Courier New"/>
        <family val="3"/>
      </rPr>
      <t>Definitions</t>
    </r>
  </si>
  <si>
    <r>
      <t xml:space="preserve"> AWWA WLCC Free Water Audit Software: </t>
    </r>
    <r>
      <rPr>
        <b/>
        <u/>
        <sz val="14"/>
        <color indexed="9"/>
        <rFont val="Courier New"/>
        <family val="3"/>
      </rPr>
      <t>Determining Water Loss Standing</t>
    </r>
  </si>
  <si>
    <t>Philadelphia Water Department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</si>
  <si>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</si>
  <si>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</si>
  <si>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</si>
  <si>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</si>
  <si>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</si>
  <si>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</si>
  <si>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</si>
  <si>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</si>
  <si>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The volume of treated water input to system from own production facilities</t>
  </si>
  <si>
    <t>=number of connections / length of mains</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</si>
  <si>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</si>
  <si>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</si>
  <si>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</si>
  <si>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</si>
  <si>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</si>
  <si>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</si>
  <si>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</si>
  <si>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</si>
  <si>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</si>
  <si>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r>
      <t xml:space="preserve">Gradings 1-9 apply if customer properties are </t>
    </r>
    <r>
      <rPr>
        <b/>
        <sz val="8"/>
        <rFont val="Arial"/>
        <family val="2"/>
      </rPr>
      <t>unmetered</t>
    </r>
    <r>
      <rPr>
        <sz val="8"/>
        <rFont val="Arial"/>
        <family val="2"/>
      </rPr>
      <t>, if customer meters exist and are located</t>
    </r>
    <r>
      <rPr>
        <b/>
        <sz val="8"/>
        <rFont val="Arial"/>
        <family val="2"/>
      </rPr>
      <t xml:space="preserve"> inside the customer building premises, or if the water utility owns and is responsible for the entire service connection piping from the water main to the customer building</t>
    </r>
    <r>
      <rPr>
        <sz val="8"/>
        <rFont val="Arial"/>
        <family val="2"/>
      </rPr>
      <t>.  In any of these cases the average distance between the curbstop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</si>
  <si>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Conduct routine audit of global statistics. </t>
    </r>
  </si>
  <si>
    <r>
      <t>to qualify for 8</t>
    </r>
    <r>
      <rPr>
        <sz val="8"/>
        <rFont val="Arial"/>
        <family val="2"/>
      </rPr>
      <t xml:space="preserve">:
Purchase and install meters on unmetered accounts.  Assess cost-effectiveness of Automatic Meter Reading (AMR) system for portion or entire system; or achieve ongoing improvements in manual meter reading success rate. Refine meter accuracy testing program.  Set meter replacement goals based upon accuracy test results.  Refine routine auditing procedures based upon third party guidance. </t>
    </r>
  </si>
  <si>
    <r>
      <t>to maintain 10</t>
    </r>
    <r>
      <rPr>
        <sz val="8"/>
        <rFont val="Arial"/>
        <family val="2"/>
      </rPr>
      <t>:
Regular internal and third party auditing, and meter accuracy testing ensures that accurate customer meter readings are obtained and entered as the basis for volume based billing.  Stay abreast of improvements in Advanced Metering Infrastructure (AMI) and information management.  Plan and budget for justified upgrades in metering, meter reading and billing data management.</t>
    </r>
  </si>
  <si>
    <t>Superior reliability, capacity and integrity of the water supply infrastructure make it relatively immune to supply shortages.</t>
  </si>
  <si>
    <t>Water utility policy does not require customer metering; flat or fixed fee billed.  No data collected on customer consumption.  Only estimates available are derived from data estimation methods using average fixture count multiplied by number of connections, or similar approach.</t>
  </si>
  <si>
    <t xml:space="preserve">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</si>
  <si>
    <r>
      <t>to qualify for 2</t>
    </r>
    <r>
      <rPr>
        <sz val="8"/>
        <rFont val="Arial"/>
        <family val="2"/>
      </rPr>
      <t>: 
Investigate a new water utility policy to require metering of the customer population, and a reduction of unmetered accounts.  Conduct pilot metering project by installing water meters in small sample of customer accounts and datalogging the water consumption.</t>
    </r>
  </si>
  <si>
    <t>Clear policies and good recordkeeping exist for certain events (ex: tampering with water meters); other occurrences have limited oversight.  Total consumption is a combination of volumes from formulae (time x typical flow) and subjective estimates of unconfirmed consumption.</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</si>
  <si>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</si>
  <si>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</si>
  <si>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</si>
  <si>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</si>
  <si>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</si>
  <si>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</si>
  <si>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</si>
  <si>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General Guidelines for Setting a Target ILI                                                           (without doing a full economic analysis of leakage control options)</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</si>
  <si>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</si>
  <si>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</si>
  <si>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AWWA Water Loss Control Committee (WLCC) Free Water Audit Software v4.2 </t>
  </si>
  <si>
    <t>AWWA Water Audit Software  Version 4.2 Developed by the Water Loss Control Committee of the American Water Works Association   May 2010</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</si>
  <si>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</si>
  <si>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</si>
  <si>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</si>
  <si>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t>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</si>
  <si>
    <t>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</si>
  <si>
    <t>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</si>
  <si>
    <t xml:space="preserve">At least 75% of imported water sources are metered, meter accuracy testing and/or electronic calibration conducted annually.  Less than 25% of tested meters are found outside of +/- 6% accuracy.  </t>
  </si>
  <si>
    <r>
      <t xml:space="preserve">The UARL is a theoretical reference value representing the technical low limit of leakage that could be achieved if all of today's best technology could be successfully applied.  It is a key variable in the calculation of the Infrastructure Leakage Index (ILI).  It is not necessary that water utilities set this level as the target level of leakage, unless water is unusually expensive, scarce or both.
NOTE: The UARL calculation has not yet been fully proven as effective for very small, or low pressure water distribution systems.  If,
</t>
    </r>
    <r>
      <rPr>
        <u/>
        <sz val="9"/>
        <rFont val="Courier New"/>
        <family val="3"/>
      </rPr>
      <t>in gallons per day:</t>
    </r>
    <r>
      <rPr>
        <sz val="9"/>
        <rFont val="Courier New"/>
        <family val="3"/>
      </rPr>
      <t xml:space="preserve">
(Lm x 32) + Nc &lt; 3000 or
P &lt;35psi
</t>
    </r>
    <r>
      <rPr>
        <u/>
        <sz val="9"/>
        <rFont val="Courier New"/>
        <family val="3"/>
      </rPr>
      <t>in litres per day:</t>
    </r>
    <r>
      <rPr>
        <sz val="9"/>
        <rFont val="Courier New"/>
        <family val="3"/>
      </rPr>
      <t xml:space="preserve">
(Lm x 20) + Nc &lt; 3000 or
P &lt; 25m
then the calculated UARL value may not be valid.  The software does not display a value of UARL or ILI if either of these conditions is true.</t>
    </r>
  </si>
  <si>
    <t>50% - 75% of imported water sources are metered, other sources estimated.  Occasional meter accuracy testing</t>
  </si>
  <si>
    <r>
      <t>to qualify for 6</t>
    </r>
    <r>
      <rPr>
        <sz val="8"/>
        <rFont val="Arial"/>
        <family val="2"/>
      </rPr>
      <t>:
Finalize updates/improvements to policy and procedures for permitting/commissioning new main installations.  Confirm inventory of records for five years prior to audit year; correct any errors or omissions.</t>
    </r>
  </si>
  <si>
    <r>
      <t>to qualify for 8</t>
    </r>
    <r>
      <rPr>
        <sz val="8"/>
        <rFont val="Arial"/>
        <family val="2"/>
      </rPr>
      <t>:
Launch random field checks of limited number of locations.  Convert to electronic databases with backup as justified.</t>
    </r>
  </si>
  <si>
    <r>
      <t>to qualify for 10</t>
    </r>
    <r>
      <rPr>
        <sz val="8"/>
        <rFont val="Arial"/>
        <family val="2"/>
      </rPr>
      <t>:
Link Geographic Information System (GIS) and asset management databases, conduct field verification of data.</t>
    </r>
  </si>
  <si>
    <r>
      <t>to maintain 10</t>
    </r>
    <r>
      <rPr>
        <sz val="8"/>
        <rFont val="Arial"/>
        <family val="2"/>
      </rPr>
      <t>:
Continue with standardization and random field validation to improve knowledge of system.</t>
    </r>
  </si>
  <si>
    <r>
      <t>to qualify for 2</t>
    </r>
    <r>
      <rPr>
        <sz val="8"/>
        <rFont val="Arial"/>
        <family val="2"/>
      </rPr>
      <t>:
Draft new policy and procedures for permitting and billing.  Research and collect paper records of installations &amp; abandonments for several years prior to audit year.</t>
    </r>
  </si>
  <si>
    <r>
      <t>to qualify for 8</t>
    </r>
    <r>
      <rPr>
        <sz val="8"/>
        <rFont val="Arial"/>
        <family val="2"/>
      </rPr>
      <t xml:space="preserve">:
Formalize regular review of permitting policy and procedures.  Launch random field checks of limited number of locations.  Develop reports and auditing mechanisms for computerized information management system. </t>
    </r>
  </si>
  <si>
    <t>= billed metered + billed unmetered + unbilled metered + unbilled unmetered
The volume of metered and/or unmetered water taken by registered customers, the water supplier and others who are implicitly or explicitly authorized to do so by the water supplier, for residential, commercial and industrial purposes. This does NOT include water sold to neighboring utilities (water exported).
Authorized consumption may include items such as fire fighting and training, flushing of mains and sewers, street cleaning, watering of municipal gardens, public fountains, frost protection, building water, etc.  These may be billed or unbilled, metered or unmetered.</t>
  </si>
  <si>
    <t>All billed consumption which is calculated based on estimates or norms but is not metered. This might be a very small component in fully metered systems (for example billing based on estimates for the period a customer meter is out of order) but can be the key consumption component in systems without universal metering. It does NOT include water sold to neighboring utilities (water exported) which is unmetered but billed.</t>
  </si>
  <si>
    <t>Metered Consumption which is for any reason unbilled. This might for example include metered consumption of the utility itself or water provided to institutions free of charge. It does NOT include water sold to neighboring utilities (water exported) which is metered but unbilled.</t>
  </si>
  <si>
    <t xml:space="preserve">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</si>
  <si>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</si>
  <si>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Any kind of Authorized Consumption which is neither billed nor metered. This component typically includes items such as fire fighting, flushing of mains and sewers, street cleaning, frost protection, etc.  In most water utilities it is a small component which is very often substantially overestimated. It does NOT include water sold to neighboring utilities (water exported) which is unmetered and unbilled – an unlikely case.  This component has many sub-components of water use which are often tedious to identify and quantify.  Because of this, and the fact that it is usually a small portion of the water supplied, it is recommended that the auditor apply the default value of 1.25% of the volume from own sources.  Select the default percentage to enter this value.  If the water utility already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</si>
  <si>
    <t>over-registered</t>
  </si>
  <si>
    <t>Click here:    for help about units and conversions</t>
  </si>
  <si>
    <t>Megalitres (thousand cubic metres)</t>
  </si>
  <si>
    <t>Acre-feet</t>
  </si>
  <si>
    <t>Million gallons (US)</t>
  </si>
  <si>
    <t>Units and Conversions</t>
  </si>
  <si>
    <r>
      <t>to qualify for 2</t>
    </r>
    <r>
      <rPr>
        <sz val="8"/>
        <rFont val="Arial"/>
        <family val="2"/>
      </rPr>
      <t>:
Gather available records, institute new procedures to regularly collect and audit basic cost data and most important operations functions.</t>
    </r>
  </si>
  <si>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</si>
  <si>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</si>
  <si>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</si>
  <si>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</si>
  <si>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</si>
  <si>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 xml:space="preserve">100% of imported water sources are metered, meter accuracy testing and/or electronic calibration conducted semi-annually, with less than 10% found outside of +/- 3% accuracy.     </t>
  </si>
  <si>
    <t>50% - 75% of exported water sources are metered, other sources estimated.  Occasional meter accuracy testing</t>
  </si>
  <si>
    <t xml:space="preserve">100% of exported water sources are metered, meter accuracy testing and/or electronic calibration conducted semi-annually, with less than 10% found outside of +/- 3% accuracy.     </t>
  </si>
  <si>
    <t xml:space="preserve">Permitting policy and procedures reviewed at least biannually.  Well-managed computerized information management system and routine, periodic field checks and internal system audits allows counts of connections that is no more than 2% in error. </t>
  </si>
  <si>
    <r>
      <t xml:space="preserve">to qualify for 2:
</t>
    </r>
    <r>
      <rPr>
        <sz val="8"/>
        <rFont val="Arial"/>
        <family val="2"/>
      </rPr>
      <t>Organize efforts to begin to collect data for determining volume from own sources</t>
    </r>
  </si>
  <si>
    <r>
      <t xml:space="preserve">to qualify for 4:
</t>
    </r>
    <r>
      <rPr>
        <sz val="8"/>
        <rFont val="Arial"/>
        <family val="2"/>
      </rPr>
      <t>Locate all water production sources on maps and in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</si>
  <si>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Complete installation of meters on unmetered water production sources and complete replacement of all obsolete/defective meters.</t>
    </r>
  </si>
  <si>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</si>
  <si>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</si>
  <si>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</si>
  <si>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</si>
  <si>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</si>
  <si>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</si>
  <si>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</si>
  <si>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 xml:space="preserve">     1: Volume from own sources</t>
  </si>
  <si>
    <t>All volumes to be entered as: MILLION GALLONS (US) PER YEAR</t>
  </si>
  <si>
    <t>Million gallons (US)/yr (MG/Yr)</t>
  </si>
  <si>
    <t>MG/Yr</t>
  </si>
  <si>
    <t>miles</t>
  </si>
  <si>
    <t>conn./mile main</t>
  </si>
  <si>
    <t>ft</t>
  </si>
  <si>
    <t>psi</t>
  </si>
  <si>
    <t>$/Million gallons</t>
  </si>
  <si>
    <t>gallons/connection/day</t>
  </si>
  <si>
    <t>Real Losses per service connection per day per psi pressure:</t>
  </si>
  <si>
    <t>gallons/connection/day/psi</t>
  </si>
  <si>
    <t>million gallons/year</t>
  </si>
  <si>
    <t>Non-revenue water as percent by cost of operating system:</t>
  </si>
  <si>
    <t>Non-revenue water as percent by volume of Water Supplied:</t>
  </si>
  <si>
    <t>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</si>
  <si>
    <t>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</si>
  <si>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</si>
  <si>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</si>
  <si>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</si>
  <si>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</si>
  <si>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Continue installation of meters on unmetered exported water interconnections and replacement of obsolete/defective meters.</t>
    </r>
  </si>
  <si>
    <r>
      <t xml:space="preserve">to qualify for 2:
</t>
    </r>
    <r>
      <rPr>
        <sz val="8"/>
        <rFont val="Arial"/>
        <family val="2"/>
      </rPr>
      <t xml:space="preserve">Review bulk water sales agreements with partner suppliers;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</si>
  <si>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</si>
  <si>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</si>
  <si>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6</t>
    </r>
    <r>
      <rPr>
        <sz val="8"/>
        <rFont val="Arial"/>
        <family val="2"/>
      </rPr>
      <t>:
Budget for staff resources to review billing records to identify unmetered properties.  Specify metering needs and funding requirements to install sufficient meters to significant reduce the number of unmetered accounts</t>
    </r>
  </si>
  <si>
    <r>
      <t>to maintain 10</t>
    </r>
    <r>
      <rPr>
        <sz val="8"/>
        <rFont val="Arial"/>
        <family val="2"/>
      </rPr>
      <t>: 
Continue to refine estimation methods for unmetered consumption and explore means to establish metering, for as many billed unmetered accounts as is economically feasible.</t>
    </r>
  </si>
  <si>
    <r>
      <t>to maintain 10</t>
    </r>
    <r>
      <rPr>
        <sz val="8"/>
        <rFont val="Arial"/>
        <family val="2"/>
      </rPr>
      <t xml:space="preserve">:  
Continue to refine the hydraulic model of the distribution system and consider linking it with SCADA System for real-time pressure data calibration, and averaging.      </t>
    </r>
  </si>
  <si>
    <t>n/a</t>
  </si>
  <si>
    <t>Note: if customer water meters are located outside of the customer building next to the curbstop or boundary separating utility/customer responsibility, follow the grading description for 10(a). Also see the Service Connection Diagram worksheet.</t>
  </si>
  <si>
    <t>Real Losses (Current Annual Real Losses or CARL)</t>
  </si>
  <si>
    <t>Infrastructure Leakage Index (ILI) [CARL/UARL]:</t>
  </si>
  <si>
    <t>From Above, Real Losses = Current Annual Real Losses (CARL):</t>
  </si>
  <si>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</si>
  <si>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</si>
  <si>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documentation and enforcement efforts.  </t>
    </r>
  </si>
  <si>
    <r>
      <t>to qualify for 6</t>
    </r>
    <r>
      <rPr>
        <sz val="8"/>
        <rFont val="Arial"/>
        <family val="2"/>
      </rPr>
      <t>:
Standardize procedures for meter recordkeeping with the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</si>
  <si>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</si>
  <si>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</si>
  <si>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t xml:space="preserve">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</si>
  <si>
    <t>Continuous production meter data logged automatically &amp; reviewed daily.  Data adjusted to correct gross error from equipment malfunction &amp; results of meter accuracy testing.  Tank/storage facility elevation changes are automatically used in "Volume from own sources" tabulations.</t>
  </si>
  <si>
    <r>
      <t>to qualify for 8</t>
    </r>
    <r>
      <rPr>
        <sz val="8"/>
        <rFont val="Arial"/>
        <family val="2"/>
      </rPr>
      <t xml:space="preserve">:
Complete installation of elevation instrumentation on all tanks/storage facilities.  Continue to use daily net storage change in calculating balanced "Volume from own sources" component.  Adjust production meter data for gross error and inaccuracy confirmed by testing. </t>
    </r>
  </si>
  <si>
    <t>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</si>
  <si>
    <t>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</si>
  <si>
    <t>Armen Galasso</t>
  </si>
  <si>
    <t>D-89-93 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</si>
</sst>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5" formatCode="_(* #,##0_);_(* \(#,##0\);_(* &quot;-&quot;??_);_(@_)"/>
    <numFmt numFmtId="216" formatCode="mm/yyyy"/>
  </numFmts>
  <fonts count="92" x14ac:knownFonts="1">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sz val="12"/>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u/>
      <sz val="9"/>
      <color indexed="9"/>
      <name val="Courier New"/>
      <family val="3"/>
    </font>
    <font>
      <sz val="9"/>
      <color indexed="12"/>
      <name val="Courier New"/>
      <family val="3"/>
    </font>
    <font>
      <u/>
      <sz val="9"/>
      <color indexed="12"/>
      <name val="Courier New"/>
      <family val="3"/>
    </font>
    <font>
      <b/>
      <i/>
      <sz val="13"/>
      <color indexed="53"/>
      <name val="Courier New"/>
      <family val="3"/>
    </font>
    <font>
      <i/>
      <u/>
      <sz val="9"/>
      <color indexed="10"/>
      <name val="Courier New"/>
      <family val="3"/>
    </font>
    <font>
      <b/>
      <sz val="12"/>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b/>
      <sz val="11"/>
      <color indexed="12"/>
      <name val="Courier New"/>
      <family val="3"/>
    </font>
    <font>
      <sz val="9"/>
      <name val="Arial"/>
      <family val="2"/>
    </font>
    <font>
      <b/>
      <sz val="12"/>
      <color indexed="9"/>
      <name val="Courier New"/>
      <family val="3"/>
    </font>
    <font>
      <sz val="10"/>
      <name val="Arial"/>
      <family val="2"/>
    </font>
    <font>
      <b/>
      <sz val="16"/>
      <color indexed="9"/>
      <name val="Courier New"/>
      <family val="3"/>
    </font>
    <font>
      <b/>
      <u/>
      <sz val="16"/>
      <color indexed="9"/>
      <name val="Courier New"/>
      <family val="3"/>
    </font>
    <font>
      <sz val="8"/>
      <name val="Arial"/>
      <family val="2"/>
    </font>
    <font>
      <b/>
      <sz val="11"/>
      <color indexed="9"/>
      <name val="Courier New"/>
      <family val="3"/>
    </font>
    <font>
      <sz val="10"/>
      <color indexed="22"/>
      <name val="Courier New"/>
      <family val="3"/>
    </font>
    <font>
      <b/>
      <sz val="14"/>
      <color indexed="9"/>
      <name val="Courier New"/>
      <family val="3"/>
    </font>
    <font>
      <b/>
      <sz val="14"/>
      <color indexed="9"/>
      <name val="Arial"/>
      <family val="2"/>
    </font>
    <font>
      <b/>
      <i/>
      <sz val="12"/>
      <color indexed="9"/>
      <name val="Courier New"/>
      <family val="3"/>
    </font>
    <font>
      <u/>
      <sz val="10"/>
      <color indexed="12"/>
      <name val="Courier New"/>
      <family val="3"/>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u/>
      <sz val="10"/>
      <color indexed="9"/>
      <name val="Courier New"/>
      <family val="3"/>
    </font>
    <font>
      <b/>
      <sz val="15"/>
      <color indexed="9"/>
      <name val="Courier New"/>
      <family val="3"/>
    </font>
    <font>
      <b/>
      <u/>
      <sz val="15"/>
      <color indexed="9"/>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b/>
      <i/>
      <sz val="13"/>
      <color indexed="10"/>
      <name val="Courier New"/>
      <family val="3"/>
    </font>
    <font>
      <b/>
      <i/>
      <sz val="13"/>
      <color indexed="8"/>
      <name val="Courier New"/>
      <family val="3"/>
    </font>
    <font>
      <b/>
      <sz val="14"/>
      <color indexed="10"/>
      <name val="Courier New"/>
      <family val="3"/>
    </font>
    <font>
      <sz val="8"/>
      <color indexed="10"/>
      <name val="Tahoma"/>
      <family val="2"/>
    </font>
    <font>
      <sz val="8"/>
      <color indexed="17"/>
      <name val="Tahoma"/>
      <family val="2"/>
    </font>
    <font>
      <sz val="8"/>
      <name val="Arial"/>
      <family val="2"/>
    </font>
    <font>
      <sz val="10"/>
      <color indexed="9"/>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sz val="8"/>
      <color indexed="9"/>
      <name val="Courier New"/>
      <family val="3"/>
    </font>
    <font>
      <b/>
      <sz val="16"/>
      <name val="Arial"/>
      <family val="2"/>
    </font>
    <font>
      <b/>
      <sz val="12"/>
      <name val="Arial"/>
      <family val="2"/>
    </font>
    <font>
      <b/>
      <sz val="12"/>
      <name val="Arial"/>
      <family val="2"/>
    </font>
    <font>
      <i/>
      <sz val="10"/>
      <name val="Arial"/>
      <family val="2"/>
    </font>
    <font>
      <sz val="10"/>
      <name val="Arial"/>
      <family val="2"/>
    </font>
    <font>
      <sz val="10"/>
      <color indexed="22"/>
      <name val="Arial"/>
      <family val="2"/>
    </font>
    <font>
      <b/>
      <u/>
      <sz val="14"/>
      <color indexed="9"/>
      <name val="Courier New"/>
      <family val="3"/>
    </font>
    <font>
      <sz val="14"/>
      <color indexed="9"/>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u/>
      <sz val="8"/>
      <name val="Arial"/>
      <family val="2"/>
    </font>
    <font>
      <b/>
      <sz val="8"/>
      <color indexed="22"/>
      <name val="Courier New"/>
      <family val="3"/>
    </font>
    <font>
      <b/>
      <sz val="8"/>
      <color indexed="81"/>
      <name val="Tahoma"/>
      <family val="2"/>
    </font>
    <font>
      <b/>
      <i/>
      <vertAlign val="superscript"/>
      <sz val="12"/>
      <color indexed="9"/>
      <name val="Courier New"/>
      <family val="3"/>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2"/>
      <color indexed="9"/>
      <name val="Courier New"/>
      <family val="3"/>
    </font>
  </fonts>
  <fills count="1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8"/>
        <bgColor indexed="64"/>
      </patternFill>
    </fill>
    <fill>
      <patternFill patternType="solid">
        <fgColor indexed="22"/>
        <bgColor indexed="27"/>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22"/>
      </patternFill>
    </fill>
    <fill>
      <patternFill patternType="lightDown"/>
    </fill>
    <fill>
      <patternFill patternType="lightDown">
        <bgColor indexed="9"/>
      </patternFill>
    </fill>
    <fill>
      <patternFill patternType="solid">
        <fgColor indexed="65"/>
        <bgColor indexed="64"/>
      </patternFill>
    </fill>
    <fill>
      <patternFill patternType="solid">
        <fgColor indexed="23"/>
        <bgColor indexed="64"/>
      </patternFill>
    </fill>
  </fills>
  <borders count="120">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48"/>
      </right>
      <top/>
      <bottom/>
      <diagonal/>
    </border>
    <border>
      <left style="double">
        <color indexed="48"/>
      </left>
      <right/>
      <top/>
      <bottom/>
      <diagonal/>
    </border>
    <border>
      <left/>
      <right/>
      <top/>
      <bottom style="double">
        <color indexed="48"/>
      </bottom>
      <diagonal/>
    </border>
    <border>
      <left/>
      <right style="double">
        <color indexed="48"/>
      </right>
      <top/>
      <bottom style="double">
        <color indexed="48"/>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style="double">
        <color indexed="48"/>
      </left>
      <right style="thin">
        <color indexed="64"/>
      </right>
      <top/>
      <bottom/>
      <diagonal/>
    </border>
    <border>
      <left style="thin">
        <color indexed="64"/>
      </left>
      <right style="double">
        <color indexed="48"/>
      </right>
      <top/>
      <bottom/>
      <diagonal/>
    </border>
    <border>
      <left style="thin">
        <color indexed="64"/>
      </left>
      <right style="double">
        <color indexed="48"/>
      </right>
      <top/>
      <bottom style="thin">
        <color indexed="64"/>
      </bottom>
      <diagonal/>
    </border>
    <border>
      <left style="double">
        <color indexed="48"/>
      </left>
      <right style="thin">
        <color indexed="64"/>
      </right>
      <top/>
      <bottom style="double">
        <color indexed="48"/>
      </bottom>
      <diagonal/>
    </border>
    <border>
      <left style="thin">
        <color indexed="64"/>
      </left>
      <right style="thin">
        <color indexed="64"/>
      </right>
      <top/>
      <bottom style="double">
        <color indexed="48"/>
      </bottom>
      <diagonal/>
    </border>
    <border>
      <left style="thin">
        <color indexed="64"/>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double">
        <color indexed="48"/>
      </left>
      <right/>
      <top style="double">
        <color indexed="48"/>
      </top>
      <bottom/>
      <diagonal/>
    </border>
    <border>
      <left style="double">
        <color indexed="48"/>
      </left>
      <right/>
      <top/>
      <bottom style="double">
        <color indexed="48"/>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48"/>
      </right>
      <top/>
      <bottom/>
      <diagonal/>
    </border>
    <border>
      <left/>
      <right/>
      <top style="thin">
        <color indexed="48"/>
      </top>
      <bottom style="thin">
        <color indexed="4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double">
        <color indexed="48"/>
      </top>
      <bottom/>
      <diagonal/>
    </border>
    <border>
      <left/>
      <right style="double">
        <color indexed="48"/>
      </right>
      <top style="double">
        <color indexed="48"/>
      </top>
      <bottom/>
      <diagonal/>
    </border>
    <border>
      <left style="double">
        <color indexed="48"/>
      </left>
      <right/>
      <top/>
      <bottom style="medium">
        <color indexed="64"/>
      </bottom>
      <diagonal/>
    </border>
    <border>
      <left/>
      <right style="double">
        <color indexed="48"/>
      </right>
      <top/>
      <bottom style="medium">
        <color indexed="64"/>
      </bottom>
      <diagonal/>
    </border>
    <border>
      <left style="double">
        <color indexed="48"/>
      </left>
      <right style="thin">
        <color indexed="64"/>
      </right>
      <top style="thin">
        <color indexed="64"/>
      </top>
      <bottom/>
      <diagonal/>
    </border>
    <border>
      <left/>
      <right/>
      <top/>
      <bottom style="thin">
        <color indexed="48"/>
      </bottom>
      <diagonal/>
    </border>
    <border>
      <left style="thin">
        <color indexed="48"/>
      </left>
      <right/>
      <top/>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double">
        <color indexed="48"/>
      </left>
      <right style="thin">
        <color indexed="64"/>
      </right>
      <top style="medium">
        <color indexed="64"/>
      </top>
      <bottom/>
      <diagonal/>
    </border>
    <border>
      <left style="double">
        <color indexed="48"/>
      </left>
      <right style="thin">
        <color indexed="48"/>
      </right>
      <top style="thin">
        <color indexed="48"/>
      </top>
      <bottom style="double">
        <color indexed="48"/>
      </bottom>
      <diagonal/>
    </border>
    <border>
      <left style="double">
        <color indexed="48"/>
      </left>
      <right style="double">
        <color indexed="48"/>
      </right>
      <top style="thin">
        <color indexed="48"/>
      </top>
      <bottom style="double">
        <color indexed="48"/>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double">
        <color indexed="48"/>
      </right>
      <top style="medium">
        <color indexed="64"/>
      </top>
      <bottom/>
      <diagonal/>
    </border>
    <border>
      <left/>
      <right/>
      <top/>
      <bottom style="dotted">
        <color indexed="64"/>
      </bottom>
      <diagonal/>
    </border>
    <border>
      <left/>
      <right style="double">
        <color indexed="48"/>
      </right>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48"/>
      </left>
      <right style="thin">
        <color indexed="48"/>
      </right>
      <top/>
      <bottom style="thin">
        <color indexed="48"/>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10"/>
      </left>
      <right style="thin">
        <color indexed="10"/>
      </right>
      <top style="thin">
        <color indexed="10"/>
      </top>
      <bottom style="thin">
        <color indexed="1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double">
        <color indexed="48"/>
      </left>
      <right/>
      <top style="double">
        <color indexed="48"/>
      </top>
      <bottom style="double">
        <color indexed="48"/>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64"/>
      </left>
      <right style="double">
        <color indexed="48"/>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top style="thin">
        <color indexed="64"/>
      </top>
      <bottom style="thin">
        <color indexed="64"/>
      </bottom>
      <diagonal/>
    </border>
    <border>
      <left style="double">
        <color indexed="64"/>
      </left>
      <right/>
      <top style="double">
        <color indexed="64"/>
      </top>
      <bottom style="thin">
        <color indexed="64"/>
      </bottom>
      <diagonal/>
    </border>
    <border>
      <left style="double">
        <color indexed="64"/>
      </left>
      <right/>
      <top style="thin">
        <color indexed="64"/>
      </top>
      <bottom style="double">
        <color indexed="64"/>
      </bottom>
      <diagonal/>
    </border>
    <border>
      <left/>
      <right style="thin">
        <color indexed="64"/>
      </right>
      <top style="double">
        <color indexed="64"/>
      </top>
      <bottom style="thin">
        <color indexed="64"/>
      </bottom>
      <diagonal/>
    </border>
    <border>
      <left/>
      <right style="medium">
        <color indexed="64"/>
      </right>
      <top style="thin">
        <color indexed="64"/>
      </top>
      <bottom style="double">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47">
    <xf numFmtId="0" fontId="0" fillId="0" borderId="0" xfId="0"/>
    <xf numFmtId="0" fontId="5" fillId="0" borderId="0" xfId="0" applyFont="1"/>
    <xf numFmtId="0" fontId="5" fillId="2" borderId="0" xfId="0" applyFont="1" applyFill="1" applyBorder="1"/>
    <xf numFmtId="0" fontId="8"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8"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8" fillId="2" borderId="0" xfId="0" applyFont="1" applyFill="1" applyBorder="1" applyAlignment="1" applyProtection="1">
      <alignment horizontal="right"/>
    </xf>
    <xf numFmtId="0" fontId="8" fillId="2" borderId="1" xfId="0" applyFont="1" applyFill="1" applyBorder="1" applyAlignment="1" applyProtection="1">
      <alignment horizontal="left"/>
    </xf>
    <xf numFmtId="2" fontId="5" fillId="2" borderId="1" xfId="0" applyNumberFormat="1" applyFont="1" applyFill="1" applyBorder="1" applyProtection="1"/>
    <xf numFmtId="0" fontId="8"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8" fillId="2" borderId="0" xfId="0" applyNumberFormat="1" applyFont="1" applyFill="1" applyBorder="1" applyAlignment="1" applyProtection="1">
      <alignment horizontal="right"/>
    </xf>
    <xf numFmtId="2" fontId="8" fillId="2" borderId="1" xfId="0" applyNumberFormat="1" applyFont="1" applyFill="1" applyBorder="1" applyProtection="1"/>
    <xf numFmtId="2" fontId="8" fillId="2" borderId="0" xfId="0" applyNumberFormat="1" applyFont="1" applyFill="1" applyBorder="1" applyProtection="1"/>
    <xf numFmtId="0" fontId="5" fillId="0" borderId="0" xfId="0" applyFont="1" applyBorder="1" applyProtection="1"/>
    <xf numFmtId="0" fontId="5" fillId="0" borderId="0" xfId="0" applyFont="1" applyFill="1"/>
    <xf numFmtId="0" fontId="14" fillId="2" borderId="2" xfId="0" applyFont="1" applyFill="1" applyBorder="1" applyProtection="1"/>
    <xf numFmtId="0" fontId="14" fillId="2" borderId="3" xfId="0" applyFont="1" applyFill="1" applyBorder="1" applyProtection="1"/>
    <xf numFmtId="0" fontId="14" fillId="2" borderId="4" xfId="0" applyFont="1" applyFill="1" applyBorder="1" applyProtection="1"/>
    <xf numFmtId="0" fontId="14" fillId="2" borderId="0" xfId="0" applyFont="1" applyFill="1" applyBorder="1" applyProtection="1"/>
    <xf numFmtId="2" fontId="16" fillId="2" borderId="0" xfId="0" quotePrefix="1" applyNumberFormat="1" applyFont="1" applyFill="1" applyBorder="1" applyProtection="1"/>
    <xf numFmtId="0" fontId="14" fillId="2" borderId="0" xfId="0" quotePrefix="1" applyFont="1" applyFill="1" applyBorder="1" applyProtection="1"/>
    <xf numFmtId="0" fontId="5" fillId="0" borderId="0" xfId="0" applyFont="1" applyAlignment="1"/>
    <xf numFmtId="0" fontId="19" fillId="0" borderId="0" xfId="0" applyFont="1" applyFill="1"/>
    <xf numFmtId="0" fontId="18" fillId="2" borderId="0" xfId="0" applyFont="1" applyFill="1" applyBorder="1" applyAlignment="1">
      <alignment horizontal="left" vertical="center"/>
    </xf>
    <xf numFmtId="0" fontId="5" fillId="2" borderId="0" xfId="0" applyFont="1" applyFill="1" applyBorder="1" applyAlignment="1">
      <alignment vertical="center" wrapText="1"/>
    </xf>
    <xf numFmtId="0" fontId="5" fillId="2" borderId="5" xfId="0" applyFont="1" applyFill="1" applyBorder="1"/>
    <xf numFmtId="0" fontId="5" fillId="2" borderId="0" xfId="0" applyFont="1" applyFill="1" applyBorder="1" applyAlignment="1">
      <alignment horizontal="left" vertical="center"/>
    </xf>
    <xf numFmtId="0" fontId="0" fillId="2" borderId="6" xfId="0" applyFill="1" applyBorder="1" applyAlignment="1"/>
    <xf numFmtId="0" fontId="5" fillId="2" borderId="0" xfId="0" applyFont="1" applyFill="1" applyBorder="1" applyAlignment="1">
      <alignment horizontal="left"/>
    </xf>
    <xf numFmtId="0" fontId="5" fillId="2" borderId="7" xfId="0" applyFont="1" applyFill="1" applyBorder="1"/>
    <xf numFmtId="0" fontId="5" fillId="2" borderId="8" xfId="0" applyFont="1" applyFill="1" applyBorder="1"/>
    <xf numFmtId="4" fontId="5" fillId="2" borderId="0" xfId="0" applyNumberFormat="1" applyFont="1" applyFill="1" applyBorder="1" applyProtection="1"/>
    <xf numFmtId="3" fontId="5" fillId="2" borderId="0" xfId="0" applyNumberFormat="1" applyFont="1" applyFill="1" applyBorder="1" applyProtection="1"/>
    <xf numFmtId="2" fontId="5" fillId="3" borderId="9" xfId="0" applyNumberFormat="1" applyFont="1" applyFill="1" applyBorder="1" applyProtection="1"/>
    <xf numFmtId="0" fontId="8" fillId="2" borderId="10" xfId="0" applyFont="1" applyFill="1" applyBorder="1" applyProtection="1"/>
    <xf numFmtId="0" fontId="5" fillId="0" borderId="0" xfId="0" applyFont="1" applyFill="1" applyBorder="1" applyProtection="1"/>
    <xf numFmtId="0" fontId="5" fillId="2" borderId="5" xfId="0" applyFont="1" applyFill="1" applyBorder="1" applyAlignment="1">
      <alignment vertical="center"/>
    </xf>
    <xf numFmtId="0" fontId="15" fillId="2" borderId="11" xfId="2" applyFont="1" applyFill="1" applyBorder="1" applyAlignment="1" applyProtection="1">
      <alignment horizontal="center" vertical="center" wrapText="1" shrinkToFit="1"/>
    </xf>
    <xf numFmtId="0" fontId="10" fillId="2" borderId="12" xfId="0" applyFont="1" applyFill="1" applyBorder="1" applyAlignment="1" applyProtection="1">
      <alignment horizontal="center" vertical="center" wrapText="1" shrinkToFit="1"/>
    </xf>
    <xf numFmtId="0" fontId="10" fillId="2" borderId="13" xfId="0" applyFont="1" applyFill="1" applyBorder="1" applyAlignment="1" applyProtection="1">
      <alignment horizontal="center" vertical="center" wrapText="1" shrinkToFit="1"/>
    </xf>
    <xf numFmtId="0" fontId="14" fillId="2" borderId="11" xfId="2" applyFont="1" applyFill="1" applyBorder="1" applyAlignment="1" applyProtection="1">
      <alignment horizontal="center" vertical="center" wrapText="1" shrinkToFit="1"/>
    </xf>
    <xf numFmtId="0" fontId="15" fillId="2" borderId="14" xfId="2" applyFont="1" applyFill="1" applyBorder="1" applyAlignment="1" applyProtection="1">
      <alignment horizontal="center" vertical="center" wrapText="1" shrinkToFit="1"/>
    </xf>
    <xf numFmtId="0" fontId="14" fillId="2" borderId="15" xfId="0" applyFont="1" applyFill="1" applyBorder="1" applyProtection="1"/>
    <xf numFmtId="0" fontId="10" fillId="2" borderId="16" xfId="0" applyFont="1" applyFill="1" applyBorder="1" applyAlignment="1" applyProtection="1">
      <alignment horizontal="center" vertical="center" wrapText="1" shrinkToFit="1"/>
    </xf>
    <xf numFmtId="0" fontId="5" fillId="2" borderId="17" xfId="0" applyFont="1" applyFill="1" applyBorder="1" applyAlignment="1"/>
    <xf numFmtId="0" fontId="5" fillId="2" borderId="18" xfId="0" applyFont="1" applyFill="1" applyBorder="1" applyAlignment="1"/>
    <xf numFmtId="0" fontId="6" fillId="2" borderId="0" xfId="0" applyFont="1" applyFill="1" applyBorder="1" applyAlignment="1">
      <alignment horizontal="left" vertical="center"/>
    </xf>
    <xf numFmtId="0" fontId="0" fillId="2" borderId="0" xfId="0" applyFill="1" applyBorder="1" applyAlignment="1"/>
    <xf numFmtId="0" fontId="19" fillId="2" borderId="19" xfId="0" applyFont="1" applyFill="1" applyBorder="1"/>
    <xf numFmtId="0" fontId="19" fillId="2" borderId="6" xfId="0" applyFont="1" applyFill="1" applyBorder="1"/>
    <xf numFmtId="0" fontId="19" fillId="2" borderId="6" xfId="0" applyFont="1" applyFill="1" applyBorder="1" applyAlignment="1"/>
    <xf numFmtId="0" fontId="19" fillId="2" borderId="20" xfId="0" applyFont="1" applyFill="1" applyBorder="1"/>
    <xf numFmtId="0" fontId="5" fillId="2" borderId="5" xfId="0" applyFont="1" applyFill="1" applyBorder="1" applyAlignment="1"/>
    <xf numFmtId="0" fontId="25" fillId="2" borderId="0" xfId="0" applyFont="1" applyFill="1" applyBorder="1" applyAlignment="1">
      <alignment horizontal="left"/>
    </xf>
    <xf numFmtId="0" fontId="10" fillId="2" borderId="0" xfId="0" applyFont="1" applyFill="1" applyBorder="1" applyAlignment="1">
      <alignment horizontal="left"/>
    </xf>
    <xf numFmtId="0" fontId="10" fillId="2" borderId="0" xfId="0" applyFont="1" applyFill="1" applyBorder="1" applyAlignment="1">
      <alignment horizontal="left" vertical="center" wrapText="1"/>
    </xf>
    <xf numFmtId="0" fontId="2" fillId="4" borderId="21" xfId="2" applyFill="1" applyBorder="1" applyAlignment="1" applyProtection="1">
      <alignment horizontal="left" vertical="center"/>
    </xf>
    <xf numFmtId="0" fontId="18" fillId="4" borderId="21" xfId="0" applyFont="1" applyFill="1" applyBorder="1" applyAlignment="1">
      <alignment horizontal="left" vertical="center"/>
    </xf>
    <xf numFmtId="0" fontId="27" fillId="2" borderId="0" xfId="0" applyFont="1" applyFill="1" applyBorder="1" applyAlignment="1"/>
    <xf numFmtId="0" fontId="19" fillId="2" borderId="6" xfId="0" applyFont="1" applyFill="1" applyBorder="1" applyAlignment="1">
      <alignment vertical="center"/>
    </xf>
    <xf numFmtId="0" fontId="5" fillId="0" borderId="0" xfId="0" applyFont="1" applyAlignment="1">
      <alignment vertical="center"/>
    </xf>
    <xf numFmtId="0" fontId="19" fillId="5" borderId="22" xfId="0" applyFont="1" applyFill="1" applyBorder="1" applyAlignment="1">
      <alignment horizontal="left" vertical="center"/>
    </xf>
    <xf numFmtId="0" fontId="26" fillId="4" borderId="21" xfId="0" applyFont="1" applyFill="1" applyBorder="1" applyAlignment="1">
      <alignment horizontal="center" wrapText="1"/>
    </xf>
    <xf numFmtId="0" fontId="26" fillId="4" borderId="21" xfId="0" applyFont="1" applyFill="1" applyBorder="1" applyAlignment="1">
      <alignment horizontal="left" vertical="center"/>
    </xf>
    <xf numFmtId="0" fontId="26" fillId="4" borderId="21" xfId="0" applyFont="1" applyFill="1" applyBorder="1" applyAlignment="1">
      <alignment horizontal="left" vertical="center" wrapText="1"/>
    </xf>
    <xf numFmtId="0" fontId="31" fillId="5" borderId="21" xfId="0" applyFont="1" applyFill="1" applyBorder="1" applyAlignment="1">
      <alignment horizontal="center" wrapText="1"/>
    </xf>
    <xf numFmtId="0" fontId="19" fillId="5" borderId="21" xfId="0" applyFont="1" applyFill="1" applyBorder="1" applyAlignment="1">
      <alignment horizontal="left" vertical="center"/>
    </xf>
    <xf numFmtId="0" fontId="19" fillId="5" borderId="21" xfId="0" applyFont="1" applyFill="1" applyBorder="1" applyAlignment="1">
      <alignment horizontal="left" vertical="center" wrapText="1"/>
    </xf>
    <xf numFmtId="0" fontId="14" fillId="2" borderId="0"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4" fillId="2" borderId="4" xfId="0" applyFont="1" applyFill="1" applyBorder="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center" vertical="center" wrapText="1"/>
    </xf>
    <xf numFmtId="2" fontId="5" fillId="2" borderId="0" xfId="0" applyNumberFormat="1" applyFont="1" applyFill="1" applyBorder="1" applyProtection="1">
      <protection hidden="1"/>
    </xf>
    <xf numFmtId="0" fontId="32" fillId="2" borderId="0" xfId="0" applyFont="1" applyFill="1" applyBorder="1" applyAlignment="1" applyProtection="1">
      <alignment horizontal="left"/>
    </xf>
    <xf numFmtId="175" fontId="5" fillId="3" borderId="9" xfId="0" applyNumberFormat="1" applyFont="1" applyFill="1" applyBorder="1" applyProtection="1"/>
    <xf numFmtId="0" fontId="5" fillId="2" borderId="23" xfId="0" applyFont="1" applyFill="1" applyBorder="1" applyProtection="1"/>
    <xf numFmtId="0" fontId="8" fillId="2" borderId="24" xfId="0" applyFont="1" applyFill="1" applyBorder="1" applyAlignment="1" applyProtection="1">
      <alignment horizontal="left"/>
    </xf>
    <xf numFmtId="2" fontId="8" fillId="2" borderId="24" xfId="0" applyNumberFormat="1" applyFont="1" applyFill="1" applyBorder="1" applyProtection="1"/>
    <xf numFmtId="0" fontId="35" fillId="5" borderId="0" xfId="0" applyFont="1" applyFill="1" applyBorder="1"/>
    <xf numFmtId="0" fontId="26" fillId="5" borderId="0" xfId="0" applyFont="1" applyFill="1" applyBorder="1"/>
    <xf numFmtId="0" fontId="5" fillId="5" borderId="0" xfId="0" applyFont="1" applyFill="1" applyBorder="1"/>
    <xf numFmtId="0" fontId="35" fillId="5" borderId="25" xfId="0" applyFont="1" applyFill="1" applyBorder="1"/>
    <xf numFmtId="0" fontId="35" fillId="5" borderId="26" xfId="0" applyFont="1" applyFill="1" applyBorder="1"/>
    <xf numFmtId="0" fontId="26" fillId="5" borderId="26" xfId="0" applyFont="1" applyFill="1" applyBorder="1"/>
    <xf numFmtId="0" fontId="5" fillId="5" borderId="26" xfId="0" applyFont="1" applyFill="1" applyBorder="1"/>
    <xf numFmtId="0" fontId="35" fillId="5" borderId="27" xfId="0" applyFont="1" applyFill="1" applyBorder="1"/>
    <xf numFmtId="0" fontId="5" fillId="5" borderId="27" xfId="0" applyFont="1" applyFill="1" applyBorder="1"/>
    <xf numFmtId="17" fontId="26" fillId="5" borderId="28" xfId="0" applyNumberFormat="1" applyFont="1" applyFill="1" applyBorder="1"/>
    <xf numFmtId="0" fontId="35" fillId="5" borderId="29" xfId="0" applyFont="1" applyFill="1" applyBorder="1"/>
    <xf numFmtId="0" fontId="26" fillId="5" borderId="29" xfId="0" applyFont="1" applyFill="1" applyBorder="1"/>
    <xf numFmtId="0" fontId="5" fillId="5" borderId="29" xfId="0" applyFont="1" applyFill="1" applyBorder="1"/>
    <xf numFmtId="0" fontId="35" fillId="5" borderId="25" xfId="0" applyFont="1" applyFill="1" applyBorder="1" applyAlignment="1">
      <alignment vertical="top"/>
    </xf>
    <xf numFmtId="0" fontId="26" fillId="5" borderId="28" xfId="0" applyFont="1" applyFill="1" applyBorder="1"/>
    <xf numFmtId="0" fontId="8" fillId="2" borderId="22" xfId="0" applyFont="1" applyFill="1" applyBorder="1" applyAlignment="1">
      <alignment horizontal="center" vertical="center"/>
    </xf>
    <xf numFmtId="0" fontId="33" fillId="2" borderId="0" xfId="0" applyFont="1" applyFill="1" applyBorder="1" applyAlignment="1">
      <alignment horizontal="left" wrapText="1"/>
    </xf>
    <xf numFmtId="3" fontId="5" fillId="4" borderId="9" xfId="0" applyNumberFormat="1" applyFont="1" applyFill="1" applyBorder="1" applyProtection="1">
      <protection locked="0"/>
    </xf>
    <xf numFmtId="0" fontId="26" fillId="4" borderId="22" xfId="0" applyFont="1" applyFill="1" applyBorder="1" applyAlignment="1">
      <alignment horizontal="left" vertical="center"/>
    </xf>
    <xf numFmtId="0" fontId="5" fillId="4" borderId="0" xfId="0" applyFont="1" applyFill="1" applyAlignment="1">
      <alignment horizontal="left"/>
    </xf>
    <xf numFmtId="0" fontId="5" fillId="4" borderId="0" xfId="0" applyFont="1" applyFill="1" applyAlignment="1">
      <alignment horizontal="left" vertical="center"/>
    </xf>
    <xf numFmtId="0" fontId="5" fillId="0" borderId="0" xfId="0" applyFont="1" applyProtection="1"/>
    <xf numFmtId="0" fontId="24" fillId="6" borderId="30" xfId="0" applyFont="1" applyFill="1" applyBorder="1" applyAlignment="1" applyProtection="1">
      <alignment horizontal="center" wrapText="1"/>
    </xf>
    <xf numFmtId="0" fontId="24" fillId="2" borderId="31" xfId="0" applyFont="1" applyFill="1" applyBorder="1" applyAlignment="1" applyProtection="1">
      <alignment horizontal="center"/>
    </xf>
    <xf numFmtId="0" fontId="10" fillId="0" borderId="0" xfId="0" applyFont="1" applyProtection="1"/>
    <xf numFmtId="0" fontId="11" fillId="2" borderId="32" xfId="0" applyFont="1" applyFill="1" applyBorder="1" applyProtection="1"/>
    <xf numFmtId="0" fontId="10" fillId="2" borderId="29" xfId="0" applyFont="1" applyFill="1" applyBorder="1" applyProtection="1"/>
    <xf numFmtId="0" fontId="12" fillId="2" borderId="29" xfId="0" applyFont="1" applyFill="1" applyBorder="1" applyAlignment="1" applyProtection="1">
      <alignment horizontal="center"/>
    </xf>
    <xf numFmtId="0" fontId="10" fillId="2" borderId="33" xfId="0" applyFont="1" applyFill="1" applyBorder="1" applyProtection="1"/>
    <xf numFmtId="0" fontId="10" fillId="0" borderId="0" xfId="0" applyFont="1" applyFill="1" applyProtection="1"/>
    <xf numFmtId="0" fontId="5" fillId="0" borderId="0" xfId="0" applyFont="1" applyFill="1" applyProtection="1"/>
    <xf numFmtId="0" fontId="17" fillId="0" borderId="0" xfId="2" applyFont="1" applyAlignment="1" applyProtection="1"/>
    <xf numFmtId="0" fontId="38" fillId="2" borderId="29" xfId="0" applyFont="1" applyFill="1" applyBorder="1" applyProtection="1"/>
    <xf numFmtId="4" fontId="5" fillId="3" borderId="9" xfId="0" applyNumberFormat="1" applyFont="1" applyFill="1" applyBorder="1" applyProtection="1"/>
    <xf numFmtId="1" fontId="5" fillId="3" borderId="9" xfId="0" applyNumberFormat="1" applyFont="1" applyFill="1" applyBorder="1" applyProtection="1"/>
    <xf numFmtId="174" fontId="5" fillId="2" borderId="0" xfId="0" applyNumberFormat="1" applyFont="1" applyFill="1" applyBorder="1" applyProtection="1"/>
    <xf numFmtId="174" fontId="5" fillId="3" borderId="9" xfId="0" applyNumberFormat="1" applyFont="1" applyFill="1" applyBorder="1" applyProtection="1"/>
    <xf numFmtId="0" fontId="32" fillId="2" borderId="0" xfId="0" applyFont="1" applyFill="1" applyBorder="1" applyProtection="1"/>
    <xf numFmtId="0" fontId="11" fillId="2" borderId="29" xfId="0" applyFont="1" applyFill="1" applyBorder="1" applyProtection="1"/>
    <xf numFmtId="0" fontId="14" fillId="2" borderId="34" xfId="2" applyFont="1" applyFill="1" applyBorder="1" applyAlignment="1" applyProtection="1">
      <alignment horizontal="center" vertical="center" wrapText="1" shrinkToFit="1"/>
    </xf>
    <xf numFmtId="0" fontId="14" fillId="2" borderId="1" xfId="0" applyFont="1" applyFill="1" applyBorder="1" applyProtection="1"/>
    <xf numFmtId="0" fontId="14" fillId="2" borderId="7" xfId="0" applyFont="1" applyFill="1" applyBorder="1" applyProtection="1"/>
    <xf numFmtId="0" fontId="15" fillId="2" borderId="4" xfId="2" applyFont="1" applyFill="1" applyBorder="1" applyAlignment="1" applyProtection="1">
      <alignment horizontal="center" vertical="center" wrapText="1" shrinkToFit="1"/>
    </xf>
    <xf numFmtId="2" fontId="16" fillId="2" borderId="4" xfId="0" quotePrefix="1" applyNumberFormat="1" applyFont="1" applyFill="1" applyBorder="1" applyAlignment="1" applyProtection="1">
      <alignment horizontal="center"/>
    </xf>
    <xf numFmtId="0" fontId="14" fillId="2" borderId="4" xfId="2" applyFont="1" applyFill="1" applyBorder="1" applyAlignment="1" applyProtection="1">
      <alignment horizontal="center" vertical="center" wrapText="1" shrinkToFit="1"/>
    </xf>
    <xf numFmtId="0" fontId="15" fillId="2" borderId="15" xfId="2" applyFont="1" applyFill="1" applyBorder="1" applyAlignment="1" applyProtection="1">
      <alignment horizontal="center" vertical="center" wrapText="1" shrinkToFit="1"/>
    </xf>
    <xf numFmtId="2" fontId="5" fillId="2" borderId="35" xfId="0" applyNumberFormat="1" applyFont="1" applyFill="1" applyBorder="1" applyProtection="1">
      <protection hidden="1"/>
    </xf>
    <xf numFmtId="0" fontId="19" fillId="5" borderId="22" xfId="0" applyFont="1" applyFill="1" applyBorder="1" applyAlignment="1">
      <alignment horizontal="left" vertical="center" wrapText="1"/>
    </xf>
    <xf numFmtId="49" fontId="41" fillId="2" borderId="0" xfId="0" applyNumberFormat="1" applyFont="1" applyFill="1" applyBorder="1" applyAlignment="1" applyProtection="1">
      <alignment horizontal="right"/>
    </xf>
    <xf numFmtId="0" fontId="9" fillId="2" borderId="0" xfId="0" applyFont="1" applyFill="1" applyBorder="1" applyAlignment="1" applyProtection="1">
      <alignment wrapText="1"/>
    </xf>
    <xf numFmtId="0" fontId="5" fillId="4" borderId="0" xfId="0" applyFont="1" applyFill="1" applyProtection="1"/>
    <xf numFmtId="0" fontId="5" fillId="4" borderId="0" xfId="0" applyFont="1" applyFill="1" applyAlignment="1" applyProtection="1">
      <alignment horizontal="center" vertical="center"/>
    </xf>
    <xf numFmtId="0" fontId="5" fillId="0" borderId="0" xfId="0" applyFont="1" applyAlignment="1" applyProtection="1">
      <alignment horizontal="center" vertical="center"/>
    </xf>
    <xf numFmtId="0" fontId="5" fillId="2" borderId="6" xfId="0" applyFont="1" applyFill="1" applyBorder="1" applyProtection="1"/>
    <xf numFmtId="0" fontId="5" fillId="2" borderId="5" xfId="0" applyFont="1" applyFill="1" applyBorder="1" applyProtection="1"/>
    <xf numFmtId="0" fontId="5" fillId="2" borderId="6" xfId="0" applyFont="1" applyFill="1" applyBorder="1" applyAlignment="1" applyProtection="1"/>
    <xf numFmtId="0" fontId="0" fillId="2" borderId="5" xfId="0" applyFill="1" applyBorder="1" applyAlignment="1" applyProtection="1"/>
    <xf numFmtId="0" fontId="0" fillId="2" borderId="6" xfId="0" applyFill="1" applyBorder="1" applyAlignment="1" applyProtection="1"/>
    <xf numFmtId="0" fontId="5" fillId="2" borderId="5" xfId="0" applyFont="1" applyFill="1" applyBorder="1" applyAlignment="1" applyProtection="1">
      <alignment wrapText="1"/>
    </xf>
    <xf numFmtId="0" fontId="5" fillId="2" borderId="6" xfId="0" applyFont="1" applyFill="1" applyBorder="1" applyAlignment="1" applyProtection="1">
      <alignment wrapText="1"/>
    </xf>
    <xf numFmtId="0" fontId="36" fillId="2" borderId="0" xfId="0" applyFont="1" applyFill="1" applyBorder="1" applyAlignment="1" applyProtection="1">
      <alignment horizontal="left"/>
    </xf>
    <xf numFmtId="0" fontId="5" fillId="4" borderId="9" xfId="0" applyFont="1" applyFill="1" applyBorder="1" applyProtection="1"/>
    <xf numFmtId="0" fontId="21" fillId="2" borderId="0" xfId="0" applyFont="1" applyFill="1" applyBorder="1" applyAlignment="1" applyProtection="1">
      <alignment horizontal="left"/>
    </xf>
    <xf numFmtId="0" fontId="5" fillId="2" borderId="24" xfId="0" applyFont="1" applyFill="1" applyBorder="1" applyProtection="1"/>
    <xf numFmtId="0" fontId="5" fillId="3" borderId="9" xfId="0" applyFont="1" applyFill="1" applyBorder="1" applyProtection="1"/>
    <xf numFmtId="0" fontId="20" fillId="2" borderId="0" xfId="0" applyFont="1" applyFill="1" applyBorder="1" applyAlignment="1" applyProtection="1">
      <alignment vertical="center"/>
    </xf>
    <xf numFmtId="0" fontId="21" fillId="2" borderId="0" xfId="0" applyFont="1" applyFill="1" applyBorder="1" applyAlignment="1" applyProtection="1">
      <alignment horizontal="right"/>
    </xf>
    <xf numFmtId="0" fontId="21" fillId="2" borderId="0" xfId="0" applyFont="1" applyFill="1" applyBorder="1" applyProtection="1"/>
    <xf numFmtId="0" fontId="5" fillId="2" borderId="0" xfId="0" applyFont="1" applyFill="1" applyBorder="1" applyAlignment="1" applyProtection="1">
      <alignment horizontal="right"/>
    </xf>
    <xf numFmtId="1" fontId="10" fillId="2" borderId="0" xfId="0" applyNumberFormat="1" applyFont="1" applyFill="1" applyBorder="1" applyAlignment="1" applyProtection="1">
      <alignment horizontal="left"/>
    </xf>
    <xf numFmtId="0" fontId="9" fillId="2" borderId="0" xfId="0" applyFont="1" applyFill="1" applyBorder="1" applyAlignment="1" applyProtection="1">
      <alignment horizontal="left" vertical="top"/>
    </xf>
    <xf numFmtId="0" fontId="21" fillId="2" borderId="36" xfId="0" applyFont="1" applyFill="1" applyBorder="1" applyAlignment="1" applyProtection="1">
      <alignment horizontal="right"/>
    </xf>
    <xf numFmtId="0" fontId="8" fillId="2" borderId="6" xfId="0" applyFont="1" applyFill="1" applyBorder="1" applyAlignment="1" applyProtection="1">
      <alignment horizontal="center" vertical="center"/>
    </xf>
    <xf numFmtId="0" fontId="8" fillId="2" borderId="0" xfId="0" applyFont="1" applyFill="1" applyBorder="1" applyAlignment="1" applyProtection="1">
      <alignment horizontal="left" vertical="top"/>
    </xf>
    <xf numFmtId="0" fontId="5" fillId="2" borderId="6" xfId="0" applyFont="1" applyFill="1" applyBorder="1" applyAlignment="1" applyProtection="1">
      <alignment horizontal="left" vertical="center"/>
    </xf>
    <xf numFmtId="0" fontId="5" fillId="2" borderId="0" xfId="0" applyFont="1" applyFill="1" applyBorder="1" applyAlignment="1" applyProtection="1">
      <alignment horizontal="left" vertical="center"/>
    </xf>
    <xf numFmtId="0" fontId="5" fillId="2" borderId="20" xfId="0" applyFont="1" applyFill="1" applyBorder="1" applyProtection="1"/>
    <xf numFmtId="0" fontId="5" fillId="2" borderId="7" xfId="0" applyFont="1" applyFill="1" applyBorder="1" applyProtection="1"/>
    <xf numFmtId="0" fontId="5" fillId="2" borderId="8" xfId="0" applyFont="1" applyFill="1" applyBorder="1" applyProtection="1"/>
    <xf numFmtId="0" fontId="5" fillId="4" borderId="0" xfId="0" applyFont="1" applyFill="1" applyBorder="1" applyProtection="1"/>
    <xf numFmtId="0" fontId="5" fillId="2" borderId="17" xfId="0" applyFont="1" applyFill="1" applyBorder="1" applyAlignment="1" applyProtection="1">
      <alignment vertical="center"/>
    </xf>
    <xf numFmtId="0" fontId="5" fillId="2" borderId="18" xfId="0" applyFont="1" applyFill="1" applyBorder="1" applyAlignment="1" applyProtection="1">
      <alignment vertical="center"/>
    </xf>
    <xf numFmtId="0" fontId="7" fillId="2" borderId="0" xfId="0" applyFont="1" applyFill="1" applyBorder="1" applyProtection="1"/>
    <xf numFmtId="0" fontId="22" fillId="2" borderId="23" xfId="0" applyFont="1" applyFill="1" applyBorder="1" applyAlignment="1" applyProtection="1">
      <alignment horizontal="right"/>
    </xf>
    <xf numFmtId="0" fontId="8" fillId="2" borderId="37" xfId="0" applyFont="1" applyFill="1" applyBorder="1" applyProtection="1"/>
    <xf numFmtId="0" fontId="8" fillId="2" borderId="24" xfId="0" applyFont="1" applyFill="1" applyBorder="1" applyProtection="1"/>
    <xf numFmtId="0" fontId="5" fillId="2" borderId="38" xfId="0" applyFont="1" applyFill="1" applyBorder="1" applyProtection="1"/>
    <xf numFmtId="0" fontId="22" fillId="2" borderId="0" xfId="0" applyFont="1" applyFill="1" applyBorder="1" applyAlignment="1" applyProtection="1">
      <alignment horizontal="right"/>
    </xf>
    <xf numFmtId="0" fontId="8" fillId="2" borderId="39" xfId="0" applyFont="1" applyFill="1" applyBorder="1" applyProtection="1"/>
    <xf numFmtId="0" fontId="5" fillId="2" borderId="10" xfId="0" applyFont="1" applyFill="1" applyBorder="1" applyProtection="1"/>
    <xf numFmtId="0" fontId="1" fillId="2" borderId="0" xfId="0" applyFont="1" applyFill="1" applyAlignment="1" applyProtection="1">
      <alignment horizontal="center" wrapText="1"/>
    </xf>
    <xf numFmtId="0" fontId="40"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24" xfId="0" applyNumberFormat="1" applyFont="1" applyFill="1" applyBorder="1" applyProtection="1"/>
    <xf numFmtId="0" fontId="8" fillId="2" borderId="24" xfId="0" applyFont="1" applyFill="1" applyBorder="1" applyAlignment="1" applyProtection="1">
      <alignment horizontal="right"/>
    </xf>
    <xf numFmtId="0" fontId="37" fillId="2" borderId="0" xfId="0" applyFont="1" applyFill="1" applyProtection="1"/>
    <xf numFmtId="0" fontId="5" fillId="2" borderId="0" xfId="0" applyFont="1" applyFill="1" applyBorder="1" applyAlignment="1" applyProtection="1">
      <alignment horizontal="center"/>
    </xf>
    <xf numFmtId="0" fontId="37" fillId="2" borderId="0" xfId="0" applyFont="1" applyFill="1" applyAlignment="1" applyProtection="1">
      <alignment horizontal="center" vertical="center"/>
    </xf>
    <xf numFmtId="0" fontId="23"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8" fillId="2" borderId="1" xfId="0" applyFont="1" applyFill="1" applyBorder="1" applyAlignment="1" applyProtection="1">
      <alignment horizontal="right"/>
    </xf>
    <xf numFmtId="3" fontId="8" fillId="2" borderId="0" xfId="0" applyNumberFormat="1" applyFont="1" applyFill="1" applyBorder="1" applyProtection="1"/>
    <xf numFmtId="4" fontId="8" fillId="2" borderId="0" xfId="0" applyNumberFormat="1" applyFont="1" applyFill="1" applyBorder="1" applyProtection="1"/>
    <xf numFmtId="0" fontId="10" fillId="2" borderId="0" xfId="0" applyFont="1" applyFill="1" applyBorder="1" applyAlignment="1" applyProtection="1">
      <alignment horizontal="right"/>
    </xf>
    <xf numFmtId="2" fontId="22" fillId="2" borderId="0" xfId="0" applyNumberFormat="1" applyFont="1" applyFill="1" applyBorder="1" applyAlignment="1" applyProtection="1">
      <alignment horizontal="left"/>
    </xf>
    <xf numFmtId="2" fontId="8" fillId="2" borderId="0" xfId="0" applyNumberFormat="1" applyFont="1" applyFill="1" applyBorder="1" applyAlignment="1" applyProtection="1">
      <alignment horizontal="left"/>
    </xf>
    <xf numFmtId="0" fontId="23"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5" fillId="4" borderId="9" xfId="0" applyFont="1" applyFill="1" applyBorder="1" applyAlignment="1" applyProtection="1">
      <alignment horizontal="center" vertical="center"/>
      <protection locked="0"/>
    </xf>
    <xf numFmtId="0" fontId="40"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22" xfId="1" applyNumberFormat="1" applyBorder="1" applyProtection="1">
      <protection hidden="1"/>
    </xf>
    <xf numFmtId="0" fontId="0" fillId="0" borderId="22"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13" fillId="2" borderId="11" xfId="2" quotePrefix="1" applyFont="1" applyFill="1" applyBorder="1" applyAlignment="1" applyProtection="1">
      <alignment horizontal="center" vertical="center" wrapText="1" shrinkToFit="1"/>
    </xf>
    <xf numFmtId="0" fontId="13" fillId="2" borderId="4" xfId="2" quotePrefix="1" applyFont="1" applyFill="1" applyBorder="1" applyAlignment="1" applyProtection="1">
      <alignment horizontal="center" vertical="center" wrapText="1" shrinkToFit="1"/>
    </xf>
    <xf numFmtId="0" fontId="11" fillId="2" borderId="40" xfId="0" applyFont="1" applyFill="1" applyBorder="1" applyProtection="1"/>
    <xf numFmtId="0" fontId="8" fillId="2" borderId="0" xfId="0" applyFont="1" applyFill="1" applyBorder="1" applyAlignment="1" applyProtection="1">
      <alignment horizontal="right" vertical="center"/>
    </xf>
    <xf numFmtId="0" fontId="42" fillId="2" borderId="0" xfId="0" applyFont="1" applyFill="1" applyAlignment="1" applyProtection="1">
      <alignment horizontal="center" vertical="center"/>
      <protection hidden="1"/>
    </xf>
    <xf numFmtId="0" fontId="10" fillId="2" borderId="0" xfId="0" applyFont="1" applyFill="1" applyBorder="1" applyAlignment="1" applyProtection="1">
      <alignment horizontal="left"/>
      <protection hidden="1"/>
    </xf>
    <xf numFmtId="0" fontId="5" fillId="2" borderId="0" xfId="0" applyFont="1" applyFill="1" applyProtection="1">
      <protection hidden="1"/>
    </xf>
    <xf numFmtId="0" fontId="5" fillId="2" borderId="0" xfId="0" applyFont="1" applyFill="1" applyBorder="1" applyProtection="1">
      <protection hidden="1"/>
    </xf>
    <xf numFmtId="0" fontId="10" fillId="2" borderId="0" xfId="0" applyFont="1" applyFill="1" applyBorder="1" applyProtection="1">
      <protection hidden="1"/>
    </xf>
    <xf numFmtId="0" fontId="12" fillId="6" borderId="41" xfId="0" applyFont="1" applyFill="1" applyBorder="1" applyAlignment="1" applyProtection="1">
      <alignment horizontal="center" wrapText="1"/>
      <protection hidden="1"/>
    </xf>
    <xf numFmtId="0" fontId="12" fillId="6" borderId="42" xfId="0" applyFont="1" applyFill="1" applyBorder="1" applyAlignment="1" applyProtection="1">
      <alignment horizontal="center" wrapText="1"/>
      <protection hidden="1"/>
    </xf>
    <xf numFmtId="0" fontId="11" fillId="2" borderId="6" xfId="0" applyFont="1" applyFill="1" applyBorder="1" applyProtection="1"/>
    <xf numFmtId="0" fontId="14" fillId="2" borderId="43" xfId="0" applyFont="1" applyFill="1" applyBorder="1" applyAlignment="1" applyProtection="1">
      <alignment vertical="center" wrapText="1"/>
    </xf>
    <xf numFmtId="0" fontId="10" fillId="2" borderId="44" xfId="0" applyFont="1" applyFill="1" applyBorder="1" applyProtection="1"/>
    <xf numFmtId="0" fontId="38" fillId="2" borderId="26" xfId="0" applyFont="1" applyFill="1" applyBorder="1" applyProtection="1"/>
    <xf numFmtId="0" fontId="10" fillId="2" borderId="45" xfId="0" applyFont="1" applyFill="1" applyBorder="1" applyProtection="1"/>
    <xf numFmtId="0" fontId="10" fillId="2" borderId="46" xfId="0" applyFont="1" applyFill="1" applyBorder="1" applyProtection="1"/>
    <xf numFmtId="0" fontId="38" fillId="2" borderId="46" xfId="0" applyFont="1" applyFill="1" applyBorder="1" applyProtection="1"/>
    <xf numFmtId="0" fontId="10" fillId="2" borderId="47" xfId="0" applyFont="1" applyFill="1" applyBorder="1" applyProtection="1"/>
    <xf numFmtId="176" fontId="14" fillId="2" borderId="3" xfId="0" applyNumberFormat="1" applyFont="1" applyFill="1" applyBorder="1" applyAlignment="1" applyProtection="1">
      <alignment vertical="center" wrapText="1"/>
    </xf>
    <xf numFmtId="173" fontId="5" fillId="4" borderId="9" xfId="0" applyNumberFormat="1" applyFont="1" applyFill="1" applyBorder="1" applyProtection="1">
      <protection locked="0"/>
    </xf>
    <xf numFmtId="0" fontId="5" fillId="4" borderId="0" xfId="0" applyFont="1" applyFill="1"/>
    <xf numFmtId="0" fontId="19" fillId="4" borderId="0" xfId="0" applyFont="1" applyFill="1"/>
    <xf numFmtId="0" fontId="19" fillId="4" borderId="0" xfId="0" applyFont="1" applyFill="1" applyAlignment="1"/>
    <xf numFmtId="0" fontId="0" fillId="4" borderId="0" xfId="0" applyFill="1" applyAlignment="1"/>
    <xf numFmtId="0" fontId="19" fillId="4" borderId="0" xfId="0" applyFont="1" applyFill="1" applyAlignment="1">
      <alignment vertical="center"/>
    </xf>
    <xf numFmtId="1" fontId="5" fillId="4" borderId="0" xfId="0" applyNumberFormat="1" applyFont="1" applyFill="1" applyBorder="1" applyProtection="1"/>
    <xf numFmtId="0" fontId="0" fillId="0" borderId="48" xfId="0" applyBorder="1" applyProtection="1">
      <protection hidden="1"/>
    </xf>
    <xf numFmtId="0" fontId="0" fillId="0" borderId="49" xfId="0" applyBorder="1" applyProtection="1">
      <protection hidden="1"/>
    </xf>
    <xf numFmtId="0" fontId="40" fillId="0" borderId="50" xfId="0" applyFont="1" applyBorder="1" applyProtection="1">
      <protection hidden="1"/>
    </xf>
    <xf numFmtId="0" fontId="0" fillId="0" borderId="51" xfId="0" applyBorder="1" applyProtection="1">
      <protection hidden="1"/>
    </xf>
    <xf numFmtId="172" fontId="0" fillId="0" borderId="0" xfId="0" applyNumberFormat="1" applyProtection="1">
      <protection hidden="1"/>
    </xf>
    <xf numFmtId="0" fontId="0" fillId="7" borderId="4" xfId="0" applyFill="1" applyBorder="1" applyProtection="1">
      <protection hidden="1"/>
    </xf>
    <xf numFmtId="0" fontId="37" fillId="2" borderId="0" xfId="0" applyFont="1" applyFill="1" applyBorder="1" applyProtection="1"/>
    <xf numFmtId="0" fontId="0" fillId="7" borderId="0" xfId="0" quotePrefix="1" applyFill="1" applyProtection="1">
      <protection hidden="1"/>
    </xf>
    <xf numFmtId="0" fontId="0" fillId="7" borderId="0" xfId="0" applyFill="1" applyProtection="1">
      <protection hidden="1"/>
    </xf>
    <xf numFmtId="0" fontId="0" fillId="8" borderId="0" xfId="0" applyFill="1" applyProtection="1">
      <protection hidden="1"/>
    </xf>
    <xf numFmtId="0" fontId="0" fillId="9"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horizontal="right" vertical="center"/>
    </xf>
    <xf numFmtId="0" fontId="5" fillId="2" borderId="0" xfId="0" applyFont="1" applyFill="1" applyBorder="1" applyAlignment="1" applyProtection="1">
      <alignment vertical="center" wrapText="1"/>
    </xf>
    <xf numFmtId="0" fontId="5" fillId="2" borderId="0" xfId="0" applyFont="1" applyFill="1" applyBorder="1" applyAlignment="1" applyProtection="1">
      <alignment vertical="center"/>
    </xf>
    <xf numFmtId="0" fontId="2" fillId="2" borderId="0" xfId="2" applyFill="1" applyBorder="1" applyAlignment="1" applyProtection="1">
      <alignment vertical="center"/>
    </xf>
    <xf numFmtId="0" fontId="5" fillId="2" borderId="0" xfId="0" applyFont="1" applyFill="1" applyAlignment="1" applyProtection="1">
      <alignment horizontal="center"/>
    </xf>
    <xf numFmtId="4" fontId="5" fillId="3" borderId="9" xfId="0" applyNumberFormat="1" applyFont="1" applyFill="1" applyBorder="1" applyAlignment="1" applyProtection="1">
      <alignment vertical="center"/>
    </xf>
    <xf numFmtId="176" fontId="5" fillId="4" borderId="9" xfId="0" applyNumberFormat="1" applyFont="1" applyFill="1" applyBorder="1" applyProtection="1">
      <protection locked="0"/>
    </xf>
    <xf numFmtId="176" fontId="5" fillId="3" borderId="9" xfId="0" applyNumberFormat="1" applyFont="1" applyFill="1" applyBorder="1" applyProtection="1"/>
    <xf numFmtId="176" fontId="5" fillId="4" borderId="52" xfId="0" applyNumberFormat="1" applyFont="1" applyFill="1" applyBorder="1" applyAlignment="1" applyProtection="1">
      <alignment horizontal="right"/>
      <protection locked="0"/>
    </xf>
    <xf numFmtId="0" fontId="51" fillId="2" borderId="0" xfId="0" applyFont="1" applyFill="1" applyBorder="1" applyAlignment="1" applyProtection="1">
      <alignment horizontal="left"/>
    </xf>
    <xf numFmtId="0" fontId="5" fillId="10" borderId="9" xfId="0" applyFont="1" applyFill="1" applyBorder="1" applyProtection="1"/>
    <xf numFmtId="176" fontId="7" fillId="2" borderId="12" xfId="0" applyNumberFormat="1" applyFont="1" applyFill="1" applyBorder="1" applyAlignment="1" applyProtection="1">
      <alignment horizontal="center" vertical="center" wrapText="1" shrinkToFit="1"/>
    </xf>
    <xf numFmtId="10" fontId="5" fillId="10" borderId="9" xfId="0" applyNumberFormat="1" applyFont="1" applyFill="1" applyBorder="1" applyAlignment="1" applyProtection="1">
      <alignment horizontal="right" shrinkToFit="1"/>
    </xf>
    <xf numFmtId="10" fontId="5" fillId="4" borderId="9" xfId="0" applyNumberFormat="1" applyFont="1" applyFill="1" applyBorder="1" applyAlignment="1" applyProtection="1">
      <alignment horizontal="right" shrinkToFit="1"/>
      <protection locked="0"/>
    </xf>
    <xf numFmtId="176" fontId="54" fillId="2" borderId="4" xfId="0" applyNumberFormat="1" applyFont="1" applyFill="1" applyBorder="1" applyAlignment="1" applyProtection="1">
      <alignment horizontal="center" vertical="center"/>
    </xf>
    <xf numFmtId="176" fontId="54" fillId="2" borderId="0" xfId="0" applyNumberFormat="1" applyFont="1" applyFill="1" applyBorder="1" applyAlignment="1" applyProtection="1">
      <alignment horizontal="center" vertical="center"/>
    </xf>
    <xf numFmtId="176" fontId="54" fillId="2" borderId="2" xfId="0" applyNumberFormat="1" applyFont="1" applyFill="1" applyBorder="1" applyAlignment="1" applyProtection="1">
      <alignment wrapText="1"/>
    </xf>
    <xf numFmtId="176" fontId="54" fillId="2" borderId="2" xfId="2" applyNumberFormat="1" applyFont="1" applyFill="1" applyBorder="1" applyAlignment="1" applyProtection="1">
      <alignment horizontal="right" vertical="center" wrapText="1" shrinkToFit="1"/>
    </xf>
    <xf numFmtId="0" fontId="54" fillId="2" borderId="0" xfId="0" applyFont="1" applyFill="1" applyBorder="1" applyAlignment="1" applyProtection="1">
      <alignment wrapText="1"/>
    </xf>
    <xf numFmtId="0" fontId="54" fillId="2" borderId="2" xfId="0" applyFont="1" applyFill="1" applyBorder="1" applyAlignment="1" applyProtection="1">
      <alignment wrapText="1"/>
    </xf>
    <xf numFmtId="0" fontId="54" fillId="2" borderId="15" xfId="0" applyFont="1" applyFill="1" applyBorder="1" applyAlignment="1" applyProtection="1">
      <alignment wrapText="1"/>
    </xf>
    <xf numFmtId="176" fontId="55" fillId="2" borderId="11" xfId="1" quotePrefix="1" applyNumberFormat="1" applyFont="1" applyFill="1" applyBorder="1" applyAlignment="1" applyProtection="1">
      <alignment horizontal="center"/>
    </xf>
    <xf numFmtId="176" fontId="55" fillId="2" borderId="0" xfId="0" quotePrefix="1" applyNumberFormat="1" applyFont="1" applyFill="1" applyBorder="1" applyAlignment="1" applyProtection="1">
      <alignment horizontal="center" vertical="center"/>
    </xf>
    <xf numFmtId="176" fontId="55" fillId="2" borderId="53" xfId="0" quotePrefix="1" applyNumberFormat="1" applyFont="1" applyFill="1" applyBorder="1" applyAlignment="1" applyProtection="1">
      <alignment horizontal="center" vertical="center"/>
    </xf>
    <xf numFmtId="176" fontId="55" fillId="2" borderId="0" xfId="0" quotePrefix="1" applyNumberFormat="1" applyFont="1" applyFill="1" applyBorder="1" applyAlignment="1" applyProtection="1">
      <alignment horizontal="center"/>
    </xf>
    <xf numFmtId="176" fontId="55" fillId="2" borderId="4" xfId="0" applyNumberFormat="1" applyFont="1" applyFill="1" applyBorder="1" applyAlignment="1" applyProtection="1">
      <alignment horizontal="center" vertical="center"/>
    </xf>
    <xf numFmtId="176" fontId="55" fillId="2" borderId="0" xfId="0" applyNumberFormat="1" applyFont="1" applyFill="1" applyBorder="1" applyAlignment="1" applyProtection="1">
      <alignment wrapText="1"/>
    </xf>
    <xf numFmtId="176" fontId="55" fillId="2" borderId="2" xfId="0" applyNumberFormat="1" applyFont="1" applyFill="1" applyBorder="1" applyAlignment="1" applyProtection="1">
      <alignment wrapText="1"/>
    </xf>
    <xf numFmtId="172" fontId="0" fillId="7" borderId="2" xfId="0" applyNumberFormat="1" applyFill="1" applyBorder="1" applyProtection="1">
      <protection hidden="1"/>
    </xf>
    <xf numFmtId="172" fontId="0" fillId="7" borderId="4" xfId="0" applyNumberFormat="1" applyFill="1" applyBorder="1" applyProtection="1">
      <protection hidden="1"/>
    </xf>
    <xf numFmtId="172" fontId="0" fillId="7" borderId="3" xfId="0" applyNumberFormat="1" applyFill="1" applyBorder="1" applyProtection="1">
      <protection hidden="1"/>
    </xf>
    <xf numFmtId="0" fontId="40" fillId="11" borderId="54" xfId="0" applyFont="1" applyFill="1" applyBorder="1" applyAlignment="1" applyProtection="1">
      <alignment horizontal="center"/>
      <protection hidden="1"/>
    </xf>
    <xf numFmtId="0" fontId="0" fillId="0" borderId="0" xfId="0" applyAlignment="1" applyProtection="1">
      <alignment horizontal="center"/>
      <protection hidden="1"/>
    </xf>
    <xf numFmtId="0" fontId="51" fillId="0" borderId="0" xfId="0" applyFont="1" applyProtection="1">
      <protection hidden="1"/>
    </xf>
    <xf numFmtId="189" fontId="0" fillId="0" borderId="0" xfId="0" applyNumberFormat="1" applyProtection="1">
      <protection hidden="1"/>
    </xf>
    <xf numFmtId="0" fontId="40" fillId="0" borderId="0" xfId="0" quotePrefix="1" applyFont="1" applyFill="1" applyBorder="1" applyAlignment="1" applyProtection="1">
      <alignment horizontal="center"/>
      <protection hidden="1"/>
    </xf>
    <xf numFmtId="0" fontId="0" fillId="12" borderId="54" xfId="0" applyFill="1" applyBorder="1" applyAlignment="1" applyProtection="1">
      <alignment horizontal="center"/>
      <protection hidden="1"/>
    </xf>
    <xf numFmtId="0" fontId="5" fillId="4" borderId="0" xfId="0" applyFont="1" applyFill="1" applyBorder="1" applyAlignment="1">
      <alignment horizontal="left"/>
    </xf>
    <xf numFmtId="0" fontId="10" fillId="4" borderId="0" xfId="0" applyFont="1" applyFill="1" applyBorder="1" applyAlignment="1">
      <alignment horizontal="left" vertical="top" wrapText="1"/>
    </xf>
    <xf numFmtId="0" fontId="40" fillId="0" borderId="0" xfId="0" quotePrefix="1" applyFont="1" applyFill="1" applyBorder="1" applyAlignment="1" applyProtection="1">
      <alignment horizontal="center" vertical="center"/>
      <protection hidden="1"/>
    </xf>
    <xf numFmtId="0" fontId="40" fillId="3" borderId="54" xfId="0" applyFont="1" applyFill="1" applyBorder="1" applyAlignment="1" applyProtection="1">
      <alignment horizontal="center" vertical="center"/>
      <protection hidden="1"/>
    </xf>
    <xf numFmtId="0" fontId="0" fillId="0" borderId="0" xfId="0" applyBorder="1" applyAlignment="1" applyProtection="1">
      <alignment horizontal="center"/>
      <protection hidden="1"/>
    </xf>
    <xf numFmtId="0" fontId="10" fillId="4" borderId="55" xfId="0" applyFont="1" applyFill="1" applyBorder="1" applyAlignment="1">
      <alignment horizontal="left" vertical="top" wrapText="1"/>
    </xf>
    <xf numFmtId="0" fontId="5" fillId="4" borderId="27" xfId="0" applyFont="1" applyFill="1" applyBorder="1" applyAlignment="1">
      <alignment horizontal="left"/>
    </xf>
    <xf numFmtId="0" fontId="5" fillId="4" borderId="28" xfId="0" applyFont="1" applyFill="1" applyBorder="1" applyAlignment="1">
      <alignment horizontal="left"/>
    </xf>
    <xf numFmtId="0" fontId="5" fillId="4" borderId="29" xfId="0" applyFont="1" applyFill="1" applyBorder="1" applyAlignment="1">
      <alignment horizontal="left"/>
    </xf>
    <xf numFmtId="0" fontId="5" fillId="4" borderId="29" xfId="0" applyFont="1" applyFill="1" applyBorder="1"/>
    <xf numFmtId="0" fontId="10" fillId="4" borderId="29" xfId="0" applyFont="1" applyFill="1" applyBorder="1" applyAlignment="1">
      <alignment horizontal="left" vertical="top" wrapText="1"/>
    </xf>
    <xf numFmtId="0" fontId="10" fillId="4" borderId="56" xfId="0" applyFont="1" applyFill="1" applyBorder="1" applyAlignment="1">
      <alignment horizontal="left" vertical="top" wrapText="1"/>
    </xf>
    <xf numFmtId="0" fontId="40" fillId="7" borderId="54" xfId="0" applyFont="1" applyFill="1" applyBorder="1" applyAlignment="1" applyProtection="1">
      <alignment horizontal="center" vertical="center" shrinkToFit="1"/>
      <protection locked="0" hidden="1"/>
    </xf>
    <xf numFmtId="176" fontId="54" fillId="2" borderId="0" xfId="0" applyNumberFormat="1" applyFont="1" applyFill="1" applyBorder="1" applyAlignment="1" applyProtection="1">
      <alignment wrapText="1"/>
    </xf>
    <xf numFmtId="176" fontId="56" fillId="2" borderId="12" xfId="0" applyNumberFormat="1" applyFont="1" applyFill="1" applyBorder="1" applyAlignment="1" applyProtection="1">
      <alignment horizontal="center" vertical="center" wrapText="1" shrinkToFit="1"/>
    </xf>
    <xf numFmtId="1" fontId="5" fillId="4" borderId="0" xfId="0" applyNumberFormat="1" applyFont="1" applyFill="1" applyProtection="1"/>
    <xf numFmtId="1" fontId="8" fillId="2" borderId="0" xfId="0" applyNumberFormat="1" applyFont="1" applyFill="1" applyBorder="1" applyProtection="1"/>
    <xf numFmtId="1" fontId="8" fillId="2" borderId="24" xfId="0" applyNumberFormat="1" applyFont="1" applyFill="1" applyBorder="1" applyProtection="1"/>
    <xf numFmtId="1" fontId="1" fillId="2" borderId="0" xfId="0" applyNumberFormat="1" applyFont="1" applyFill="1" applyAlignment="1" applyProtection="1">
      <alignment horizontal="center" wrapText="1"/>
    </xf>
    <xf numFmtId="1" fontId="8" fillId="2" borderId="1" xfId="0" applyNumberFormat="1" applyFont="1" applyFill="1" applyBorder="1" applyProtection="1"/>
    <xf numFmtId="1" fontId="39" fillId="2" borderId="0" xfId="0" applyNumberFormat="1" applyFont="1" applyFill="1" applyBorder="1" applyProtection="1"/>
    <xf numFmtId="1" fontId="43" fillId="2" borderId="0" xfId="0" applyNumberFormat="1" applyFont="1" applyFill="1" applyBorder="1" applyAlignment="1" applyProtection="1">
      <alignment horizontal="left"/>
    </xf>
    <xf numFmtId="1" fontId="43" fillId="2" borderId="1" xfId="0" applyNumberFormat="1" applyFont="1" applyFill="1" applyBorder="1" applyAlignment="1" applyProtection="1">
      <alignment horizontal="left"/>
    </xf>
    <xf numFmtId="1" fontId="43" fillId="2" borderId="0" xfId="0" applyNumberFormat="1" applyFont="1" applyFill="1" applyBorder="1" applyProtection="1"/>
    <xf numFmtId="1" fontId="43" fillId="2" borderId="0" xfId="0" applyNumberFormat="1" applyFont="1" applyFill="1" applyBorder="1" applyAlignment="1" applyProtection="1">
      <alignment horizontal="right"/>
    </xf>
    <xf numFmtId="1" fontId="43" fillId="2" borderId="1" xfId="0" applyNumberFormat="1" applyFont="1" applyFill="1" applyBorder="1" applyAlignment="1" applyProtection="1">
      <alignment horizontal="right"/>
    </xf>
    <xf numFmtId="1" fontId="8" fillId="2" borderId="0" xfId="0" applyNumberFormat="1" applyFont="1" applyFill="1" applyBorder="1" applyAlignment="1" applyProtection="1">
      <alignment horizontal="left"/>
    </xf>
    <xf numFmtId="1" fontId="8"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54" xfId="0" applyBorder="1" applyAlignment="1">
      <alignment horizontal="center"/>
    </xf>
    <xf numFmtId="0" fontId="40" fillId="0" borderId="57" xfId="0" applyFont="1" applyBorder="1" applyAlignment="1">
      <alignment horizontal="center"/>
    </xf>
    <xf numFmtId="0" fontId="60" fillId="0" borderId="0" xfId="0" applyFont="1"/>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0" fontId="1" fillId="0" borderId="0" xfId="0" applyFon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61" fillId="0" borderId="0" xfId="0" applyFont="1"/>
    <xf numFmtId="0" fontId="0" fillId="0" borderId="57" xfId="0" applyBorder="1"/>
    <xf numFmtId="186" fontId="40" fillId="11" borderId="57" xfId="0" applyNumberFormat="1" applyFont="1" applyFill="1" applyBorder="1" applyAlignment="1">
      <alignment horizontal="center"/>
    </xf>
    <xf numFmtId="0" fontId="32" fillId="2" borderId="0" xfId="0" applyFont="1" applyFill="1"/>
    <xf numFmtId="0" fontId="10"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10" fillId="2" borderId="0" xfId="0" applyFont="1" applyFill="1" applyBorder="1" applyAlignment="1" applyProtection="1">
      <alignment horizontal="center" vertical="center"/>
    </xf>
    <xf numFmtId="0" fontId="8"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5" xfId="0" applyFont="1" applyFill="1" applyBorder="1" applyAlignment="1" applyProtection="1">
      <alignment horizontal="center"/>
    </xf>
    <xf numFmtId="0" fontId="5" fillId="0" borderId="0" xfId="0" applyFont="1" applyAlignment="1" applyProtection="1">
      <alignment horizontal="center"/>
    </xf>
    <xf numFmtId="2" fontId="2" fillId="2" borderId="7" xfId="2" applyNumberFormat="1" applyFill="1" applyBorder="1" applyAlignment="1" applyProtection="1">
      <alignment horizontal="left"/>
    </xf>
    <xf numFmtId="0" fontId="8" fillId="2" borderId="7" xfId="0" applyFont="1" applyFill="1" applyBorder="1" applyProtection="1"/>
    <xf numFmtId="1" fontId="8" fillId="2" borderId="7" xfId="0" applyNumberFormat="1" applyFont="1" applyFill="1" applyBorder="1" applyProtection="1"/>
    <xf numFmtId="0" fontId="40" fillId="3" borderId="0" xfId="0" applyFont="1" applyFill="1"/>
    <xf numFmtId="0" fontId="5" fillId="4" borderId="0" xfId="0" applyFont="1" applyFill="1" applyAlignment="1" applyProtection="1">
      <alignment vertical="center"/>
    </xf>
    <xf numFmtId="0" fontId="12"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vertical="center"/>
    </xf>
    <xf numFmtId="0" fontId="30" fillId="0" borderId="58" xfId="0" applyFont="1" applyFill="1" applyBorder="1" applyAlignment="1" applyProtection="1">
      <alignment horizontal="center" vertical="center" wrapText="1"/>
    </xf>
    <xf numFmtId="0" fontId="30" fillId="2" borderId="59" xfId="0" applyFont="1" applyFill="1" applyBorder="1" applyAlignment="1" applyProtection="1">
      <alignment horizontal="center" vertical="center" wrapText="1"/>
    </xf>
    <xf numFmtId="0" fontId="0" fillId="4" borderId="60" xfId="0" applyFill="1" applyBorder="1" applyAlignment="1">
      <alignment horizontal="center"/>
    </xf>
    <xf numFmtId="0" fontId="68" fillId="2" borderId="61" xfId="0" applyFont="1" applyFill="1" applyBorder="1" applyAlignment="1">
      <alignment horizont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8" fillId="4" borderId="25" xfId="0" applyFont="1" applyFill="1" applyBorder="1" applyAlignment="1">
      <alignment horizontal="center" vertical="center"/>
    </xf>
    <xf numFmtId="0" fontId="8" fillId="4" borderId="64"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7" xfId="0" applyFont="1" applyFill="1" applyBorder="1" applyAlignment="1">
      <alignment horizontal="center" vertical="center"/>
    </xf>
    <xf numFmtId="0" fontId="32" fillId="2" borderId="0" xfId="0" applyFont="1" applyFill="1" applyBorder="1"/>
    <xf numFmtId="0" fontId="32" fillId="2" borderId="0" xfId="0" applyFont="1" applyFill="1" applyBorder="1" applyAlignment="1"/>
    <xf numFmtId="0" fontId="71" fillId="2" borderId="0" xfId="0" applyFont="1" applyFill="1" applyBorder="1" applyAlignment="1"/>
    <xf numFmtId="0" fontId="5" fillId="4" borderId="0" xfId="0" applyFont="1" applyFill="1" applyBorder="1" applyAlignment="1"/>
    <xf numFmtId="0" fontId="5" fillId="4" borderId="0" xfId="0" applyFont="1" applyFill="1" applyBorder="1"/>
    <xf numFmtId="0" fontId="0" fillId="4" borderId="0" xfId="0" applyFill="1" applyBorder="1" applyAlignment="1"/>
    <xf numFmtId="0" fontId="32" fillId="0" borderId="0" xfId="0" applyFont="1" applyFill="1"/>
    <xf numFmtId="0" fontId="32" fillId="2" borderId="18" xfId="0" applyFont="1" applyFill="1" applyBorder="1" applyAlignment="1"/>
    <xf numFmtId="0" fontId="32" fillId="2" borderId="5" xfId="0" applyFont="1" applyFill="1" applyBorder="1"/>
    <xf numFmtId="0" fontId="71" fillId="2" borderId="5" xfId="0" applyFont="1" applyFill="1" applyBorder="1" applyAlignment="1"/>
    <xf numFmtId="0" fontId="32" fillId="2" borderId="8" xfId="0" applyFont="1" applyFill="1" applyBorder="1"/>
    <xf numFmtId="0" fontId="32" fillId="0" borderId="0" xfId="0" applyFont="1"/>
    <xf numFmtId="0" fontId="32" fillId="2" borderId="0" xfId="0" applyFont="1" applyFill="1" applyAlignment="1">
      <alignment horizontal="center"/>
    </xf>
    <xf numFmtId="0" fontId="69" fillId="2" borderId="0" xfId="0" applyFont="1" applyFill="1" applyBorder="1" applyAlignment="1">
      <alignment horizontal="center"/>
    </xf>
    <xf numFmtId="2" fontId="42" fillId="2" borderId="0" xfId="0" applyNumberFormat="1" applyFont="1" applyFill="1" applyBorder="1" applyAlignment="1" applyProtection="1">
      <alignment horizontal="center" vertical="center"/>
      <protection hidden="1"/>
    </xf>
    <xf numFmtId="174" fontId="5" fillId="4" borderId="9" xfId="0" applyNumberFormat="1" applyFont="1" applyFill="1" applyBorder="1" applyProtection="1">
      <protection locked="0"/>
    </xf>
    <xf numFmtId="177" fontId="5" fillId="4" borderId="9" xfId="0" applyNumberFormat="1" applyFont="1" applyFill="1" applyBorder="1" applyProtection="1">
      <protection locked="0"/>
    </xf>
    <xf numFmtId="2" fontId="21" fillId="2" borderId="0" xfId="0" applyNumberFormat="1" applyFont="1" applyFill="1" applyBorder="1" applyAlignment="1" applyProtection="1">
      <alignment horizontal="center"/>
    </xf>
    <xf numFmtId="0" fontId="21" fillId="2" borderId="0" xfId="0" applyFont="1" applyFill="1" applyBorder="1" applyAlignment="1" applyProtection="1">
      <alignment horizontal="center" vertical="center"/>
    </xf>
    <xf numFmtId="216" fontId="5" fillId="4" borderId="9" xfId="0" applyNumberFormat="1" applyFont="1" applyFill="1" applyBorder="1" applyAlignment="1" applyProtection="1">
      <alignment horizontal="center"/>
      <protection locked="0"/>
    </xf>
    <xf numFmtId="0" fontId="27" fillId="0" borderId="0" xfId="0" applyFont="1" applyProtection="1"/>
    <xf numFmtId="0" fontId="42"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0" fontId="20" fillId="2" borderId="0" xfId="0" applyFont="1" applyFill="1" applyBorder="1" applyAlignment="1" applyProtection="1">
      <alignment horizontal="right" vertical="top"/>
    </xf>
    <xf numFmtId="0" fontId="5" fillId="0" borderId="0" xfId="0" applyFont="1" applyFill="1" applyBorder="1" applyProtection="1">
      <protection locked="0"/>
    </xf>
    <xf numFmtId="1" fontId="10" fillId="4" borderId="52" xfId="0" applyNumberFormat="1" applyFont="1" applyFill="1" applyBorder="1" applyAlignment="1" applyProtection="1">
      <alignment horizontal="left"/>
      <protection locked="0"/>
    </xf>
    <xf numFmtId="1" fontId="75" fillId="2" borderId="0" xfId="0" applyNumberFormat="1" applyFont="1" applyFill="1" applyBorder="1" applyAlignment="1" applyProtection="1">
      <alignment horizontal="center" vertical="center"/>
    </xf>
    <xf numFmtId="0" fontId="76" fillId="0" borderId="0" xfId="0" applyFont="1" applyFill="1" applyBorder="1" applyAlignment="1" applyProtection="1">
      <alignment horizontal="center"/>
    </xf>
    <xf numFmtId="0" fontId="30" fillId="13" borderId="65" xfId="0" applyFont="1" applyFill="1" applyBorder="1" applyAlignment="1" applyProtection="1">
      <alignment horizontal="center" vertical="center" wrapText="1"/>
    </xf>
    <xf numFmtId="0" fontId="30" fillId="13" borderId="66" xfId="0" applyFont="1" applyFill="1" applyBorder="1" applyAlignment="1" applyProtection="1">
      <alignment horizontal="center" vertical="center" wrapText="1"/>
    </xf>
    <xf numFmtId="0" fontId="67" fillId="14" borderId="58" xfId="0" applyFont="1" applyFill="1" applyBorder="1" applyAlignment="1" applyProtection="1">
      <alignment horizontal="center" vertical="center" wrapText="1"/>
    </xf>
    <xf numFmtId="0" fontId="67" fillId="13" borderId="58" xfId="0" applyFont="1" applyFill="1" applyBorder="1" applyAlignment="1" applyProtection="1">
      <alignment horizontal="center" vertical="center" wrapText="1"/>
    </xf>
    <xf numFmtId="0" fontId="30" fillId="14" borderId="58" xfId="0" applyFont="1" applyFill="1" applyBorder="1" applyAlignment="1" applyProtection="1">
      <alignment horizontal="center" vertical="center" wrapText="1"/>
    </xf>
    <xf numFmtId="1" fontId="9" fillId="4" borderId="9" xfId="0" applyNumberFormat="1" applyFont="1" applyFill="1" applyBorder="1" applyAlignment="1" applyProtection="1">
      <alignment horizontal="center"/>
      <protection locked="0"/>
    </xf>
    <xf numFmtId="1" fontId="80" fillId="2" borderId="0" xfId="0" applyNumberFormat="1" applyFont="1" applyFill="1" applyBorder="1" applyAlignment="1" applyProtection="1">
      <alignment horizontal="left"/>
    </xf>
    <xf numFmtId="1" fontId="80" fillId="2" borderId="1" xfId="0" applyNumberFormat="1" applyFont="1" applyFill="1" applyBorder="1" applyAlignment="1" applyProtection="1">
      <alignment horizontal="left"/>
    </xf>
    <xf numFmtId="1" fontId="80" fillId="2" borderId="0" xfId="0" applyNumberFormat="1" applyFont="1" applyFill="1" applyBorder="1" applyProtection="1"/>
    <xf numFmtId="4" fontId="53" fillId="2" borderId="0" xfId="0" applyNumberFormat="1" applyFont="1" applyFill="1" applyBorder="1" applyAlignment="1" applyProtection="1">
      <alignment horizontal="center" vertical="center"/>
      <protection hidden="1"/>
    </xf>
    <xf numFmtId="1" fontId="0" fillId="0" borderId="0" xfId="0" quotePrefix="1" applyNumberFormat="1" applyBorder="1" applyAlignment="1">
      <alignment horizontal="center"/>
    </xf>
    <xf numFmtId="0" fontId="11" fillId="2" borderId="0" xfId="0" applyFont="1" applyFill="1" applyBorder="1" applyProtection="1"/>
    <xf numFmtId="0" fontId="10" fillId="2" borderId="0" xfId="0" applyFont="1" applyFill="1" applyBorder="1" applyProtection="1"/>
    <xf numFmtId="0" fontId="38" fillId="2" borderId="0" xfId="0" applyFont="1" applyFill="1" applyBorder="1" applyProtection="1"/>
    <xf numFmtId="0" fontId="11" fillId="2" borderId="19" xfId="0" applyFont="1" applyFill="1" applyBorder="1" applyProtection="1"/>
    <xf numFmtId="0" fontId="11" fillId="2" borderId="30" xfId="0" applyFont="1" applyFill="1" applyBorder="1" applyProtection="1"/>
    <xf numFmtId="0" fontId="10" fillId="2" borderId="30" xfId="0" applyFont="1" applyFill="1" applyBorder="1" applyProtection="1"/>
    <xf numFmtId="0" fontId="38" fillId="2" borderId="30" xfId="0" applyFont="1" applyFill="1" applyBorder="1" applyProtection="1"/>
    <xf numFmtId="0" fontId="10" fillId="2" borderId="31" xfId="0" applyFont="1" applyFill="1" applyBorder="1" applyProtection="1"/>
    <xf numFmtId="0" fontId="10" fillId="2" borderId="5" xfId="0" applyFont="1" applyFill="1" applyBorder="1" applyProtection="1"/>
    <xf numFmtId="0" fontId="11" fillId="2" borderId="20" xfId="0" applyFont="1" applyFill="1" applyBorder="1" applyProtection="1"/>
    <xf numFmtId="0" fontId="11" fillId="2" borderId="7" xfId="0" applyFont="1" applyFill="1" applyBorder="1" applyProtection="1"/>
    <xf numFmtId="0" fontId="10" fillId="2" borderId="7" xfId="0" applyFont="1" applyFill="1" applyBorder="1" applyProtection="1"/>
    <xf numFmtId="0" fontId="38" fillId="2" borderId="7" xfId="0" applyFont="1" applyFill="1" applyBorder="1" applyProtection="1"/>
    <xf numFmtId="0" fontId="10" fillId="2" borderId="8" xfId="0" applyFont="1" applyFill="1" applyBorder="1" applyProtection="1"/>
    <xf numFmtId="0" fontId="30" fillId="4" borderId="58" xfId="0" applyFont="1" applyFill="1" applyBorder="1" applyAlignment="1" applyProtection="1">
      <alignment horizontal="center" vertical="center" wrapText="1"/>
    </xf>
    <xf numFmtId="0" fontId="10" fillId="2" borderId="1" xfId="0" quotePrefix="1" applyFont="1" applyFill="1" applyBorder="1" applyAlignment="1" applyProtection="1"/>
    <xf numFmtId="0" fontId="10" fillId="2" borderId="1" xfId="0" applyFont="1" applyFill="1" applyBorder="1" applyAlignment="1" applyProtection="1"/>
    <xf numFmtId="4" fontId="5" fillId="3" borderId="9" xfId="0" applyNumberFormat="1" applyFont="1" applyFill="1" applyBorder="1" applyAlignment="1" applyProtection="1">
      <alignment horizontal="right"/>
    </xf>
    <xf numFmtId="0" fontId="20" fillId="2" borderId="0" xfId="0" applyFont="1" applyFill="1" applyBorder="1" applyAlignment="1" applyProtection="1">
      <alignment horizontal="right"/>
    </xf>
    <xf numFmtId="0" fontId="12" fillId="2" borderId="0" xfId="0" applyFont="1" applyFill="1" applyAlignment="1">
      <alignment vertical="center"/>
    </xf>
    <xf numFmtId="0" fontId="51" fillId="4" borderId="67" xfId="0" applyFont="1" applyFill="1" applyBorder="1" applyAlignment="1">
      <alignment vertical="center"/>
    </xf>
    <xf numFmtId="0" fontId="30" fillId="15" borderId="65" xfId="0" applyFont="1" applyFill="1" applyBorder="1" applyAlignment="1" applyProtection="1">
      <alignment horizontal="center" vertical="center" wrapText="1"/>
    </xf>
    <xf numFmtId="0" fontId="10" fillId="4" borderId="0" xfId="0" applyFont="1" applyFill="1" applyProtection="1"/>
    <xf numFmtId="0" fontId="5" fillId="2" borderId="6" xfId="0" applyFont="1" applyFill="1" applyBorder="1"/>
    <xf numFmtId="0" fontId="69" fillId="2" borderId="0" xfId="0" applyFont="1" applyFill="1" applyBorder="1"/>
    <xf numFmtId="0" fontId="5" fillId="2" borderId="0" xfId="0" applyFont="1" applyFill="1"/>
    <xf numFmtId="0" fontId="27" fillId="2" borderId="0" xfId="0" applyFont="1" applyFill="1" applyBorder="1"/>
    <xf numFmtId="0" fontId="1" fillId="0" borderId="0" xfId="0" applyFont="1" applyProtection="1"/>
    <xf numFmtId="0" fontId="37" fillId="2" borderId="0" xfId="0" applyFont="1" applyFill="1" applyBorder="1" applyAlignment="1" applyProtection="1">
      <alignment horizontal="left"/>
    </xf>
    <xf numFmtId="0" fontId="19" fillId="0" borderId="0" xfId="0" applyFont="1" applyFill="1" applyProtection="1"/>
    <xf numFmtId="0" fontId="5" fillId="7" borderId="0" xfId="0" applyFont="1" applyFill="1" applyProtection="1"/>
    <xf numFmtId="0" fontId="19" fillId="2" borderId="19" xfId="0" applyFont="1" applyFill="1" applyBorder="1" applyProtection="1"/>
    <xf numFmtId="0" fontId="0" fillId="2" borderId="17" xfId="0" applyFill="1" applyBorder="1" applyAlignment="1" applyProtection="1"/>
    <xf numFmtId="0" fontId="5" fillId="2" borderId="18" xfId="0" applyFont="1" applyFill="1" applyBorder="1" applyAlignment="1" applyProtection="1"/>
    <xf numFmtId="0" fontId="5" fillId="4" borderId="0" xfId="0" applyFont="1" applyFill="1" applyBorder="1" applyAlignment="1" applyProtection="1"/>
    <xf numFmtId="0" fontId="19" fillId="2" borderId="6" xfId="0" applyFont="1" applyFill="1" applyBorder="1" applyProtection="1"/>
    <xf numFmtId="0" fontId="5" fillId="11" borderId="68" xfId="0" applyFont="1" applyFill="1" applyBorder="1" applyProtection="1"/>
    <xf numFmtId="0" fontId="5" fillId="7" borderId="65" xfId="0" applyFont="1" applyFill="1" applyBorder="1" applyProtection="1"/>
    <xf numFmtId="0" fontId="5" fillId="11" borderId="69" xfId="0" applyFont="1" applyFill="1" applyBorder="1" applyProtection="1"/>
    <xf numFmtId="0" fontId="0" fillId="0" borderId="68" xfId="0" applyBorder="1" applyAlignment="1" applyProtection="1">
      <alignment horizontal="center" vertical="center"/>
    </xf>
    <xf numFmtId="0" fontId="40" fillId="0" borderId="68" xfId="0" applyFont="1" applyBorder="1" applyAlignment="1" applyProtection="1">
      <alignment horizontal="center" vertical="center"/>
    </xf>
    <xf numFmtId="0" fontId="40" fillId="0" borderId="68" xfId="0" applyFont="1" applyBorder="1" applyAlignment="1" applyProtection="1">
      <alignment horizontal="center" vertical="center" wrapText="1"/>
    </xf>
    <xf numFmtId="0" fontId="65" fillId="0" borderId="0" xfId="0" applyFont="1" applyFill="1" applyAlignment="1" applyProtection="1">
      <alignment wrapText="1"/>
    </xf>
    <xf numFmtId="0" fontId="65" fillId="2" borderId="6" xfId="0" applyFont="1" applyFill="1" applyBorder="1" applyAlignment="1" applyProtection="1">
      <alignment wrapText="1"/>
    </xf>
    <xf numFmtId="0" fontId="59" fillId="0" borderId="65" xfId="0" applyFont="1" applyBorder="1" applyAlignment="1" applyProtection="1">
      <alignment horizontal="center" vertical="center" wrapText="1"/>
    </xf>
    <xf numFmtId="0" fontId="30" fillId="0" borderId="70" xfId="0" applyFont="1" applyBorder="1" applyAlignment="1" applyProtection="1">
      <alignment horizontal="center" vertical="center" wrapText="1"/>
    </xf>
    <xf numFmtId="0" fontId="30" fillId="0" borderId="71" xfId="0" applyFont="1" applyBorder="1" applyAlignment="1" applyProtection="1">
      <alignment horizontal="center" vertical="center" wrapText="1"/>
    </xf>
    <xf numFmtId="0" fontId="30" fillId="0" borderId="58" xfId="0" applyFont="1" applyBorder="1" applyAlignment="1" applyProtection="1">
      <alignment horizontal="center" vertical="center" wrapText="1"/>
    </xf>
    <xf numFmtId="0" fontId="9" fillId="2" borderId="5" xfId="0" applyFont="1" applyFill="1" applyBorder="1" applyAlignment="1" applyProtection="1">
      <alignment wrapText="1"/>
    </xf>
    <xf numFmtId="0" fontId="9" fillId="4" borderId="0" xfId="0" applyFont="1" applyFill="1" applyBorder="1" applyAlignment="1" applyProtection="1">
      <alignment wrapText="1"/>
    </xf>
    <xf numFmtId="1" fontId="9" fillId="0" borderId="0" xfId="0" applyNumberFormat="1" applyFont="1" applyAlignment="1" applyProtection="1">
      <alignment wrapText="1"/>
    </xf>
    <xf numFmtId="0" fontId="9" fillId="0" borderId="0" xfId="0" applyFont="1" applyFill="1" applyAlignment="1" applyProtection="1">
      <alignment wrapText="1"/>
    </xf>
    <xf numFmtId="0" fontId="9" fillId="7" borderId="0" xfId="0" applyFont="1" applyFill="1" applyAlignment="1" applyProtection="1">
      <alignment wrapText="1"/>
    </xf>
    <xf numFmtId="0" fontId="9" fillId="0" borderId="0" xfId="0" applyFont="1" applyAlignment="1" applyProtection="1">
      <alignment wrapText="1"/>
    </xf>
    <xf numFmtId="0" fontId="79" fillId="2" borderId="65" xfId="0" applyFont="1" applyFill="1" applyBorder="1" applyAlignment="1" applyProtection="1">
      <alignment horizontal="center" vertical="center" wrapText="1"/>
    </xf>
    <xf numFmtId="0" fontId="79" fillId="2" borderId="58" xfId="0" applyFont="1" applyFill="1" applyBorder="1" applyAlignment="1" applyProtection="1">
      <alignment horizontal="center" vertical="center" wrapText="1"/>
    </xf>
    <xf numFmtId="0" fontId="19" fillId="0" borderId="0" xfId="0" applyFont="1" applyFill="1" applyAlignment="1" applyProtection="1">
      <alignment wrapText="1"/>
    </xf>
    <xf numFmtId="0" fontId="19" fillId="2" borderId="6" xfId="0" applyFont="1" applyFill="1" applyBorder="1" applyAlignment="1" applyProtection="1">
      <alignment wrapText="1"/>
    </xf>
    <xf numFmtId="0" fontId="5" fillId="4" borderId="0" xfId="0" applyFont="1" applyFill="1" applyBorder="1" applyAlignment="1" applyProtection="1">
      <alignment wrapText="1"/>
    </xf>
    <xf numFmtId="0" fontId="5" fillId="0" borderId="0" xfId="0" applyFont="1" applyAlignment="1" applyProtection="1">
      <alignment wrapText="1"/>
    </xf>
    <xf numFmtId="0" fontId="5" fillId="0" borderId="0" xfId="0" applyFont="1" applyFill="1" applyAlignment="1" applyProtection="1">
      <alignment wrapText="1"/>
    </xf>
    <xf numFmtId="0" fontId="5" fillId="7" borderId="0" xfId="0" applyFont="1" applyFill="1" applyAlignment="1" applyProtection="1">
      <alignment wrapText="1"/>
    </xf>
    <xf numFmtId="0" fontId="30" fillId="2" borderId="65"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19" fillId="2" borderId="20" xfId="0" applyFont="1" applyFill="1" applyBorder="1" applyProtection="1"/>
    <xf numFmtId="4" fontId="53"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horizontal="right" vertical="center"/>
      <protection hidden="1"/>
    </xf>
    <xf numFmtId="1" fontId="9" fillId="4" borderId="9" xfId="0" applyNumberFormat="1" applyFont="1" applyFill="1" applyBorder="1" applyAlignment="1" applyProtection="1">
      <alignment horizontal="center"/>
    </xf>
    <xf numFmtId="176" fontId="5" fillId="4" borderId="9" xfId="0" applyNumberFormat="1" applyFont="1" applyFill="1" applyBorder="1" applyProtection="1"/>
    <xf numFmtId="0" fontId="10" fillId="2" borderId="0" xfId="0" applyFont="1" applyFill="1" applyBorder="1" applyAlignment="1" applyProtection="1">
      <alignment horizontal="left"/>
    </xf>
    <xf numFmtId="0" fontId="42" fillId="2" borderId="0" xfId="0" applyFont="1" applyFill="1" applyAlignment="1" applyProtection="1">
      <alignment horizontal="center" vertical="center"/>
    </xf>
    <xf numFmtId="0" fontId="37" fillId="2" borderId="0" xfId="0" applyFont="1" applyFill="1" applyAlignment="1" applyProtection="1">
      <alignment vertical="center"/>
    </xf>
    <xf numFmtId="0" fontId="42" fillId="2" borderId="0" xfId="0" applyFont="1" applyFill="1" applyAlignment="1" applyProtection="1">
      <alignment vertical="center"/>
    </xf>
    <xf numFmtId="10" fontId="5" fillId="4" borderId="9" xfId="0" applyNumberFormat="1" applyFont="1" applyFill="1" applyBorder="1" applyAlignment="1" applyProtection="1">
      <alignment horizontal="right" shrinkToFit="1"/>
    </xf>
    <xf numFmtId="176" fontId="5" fillId="4" borderId="52" xfId="0" applyNumberFormat="1" applyFont="1" applyFill="1" applyBorder="1" applyAlignment="1" applyProtection="1">
      <alignment horizontal="right"/>
    </xf>
    <xf numFmtId="2" fontId="42" fillId="2" borderId="0" xfId="0" applyNumberFormat="1" applyFont="1" applyFill="1" applyBorder="1" applyAlignment="1" applyProtection="1">
      <alignment horizontal="center" vertical="center"/>
    </xf>
    <xf numFmtId="2" fontId="5" fillId="2" borderId="35" xfId="0" applyNumberFormat="1" applyFont="1" applyFill="1" applyBorder="1" applyProtection="1"/>
    <xf numFmtId="173" fontId="5" fillId="4" borderId="9" xfId="0" applyNumberFormat="1" applyFont="1" applyFill="1" applyBorder="1" applyProtection="1"/>
    <xf numFmtId="3" fontId="5" fillId="4" borderId="9" xfId="0" applyNumberFormat="1" applyFont="1" applyFill="1" applyBorder="1" applyProtection="1"/>
    <xf numFmtId="174" fontId="5" fillId="4" borderId="9" xfId="0" applyNumberFormat="1" applyFont="1" applyFill="1" applyBorder="1" applyProtection="1"/>
    <xf numFmtId="177" fontId="5" fillId="4" borderId="9" xfId="0" applyNumberFormat="1" applyFont="1" applyFill="1" applyBorder="1" applyProtection="1"/>
    <xf numFmtId="4" fontId="53" fillId="2" borderId="0" xfId="0" applyNumberFormat="1" applyFont="1" applyFill="1" applyBorder="1" applyAlignment="1" applyProtection="1">
      <alignment horizontal="center" vertical="center"/>
    </xf>
    <xf numFmtId="4" fontId="10" fillId="2" borderId="0" xfId="0" applyNumberFormat="1" applyFont="1" applyFill="1" applyBorder="1" applyAlignment="1" applyProtection="1">
      <alignment vertical="center"/>
    </xf>
    <xf numFmtId="4" fontId="10" fillId="2" borderId="0" xfId="0" applyNumberFormat="1" applyFont="1" applyFill="1" applyBorder="1" applyAlignment="1" applyProtection="1">
      <alignment horizontal="right" vertical="center"/>
    </xf>
    <xf numFmtId="4" fontId="53" fillId="2" borderId="0" xfId="0" applyNumberFormat="1" applyFont="1" applyFill="1" applyBorder="1" applyAlignment="1" applyProtection="1">
      <alignment vertical="center"/>
    </xf>
    <xf numFmtId="0" fontId="12" fillId="2" borderId="0" xfId="0" applyFont="1" applyFill="1" applyAlignment="1" applyProtection="1">
      <alignment vertical="center"/>
    </xf>
    <xf numFmtId="0" fontId="51" fillId="4" borderId="67" xfId="0" applyFont="1" applyFill="1" applyBorder="1" applyAlignment="1" applyProtection="1">
      <alignment vertical="center"/>
    </xf>
    <xf numFmtId="4" fontId="5" fillId="3" borderId="9" xfId="0" quotePrefix="1" applyNumberFormat="1" applyFont="1" applyFill="1" applyBorder="1" applyProtection="1"/>
    <xf numFmtId="0" fontId="91" fillId="4" borderId="0" xfId="0" applyFont="1" applyFill="1" applyProtection="1"/>
    <xf numFmtId="0" fontId="5" fillId="2" borderId="50" xfId="0" applyFont="1" applyFill="1" applyBorder="1" applyAlignment="1" applyProtection="1">
      <alignment vertical="center" wrapText="1"/>
    </xf>
    <xf numFmtId="0" fontId="5" fillId="2" borderId="57" xfId="0" applyFont="1" applyFill="1" applyBorder="1" applyAlignment="1" applyProtection="1">
      <alignment vertical="center" wrapText="1"/>
    </xf>
    <xf numFmtId="0" fontId="0" fillId="0" borderId="51" xfId="0" applyBorder="1" applyAlignment="1" applyProtection="1">
      <alignment vertical="center" wrapText="1"/>
    </xf>
    <xf numFmtId="0" fontId="10" fillId="4" borderId="37" xfId="0" applyFont="1" applyFill="1" applyBorder="1" applyAlignment="1" applyProtection="1">
      <alignment horizontal="left"/>
      <protection locked="0"/>
    </xf>
    <xf numFmtId="0" fontId="10" fillId="4" borderId="24" xfId="0" applyFont="1" applyFill="1" applyBorder="1" applyAlignment="1" applyProtection="1">
      <alignment horizontal="left"/>
      <protection locked="0"/>
    </xf>
    <xf numFmtId="0" fontId="10" fillId="4" borderId="38" xfId="0" applyFont="1" applyFill="1" applyBorder="1" applyAlignment="1" applyProtection="1">
      <alignment horizontal="left"/>
      <protection locked="0"/>
    </xf>
    <xf numFmtId="0" fontId="28" fillId="5" borderId="77" xfId="0" applyFont="1" applyFill="1" applyBorder="1" applyAlignment="1" applyProtection="1">
      <alignment horizontal="center" vertical="top"/>
    </xf>
    <xf numFmtId="0" fontId="28" fillId="5" borderId="17" xfId="0" applyFont="1" applyFill="1" applyBorder="1" applyAlignment="1" applyProtection="1">
      <alignment horizontal="center" vertical="top"/>
    </xf>
    <xf numFmtId="0" fontId="28" fillId="5" borderId="18" xfId="0" applyFont="1" applyFill="1" applyBorder="1" applyAlignment="1" applyProtection="1">
      <alignment horizontal="center" vertical="top"/>
    </xf>
    <xf numFmtId="0" fontId="36" fillId="2" borderId="0" xfId="0" applyFont="1" applyFill="1" applyBorder="1" applyAlignment="1" applyProtection="1">
      <alignment horizontal="justify" wrapText="1"/>
    </xf>
    <xf numFmtId="0" fontId="0" fillId="0" borderId="0" xfId="0" applyAlignment="1" applyProtection="1">
      <alignment horizontal="justify" wrapText="1"/>
    </xf>
    <xf numFmtId="0" fontId="0" fillId="0" borderId="0" xfId="0" applyAlignment="1" applyProtection="1"/>
    <xf numFmtId="0" fontId="36" fillId="2" borderId="0" xfId="0" applyFont="1" applyFill="1" applyBorder="1" applyAlignment="1" applyProtection="1">
      <alignment horizontal="center" wrapText="1"/>
    </xf>
    <xf numFmtId="0" fontId="0" fillId="0" borderId="0" xfId="0" applyAlignment="1" applyProtection="1">
      <alignment horizontal="center" wrapText="1"/>
    </xf>
    <xf numFmtId="0" fontId="10" fillId="4" borderId="37" xfId="0" applyFont="1" applyFill="1" applyBorder="1" applyAlignment="1" applyProtection="1">
      <alignment horizontal="left" wrapText="1"/>
      <protection locked="0"/>
    </xf>
    <xf numFmtId="0" fontId="0" fillId="4" borderId="24" xfId="0" applyFill="1" applyBorder="1" applyAlignment="1" applyProtection="1">
      <alignment horizontal="left" wrapText="1"/>
      <protection locked="0"/>
    </xf>
    <xf numFmtId="0" fontId="0" fillId="0" borderId="24" xfId="0" applyBorder="1" applyAlignment="1" applyProtection="1">
      <alignment horizontal="left" wrapText="1"/>
      <protection locked="0"/>
    </xf>
    <xf numFmtId="0" fontId="0" fillId="0" borderId="38" xfId="0" applyBorder="1" applyAlignment="1" applyProtection="1">
      <alignment horizontal="left" wrapText="1"/>
      <protection locked="0"/>
    </xf>
    <xf numFmtId="1" fontId="10" fillId="4" borderId="37" xfId="0" applyNumberFormat="1" applyFont="1" applyFill="1" applyBorder="1" applyAlignment="1" applyProtection="1">
      <alignment horizontal="left"/>
      <protection locked="0"/>
    </xf>
    <xf numFmtId="0" fontId="0" fillId="4" borderId="38" xfId="0" applyFill="1" applyBorder="1" applyAlignment="1" applyProtection="1">
      <alignment horizontal="left"/>
      <protection locked="0"/>
    </xf>
    <xf numFmtId="0" fontId="21" fillId="2" borderId="36" xfId="0" applyFont="1" applyFill="1" applyBorder="1" applyAlignment="1" applyProtection="1">
      <alignment horizontal="right"/>
    </xf>
    <xf numFmtId="0" fontId="0" fillId="0" borderId="23" xfId="0" applyBorder="1" applyAlignment="1" applyProtection="1"/>
    <xf numFmtId="0" fontId="5" fillId="4" borderId="37" xfId="0" applyFont="1" applyFill="1" applyBorder="1" applyAlignment="1" applyProtection="1">
      <alignment horizontal="left" shrinkToFit="1"/>
      <protection locked="0"/>
    </xf>
    <xf numFmtId="0" fontId="0" fillId="0" borderId="24" xfId="0" applyBorder="1" applyAlignment="1" applyProtection="1">
      <alignment horizontal="left" shrinkToFit="1"/>
      <protection locked="0"/>
    </xf>
    <xf numFmtId="0" fontId="0" fillId="0" borderId="38" xfId="0" applyBorder="1" applyAlignment="1" applyProtection="1">
      <alignment horizontal="left" shrinkToFit="1"/>
      <protection locked="0"/>
    </xf>
    <xf numFmtId="0" fontId="0" fillId="4" borderId="24" xfId="0" applyFill="1" applyBorder="1" applyAlignment="1" applyProtection="1">
      <alignment horizontal="left"/>
      <protection locked="0"/>
    </xf>
    <xf numFmtId="0" fontId="2" fillId="4" borderId="37" xfId="2" applyFont="1" applyFill="1" applyBorder="1" applyAlignment="1" applyProtection="1">
      <alignment horizontal="left" wrapText="1"/>
      <protection locked="0"/>
    </xf>
    <xf numFmtId="0" fontId="5" fillId="4" borderId="72" xfId="0" applyFont="1" applyFill="1" applyBorder="1" applyAlignment="1" applyProtection="1">
      <alignment horizontal="left" vertical="top" wrapText="1"/>
      <protection locked="0"/>
    </xf>
    <xf numFmtId="0" fontId="0" fillId="4" borderId="73" xfId="0" applyFill="1" applyBorder="1" applyAlignment="1" applyProtection="1">
      <alignment horizontal="left" vertical="top" wrapText="1"/>
      <protection locked="0"/>
    </xf>
    <xf numFmtId="0" fontId="0" fillId="4" borderId="74" xfId="0" applyFill="1" applyBorder="1" applyAlignment="1" applyProtection="1">
      <alignment horizontal="left" vertical="top" wrapText="1"/>
      <protection locked="0"/>
    </xf>
    <xf numFmtId="0" fontId="0" fillId="4" borderId="75"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48" xfId="0" applyFill="1" applyBorder="1" applyAlignment="1" applyProtection="1">
      <alignment horizontal="left" vertical="top" wrapText="1"/>
      <protection locked="0"/>
    </xf>
    <xf numFmtId="0" fontId="0" fillId="4" borderId="76" xfId="0"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49" xfId="0" applyFill="1" applyBorder="1" applyAlignment="1" applyProtection="1">
      <alignment horizontal="left" vertical="top" wrapText="1"/>
      <protection locked="0"/>
    </xf>
    <xf numFmtId="176" fontId="5" fillId="4" borderId="37" xfId="0" applyNumberFormat="1" applyFont="1" applyFill="1" applyBorder="1" applyAlignment="1" applyProtection="1">
      <alignment horizontal="left"/>
      <protection locked="0"/>
    </xf>
    <xf numFmtId="176" fontId="5" fillId="4" borderId="38" xfId="0" applyNumberFormat="1" applyFont="1" applyFill="1" applyBorder="1" applyAlignment="1" applyProtection="1">
      <alignment horizontal="left"/>
      <protection locked="0"/>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76" fontId="0" fillId="0" borderId="38" xfId="0" applyNumberFormat="1" applyBorder="1" applyProtection="1">
      <protection locked="0"/>
    </xf>
    <xf numFmtId="0" fontId="5" fillId="2" borderId="0" xfId="0" applyFont="1" applyFill="1" applyBorder="1" applyAlignment="1" applyProtection="1">
      <alignment horizontal="center" wrapText="1"/>
    </xf>
    <xf numFmtId="0" fontId="8" fillId="2" borderId="37" xfId="0" applyFont="1" applyFill="1" applyBorder="1" applyAlignment="1" applyProtection="1">
      <alignment horizontal="center"/>
      <protection hidden="1"/>
    </xf>
    <xf numFmtId="0" fontId="8" fillId="2" borderId="38" xfId="0" applyFont="1" applyFill="1" applyBorder="1" applyAlignment="1" applyProtection="1">
      <alignment horizontal="center"/>
      <protection hidden="1"/>
    </xf>
    <xf numFmtId="0" fontId="10" fillId="4" borderId="37" xfId="0" applyFont="1" applyFill="1" applyBorder="1" applyAlignment="1" applyProtection="1">
      <protection locked="0"/>
    </xf>
    <xf numFmtId="0" fontId="10" fillId="0" borderId="38" xfId="0" applyFont="1" applyBorder="1" applyAlignment="1" applyProtection="1">
      <protection locked="0"/>
    </xf>
    <xf numFmtId="0" fontId="52" fillId="2" borderId="37" xfId="0" applyFont="1" applyFill="1" applyBorder="1" applyAlignment="1" applyProtection="1">
      <alignment horizontal="center"/>
      <protection hidden="1"/>
    </xf>
    <xf numFmtId="0" fontId="52" fillId="2" borderId="38" xfId="0" applyFont="1" applyFill="1" applyBorder="1" applyAlignment="1" applyProtection="1">
      <alignment horizontal="center"/>
      <protection hidden="1"/>
    </xf>
    <xf numFmtId="0" fontId="5" fillId="2" borderId="0" xfId="0" quotePrefix="1" applyFont="1" applyFill="1" applyBorder="1" applyAlignment="1" applyProtection="1">
      <alignment horizontal="center" vertical="center"/>
    </xf>
    <xf numFmtId="0" fontId="10" fillId="2" borderId="36" xfId="0" applyFont="1" applyFill="1" applyBorder="1" applyAlignment="1" applyProtection="1">
      <alignment horizontal="left"/>
      <protection hidden="1"/>
    </xf>
    <xf numFmtId="0" fontId="10" fillId="2" borderId="0" xfId="0" applyFont="1" applyFill="1" applyBorder="1" applyAlignment="1" applyProtection="1">
      <alignment horizontal="left"/>
      <protection hidden="1"/>
    </xf>
    <xf numFmtId="2" fontId="37" fillId="2" borderId="0" xfId="0" applyNumberFormat="1" applyFont="1" applyFill="1" applyBorder="1" applyAlignment="1" applyProtection="1">
      <alignment horizontal="center" vertical="center"/>
      <protection hidden="1"/>
    </xf>
    <xf numFmtId="0" fontId="37" fillId="2" borderId="0" xfId="0" applyFont="1" applyFill="1" applyBorder="1" applyAlignment="1" applyProtection="1">
      <alignment horizontal="center"/>
    </xf>
    <xf numFmtId="0" fontId="9"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2" fontId="49" fillId="2" borderId="0" xfId="0" applyNumberFormat="1" applyFont="1" applyFill="1" applyBorder="1" applyAlignment="1" applyProtection="1">
      <alignment horizontal="center" vertical="center" wrapText="1"/>
    </xf>
    <xf numFmtId="0" fontId="42" fillId="2" borderId="36" xfId="0" applyFont="1" applyFill="1" applyBorder="1" applyAlignment="1" applyProtection="1">
      <alignment horizontal="center"/>
      <protection hidden="1"/>
    </xf>
    <xf numFmtId="0" fontId="42" fillId="2" borderId="0" xfId="0" applyFont="1" applyFill="1" applyBorder="1" applyAlignment="1" applyProtection="1">
      <alignment horizontal="center"/>
      <protection hidden="1"/>
    </xf>
    <xf numFmtId="174" fontId="5" fillId="4" borderId="37" xfId="0" applyNumberFormat="1" applyFont="1" applyFill="1" applyBorder="1" applyAlignment="1" applyProtection="1">
      <alignment wrapText="1"/>
      <protection locked="0"/>
    </xf>
    <xf numFmtId="0" fontId="0" fillId="0" borderId="24" xfId="0" applyBorder="1" applyAlignment="1" applyProtection="1">
      <alignment wrapText="1"/>
      <protection locked="0"/>
    </xf>
    <xf numFmtId="0" fontId="0" fillId="0" borderId="38" xfId="0" applyBorder="1" applyAlignment="1" applyProtection="1">
      <alignment wrapText="1"/>
      <protection locked="0"/>
    </xf>
    <xf numFmtId="4" fontId="53" fillId="2" borderId="0" xfId="0" applyNumberFormat="1" applyFont="1" applyFill="1" applyBorder="1" applyAlignment="1" applyProtection="1">
      <alignment horizontal="center" vertical="center"/>
      <protection hidden="1"/>
    </xf>
    <xf numFmtId="0" fontId="25" fillId="0" borderId="0" xfId="0" applyFont="1" applyAlignment="1" applyProtection="1">
      <alignment vertical="center"/>
      <protection hidden="1"/>
    </xf>
    <xf numFmtId="0" fontId="78"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10" fillId="2" borderId="0" xfId="0" applyFont="1" applyFill="1" applyBorder="1" applyAlignment="1" applyProtection="1">
      <alignment horizontal="center" vertical="center"/>
    </xf>
    <xf numFmtId="0" fontId="5" fillId="2" borderId="0" xfId="0" applyFont="1" applyFill="1" applyAlignment="1">
      <alignment vertical="center" wrapText="1"/>
    </xf>
    <xf numFmtId="0" fontId="0" fillId="0" borderId="0" xfId="0" applyAlignment="1">
      <alignment vertical="center" wrapText="1"/>
    </xf>
    <xf numFmtId="1" fontId="77" fillId="4" borderId="78" xfId="0" applyNumberFormat="1" applyFont="1" applyFill="1" applyBorder="1" applyAlignment="1" applyProtection="1">
      <alignment horizontal="center" vertical="center"/>
    </xf>
    <xf numFmtId="1" fontId="77" fillId="4" borderId="79" xfId="0" applyNumberFormat="1" applyFont="1" applyFill="1" applyBorder="1" applyAlignment="1" applyProtection="1">
      <alignment horizontal="center" vertical="center"/>
    </xf>
    <xf numFmtId="1" fontId="77" fillId="4" borderId="80"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0" fontId="10" fillId="2" borderId="81" xfId="0" applyFont="1" applyFill="1" applyBorder="1" applyAlignment="1" applyProtection="1">
      <alignment horizontal="center" vertical="center" wrapText="1"/>
    </xf>
    <xf numFmtId="0" fontId="0" fillId="0" borderId="12" xfId="0" applyBorder="1" applyAlignment="1">
      <alignment horizontal="center" vertical="center" wrapText="1"/>
    </xf>
    <xf numFmtId="0" fontId="33" fillId="5" borderId="19" xfId="0" applyFont="1" applyFill="1" applyBorder="1" applyAlignment="1" applyProtection="1">
      <alignment vertical="top"/>
    </xf>
    <xf numFmtId="0" fontId="33" fillId="5" borderId="30" xfId="0" applyFont="1" applyFill="1" applyBorder="1" applyAlignment="1" applyProtection="1">
      <alignment vertical="top"/>
    </xf>
    <xf numFmtId="0" fontId="73" fillId="5" borderId="30" xfId="0" applyFont="1" applyFill="1" applyBorder="1" applyAlignment="1" applyProtection="1">
      <alignment vertical="top"/>
    </xf>
    <xf numFmtId="0" fontId="73" fillId="5" borderId="31" xfId="0" applyFont="1" applyFill="1" applyBorder="1" applyAlignment="1" applyProtection="1">
      <alignment vertical="top"/>
    </xf>
    <xf numFmtId="0" fontId="73" fillId="5" borderId="20" xfId="0" applyFont="1" applyFill="1" applyBorder="1" applyAlignment="1" applyProtection="1">
      <alignment vertical="top"/>
    </xf>
    <xf numFmtId="0" fontId="73" fillId="5" borderId="7" xfId="0" applyFont="1" applyFill="1" applyBorder="1" applyAlignment="1" applyProtection="1">
      <alignment vertical="top"/>
    </xf>
    <xf numFmtId="0" fontId="73" fillId="5" borderId="8" xfId="0" applyFont="1" applyFill="1" applyBorder="1" applyAlignment="1" applyProtection="1">
      <alignment vertical="top"/>
    </xf>
    <xf numFmtId="0" fontId="14" fillId="2" borderId="4" xfId="0" applyFont="1" applyFill="1" applyBorder="1" applyAlignment="1" applyProtection="1">
      <alignment horizontal="center" vertical="center" wrapText="1"/>
    </xf>
    <xf numFmtId="0" fontId="0" fillId="0" borderId="4" xfId="0" applyBorder="1" applyAlignment="1">
      <alignment horizontal="center" vertical="center" wrapText="1"/>
    </xf>
    <xf numFmtId="0" fontId="14" fillId="2" borderId="3" xfId="0" applyFont="1" applyFill="1" applyBorder="1" applyAlignment="1" applyProtection="1">
      <alignment horizontal="center" vertical="center" wrapText="1"/>
    </xf>
    <xf numFmtId="0" fontId="14" fillId="2" borderId="11" xfId="2" applyFont="1" applyFill="1" applyBorder="1" applyAlignment="1" applyProtection="1">
      <alignment horizontal="center" vertical="center" wrapText="1"/>
    </xf>
    <xf numFmtId="0" fontId="14" fillId="2" borderId="26" xfId="0" applyFont="1" applyFill="1" applyBorder="1" applyAlignment="1" applyProtection="1">
      <alignment horizontal="left" vertical="center"/>
    </xf>
    <xf numFmtId="0" fontId="14" fillId="2" borderId="46" xfId="0" applyFont="1" applyFill="1" applyBorder="1" applyAlignment="1" applyProtection="1">
      <alignment horizontal="left" vertical="center"/>
    </xf>
    <xf numFmtId="0" fontId="30" fillId="0" borderId="68" xfId="0" applyFont="1" applyFill="1" applyBorder="1" applyAlignment="1" applyProtection="1">
      <alignment horizontal="center" vertical="center" wrapText="1"/>
    </xf>
    <xf numFmtId="0" fontId="30" fillId="0" borderId="58" xfId="0" applyFont="1" applyFill="1" applyBorder="1" applyAlignment="1" applyProtection="1">
      <alignment horizontal="center" vertical="center" wrapText="1"/>
    </xf>
    <xf numFmtId="0" fontId="30" fillId="16" borderId="94" xfId="0" applyFont="1" applyFill="1" applyBorder="1" applyAlignment="1" applyProtection="1">
      <alignment horizontal="center" vertical="center" wrapText="1"/>
    </xf>
    <xf numFmtId="0" fontId="30" fillId="16" borderId="58" xfId="0" applyFont="1" applyFill="1" applyBorder="1" applyAlignment="1" applyProtection="1">
      <alignment horizontal="center" vertical="center" wrapText="1"/>
    </xf>
    <xf numFmtId="0" fontId="79" fillId="2" borderId="82" xfId="0" applyFont="1" applyFill="1" applyBorder="1" applyAlignment="1" applyProtection="1">
      <alignment horizontal="center" vertical="center" wrapText="1"/>
    </xf>
    <xf numFmtId="0" fontId="79" fillId="2" borderId="83" xfId="0" applyFont="1" applyFill="1" applyBorder="1" applyAlignment="1" applyProtection="1">
      <alignment horizontal="center" vertical="center" wrapText="1"/>
    </xf>
    <xf numFmtId="0" fontId="79" fillId="0" borderId="94" xfId="0" applyFont="1" applyBorder="1" applyAlignment="1" applyProtection="1">
      <alignment horizontal="center" vertical="center" wrapText="1"/>
    </xf>
    <xf numFmtId="0" fontId="79" fillId="0" borderId="58" xfId="0" applyFont="1" applyBorder="1" applyAlignment="1" applyProtection="1">
      <alignment horizontal="center" vertical="center" wrapText="1"/>
    </xf>
    <xf numFmtId="0" fontId="30" fillId="4" borderId="82" xfId="0" applyFont="1" applyFill="1" applyBorder="1" applyAlignment="1" applyProtection="1">
      <alignment horizontal="center" vertical="center" wrapText="1"/>
    </xf>
    <xf numFmtId="0" fontId="70" fillId="4" borderId="57" xfId="0" applyFont="1" applyFill="1" applyBorder="1" applyAlignment="1" applyProtection="1">
      <alignment horizontal="center" vertical="center" wrapText="1"/>
    </xf>
    <xf numFmtId="0" fontId="70" fillId="4" borderId="83" xfId="0" applyFont="1" applyFill="1" applyBorder="1" applyAlignment="1" applyProtection="1">
      <alignment horizontal="center" vertical="center" wrapText="1"/>
    </xf>
    <xf numFmtId="0" fontId="0" fillId="0" borderId="83" xfId="0" applyBorder="1" applyAlignment="1" applyProtection="1">
      <alignment horizontal="center" vertical="center"/>
    </xf>
    <xf numFmtId="0" fontId="30" fillId="2" borderId="83"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wrapText="1"/>
    </xf>
    <xf numFmtId="0" fontId="8" fillId="8" borderId="87" xfId="0" applyFont="1" applyFill="1" applyBorder="1" applyAlignment="1" applyProtection="1">
      <alignment horizontal="center" vertical="center" wrapText="1"/>
    </xf>
    <xf numFmtId="0" fontId="8" fillId="8" borderId="88" xfId="0" applyFont="1" applyFill="1" applyBorder="1" applyAlignment="1" applyProtection="1">
      <alignment horizontal="center" vertical="center" wrapText="1"/>
    </xf>
    <xf numFmtId="0" fontId="46" fillId="5" borderId="77" xfId="0" applyFont="1" applyFill="1" applyBorder="1" applyAlignment="1" applyProtection="1">
      <alignment horizontal="center" vertical="top"/>
    </xf>
    <xf numFmtId="0" fontId="46" fillId="5" borderId="17" xfId="0" applyFont="1" applyFill="1" applyBorder="1" applyAlignment="1" applyProtection="1">
      <alignment horizontal="center" vertical="top"/>
    </xf>
    <xf numFmtId="0" fontId="0" fillId="0" borderId="17" xfId="0" applyBorder="1" applyAlignment="1" applyProtection="1"/>
    <xf numFmtId="0" fontId="8" fillId="4" borderId="21" xfId="0" applyFont="1" applyFill="1" applyBorder="1" applyAlignment="1" applyProtection="1">
      <alignment horizontal="center" vertical="center" wrapText="1"/>
    </xf>
    <xf numFmtId="0" fontId="8" fillId="4" borderId="89" xfId="0" applyFont="1" applyFill="1" applyBorder="1" applyAlignment="1" applyProtection="1">
      <alignment horizontal="center" vertical="center" wrapText="1"/>
    </xf>
    <xf numFmtId="0" fontId="8" fillId="4" borderId="90" xfId="0" applyFont="1" applyFill="1" applyBorder="1" applyAlignment="1" applyProtection="1">
      <alignment horizontal="center" vertical="center" wrapText="1"/>
    </xf>
    <xf numFmtId="0" fontId="33" fillId="5" borderId="91" xfId="0" applyFont="1" applyFill="1" applyBorder="1" applyAlignment="1" applyProtection="1">
      <alignment horizontal="center" vertical="center" wrapText="1"/>
    </xf>
    <xf numFmtId="0" fontId="33" fillId="5" borderId="92" xfId="0" applyFont="1" applyFill="1" applyBorder="1" applyAlignment="1" applyProtection="1">
      <alignment horizontal="center" vertical="center" wrapText="1"/>
    </xf>
    <xf numFmtId="0" fontId="34" fillId="5" borderId="92" xfId="0" applyFont="1" applyFill="1" applyBorder="1" applyAlignment="1" applyProtection="1">
      <alignment horizontal="center" vertical="center" wrapText="1"/>
    </xf>
    <xf numFmtId="0" fontId="34" fillId="5" borderId="93"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xf>
    <xf numFmtId="0" fontId="8" fillId="8" borderId="87" xfId="0" applyFont="1" applyFill="1" applyBorder="1" applyAlignment="1" applyProtection="1">
      <alignment horizontal="center" vertical="center"/>
    </xf>
    <xf numFmtId="0" fontId="8" fillId="8" borderId="88" xfId="0" applyFont="1" applyFill="1" applyBorder="1" applyAlignment="1" applyProtection="1">
      <alignment horizontal="center" vertical="center"/>
    </xf>
    <xf numFmtId="0" fontId="79" fillId="2" borderId="84" xfId="0" applyFont="1" applyFill="1" applyBorder="1" applyAlignment="1" applyProtection="1">
      <alignment horizontal="center" vertical="center" wrapText="1"/>
    </xf>
    <xf numFmtId="0" fontId="79" fillId="2" borderId="85" xfId="0" applyFont="1" applyFill="1" applyBorder="1" applyAlignment="1" applyProtection="1">
      <alignment horizontal="center" vertical="center" wrapText="1"/>
    </xf>
    <xf numFmtId="0" fontId="33" fillId="5" borderId="19" xfId="0" applyFont="1" applyFill="1" applyBorder="1" applyAlignment="1" applyProtection="1">
      <alignment horizontal="center" vertical="top"/>
    </xf>
    <xf numFmtId="0" fontId="33" fillId="5" borderId="30" xfId="0" applyFont="1" applyFill="1" applyBorder="1" applyAlignment="1" applyProtection="1">
      <alignment horizontal="center" vertical="top"/>
    </xf>
    <xf numFmtId="0" fontId="33" fillId="5" borderId="31" xfId="0" applyFont="1" applyFill="1" applyBorder="1" applyAlignment="1" applyProtection="1">
      <alignment horizontal="center" vertical="top"/>
    </xf>
    <xf numFmtId="0" fontId="33" fillId="5" borderId="20" xfId="0" applyFont="1" applyFill="1" applyBorder="1" applyAlignment="1" applyProtection="1">
      <alignment horizontal="center" vertical="top"/>
    </xf>
    <xf numFmtId="0" fontId="33" fillId="5" borderId="7" xfId="0" applyFont="1" applyFill="1" applyBorder="1" applyAlignment="1" applyProtection="1">
      <alignment horizontal="center" vertical="top"/>
    </xf>
    <xf numFmtId="0" fontId="33" fillId="5" borderId="8" xfId="0" applyFont="1" applyFill="1" applyBorder="1" applyAlignment="1" applyProtection="1">
      <alignment horizontal="center" vertical="top"/>
    </xf>
    <xf numFmtId="0" fontId="10" fillId="0" borderId="21" xfId="0" quotePrefix="1" applyFont="1" applyFill="1" applyBorder="1" applyAlignment="1">
      <alignment horizontal="left" vertical="center" wrapText="1"/>
    </xf>
    <xf numFmtId="0" fontId="10" fillId="0" borderId="89" xfId="0" quotePrefix="1" applyFont="1" applyFill="1" applyBorder="1" applyAlignment="1">
      <alignment horizontal="left" vertical="center" wrapText="1"/>
    </xf>
    <xf numFmtId="0" fontId="10" fillId="0" borderId="90" xfId="0" quotePrefix="1"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89" xfId="0" applyFont="1" applyFill="1" applyBorder="1" applyAlignment="1">
      <alignment horizontal="left" vertical="center" wrapText="1"/>
    </xf>
    <xf numFmtId="0" fontId="10" fillId="0" borderId="90"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10" fillId="4" borderId="90" xfId="0" applyFont="1" applyFill="1" applyBorder="1" applyAlignment="1">
      <alignment horizontal="left" vertical="center" wrapText="1"/>
    </xf>
    <xf numFmtId="0" fontId="26" fillId="4" borderId="21" xfId="0" applyFont="1" applyFill="1" applyBorder="1" applyAlignment="1">
      <alignment horizontal="left" vertical="center"/>
    </xf>
    <xf numFmtId="0" fontId="26" fillId="4" borderId="89" xfId="0" applyFont="1" applyFill="1" applyBorder="1" applyAlignment="1">
      <alignment horizontal="left" vertical="center"/>
    </xf>
    <xf numFmtId="0" fontId="26" fillId="4" borderId="90" xfId="0" applyFont="1" applyFill="1" applyBorder="1" applyAlignment="1">
      <alignment horizontal="left" vertical="center"/>
    </xf>
    <xf numFmtId="0" fontId="0" fillId="0" borderId="27" xfId="0" applyBorder="1" applyAlignment="1" applyProtection="1">
      <alignment horizontal="center"/>
      <protection hidden="1"/>
    </xf>
    <xf numFmtId="0" fontId="0" fillId="0" borderId="0" xfId="0" applyBorder="1" applyAlignment="1" applyProtection="1">
      <alignment horizontal="center"/>
      <protection hidden="1"/>
    </xf>
    <xf numFmtId="0" fontId="10" fillId="4" borderId="25" xfId="0" applyFont="1" applyFill="1" applyBorder="1" applyAlignment="1">
      <alignment vertical="top" wrapText="1"/>
    </xf>
    <xf numFmtId="0" fontId="10" fillId="4" borderId="26" xfId="0" applyFont="1" applyFill="1" applyBorder="1" applyAlignment="1">
      <alignment vertical="top" wrapText="1"/>
    </xf>
    <xf numFmtId="0" fontId="10" fillId="4" borderId="95" xfId="0" applyFont="1" applyFill="1" applyBorder="1" applyAlignment="1">
      <alignment vertical="top" wrapText="1"/>
    </xf>
    <xf numFmtId="0" fontId="10" fillId="4" borderId="0" xfId="0" applyFont="1" applyFill="1" applyBorder="1" applyAlignment="1">
      <alignment horizontal="center" vertical="top"/>
    </xf>
    <xf numFmtId="0" fontId="19" fillId="5" borderId="95" xfId="0" applyFont="1" applyFill="1" applyBorder="1" applyAlignment="1">
      <alignment horizontal="left" vertical="center"/>
    </xf>
    <xf numFmtId="0" fontId="19" fillId="5" borderId="55" xfId="0" applyFont="1" applyFill="1" applyBorder="1" applyAlignment="1">
      <alignment horizontal="left" vertical="center"/>
    </xf>
    <xf numFmtId="0" fontId="19" fillId="5" borderId="56" xfId="0" applyFont="1" applyFill="1" applyBorder="1" applyAlignment="1">
      <alignment horizontal="left" vertical="center"/>
    </xf>
    <xf numFmtId="0" fontId="5" fillId="0" borderId="68" xfId="0" applyFont="1" applyBorder="1" applyAlignment="1">
      <alignment horizontal="center"/>
    </xf>
    <xf numFmtId="0" fontId="5" fillId="0" borderId="66" xfId="0" applyFont="1" applyBorder="1" applyAlignment="1">
      <alignment horizontal="center"/>
    </xf>
    <xf numFmtId="0" fontId="5" fillId="0" borderId="69" xfId="0" applyFont="1" applyBorder="1" applyAlignment="1">
      <alignment horizontal="center"/>
    </xf>
    <xf numFmtId="0" fontId="40" fillId="0" borderId="1" xfId="0" applyFont="1" applyBorder="1" applyAlignment="1" applyProtection="1">
      <alignment horizontal="left"/>
      <protection hidden="1"/>
    </xf>
    <xf numFmtId="0" fontId="10" fillId="0" borderId="21" xfId="0" quotePrefix="1" applyFont="1" applyBorder="1" applyAlignment="1">
      <alignment horizontal="left" vertical="top" wrapText="1"/>
    </xf>
    <xf numFmtId="0" fontId="10" fillId="0" borderId="89" xfId="0" quotePrefix="1" applyFont="1" applyBorder="1" applyAlignment="1">
      <alignment horizontal="left" vertical="top" wrapText="1"/>
    </xf>
    <xf numFmtId="0" fontId="10" fillId="0" borderId="90" xfId="0" quotePrefix="1" applyFont="1" applyBorder="1" applyAlignment="1">
      <alignment horizontal="left" vertical="top" wrapText="1"/>
    </xf>
    <xf numFmtId="0" fontId="40" fillId="4" borderId="82" xfId="0" applyFont="1" applyFill="1" applyBorder="1" applyAlignment="1" applyProtection="1">
      <alignment horizontal="center" vertical="center"/>
      <protection locked="0" hidden="1"/>
    </xf>
    <xf numFmtId="0" fontId="40" fillId="4" borderId="51" xfId="0" applyFont="1" applyFill="1" applyBorder="1" applyAlignment="1" applyProtection="1">
      <alignment horizontal="center" vertical="center"/>
      <protection locked="0" hidden="1"/>
    </xf>
    <xf numFmtId="0" fontId="12" fillId="0" borderId="21" xfId="0" applyFont="1" applyBorder="1" applyAlignment="1">
      <alignment horizontal="center" wrapText="1"/>
    </xf>
    <xf numFmtId="0" fontId="12" fillId="0" borderId="89" xfId="0" applyFont="1" applyBorder="1" applyAlignment="1">
      <alignment horizontal="center" wrapText="1"/>
    </xf>
    <xf numFmtId="0" fontId="12" fillId="0" borderId="90" xfId="0" applyFont="1" applyBorder="1" applyAlignment="1">
      <alignment horizontal="center" wrapText="1"/>
    </xf>
    <xf numFmtId="0" fontId="10" fillId="0" borderId="21" xfId="0" applyFont="1" applyBorder="1" applyAlignment="1">
      <alignment horizontal="left" vertical="center" wrapText="1"/>
    </xf>
    <xf numFmtId="0" fontId="10" fillId="0" borderId="89" xfId="0" applyFont="1" applyBorder="1" applyAlignment="1">
      <alignment horizontal="left" vertical="center" wrapText="1"/>
    </xf>
    <xf numFmtId="0" fontId="10" fillId="0" borderId="90" xfId="0" applyFont="1" applyBorder="1" applyAlignment="1">
      <alignment horizontal="left" vertical="center" wrapText="1"/>
    </xf>
    <xf numFmtId="0" fontId="10" fillId="4" borderId="21" xfId="0" quotePrefix="1" applyFont="1" applyFill="1" applyBorder="1" applyAlignment="1">
      <alignment horizontal="left" vertical="center" wrapText="1"/>
    </xf>
    <xf numFmtId="0" fontId="10" fillId="4" borderId="89" xfId="0" quotePrefix="1" applyFont="1" applyFill="1" applyBorder="1" applyAlignment="1">
      <alignment horizontal="left" vertical="center" wrapText="1"/>
    </xf>
    <xf numFmtId="0" fontId="10" fillId="4" borderId="90" xfId="0" quotePrefix="1" applyFont="1" applyFill="1" applyBorder="1" applyAlignment="1">
      <alignment horizontal="left" vertical="center" wrapText="1"/>
    </xf>
    <xf numFmtId="0" fontId="19" fillId="5" borderId="68" xfId="0" applyFont="1" applyFill="1" applyBorder="1" applyAlignment="1">
      <alignment horizontal="left" vertical="center" wrapText="1"/>
    </xf>
    <xf numFmtId="0" fontId="0" fillId="0" borderId="69" xfId="0" applyBorder="1" applyAlignment="1">
      <alignment horizontal="left" vertical="center" wrapText="1"/>
    </xf>
    <xf numFmtId="0" fontId="26" fillId="4" borderId="25" xfId="0" applyFont="1" applyFill="1" applyBorder="1" applyAlignment="1">
      <alignment horizontal="left" vertical="center"/>
    </xf>
    <xf numFmtId="0" fontId="26" fillId="4" borderId="28" xfId="0" applyFont="1" applyFill="1" applyBorder="1" applyAlignment="1">
      <alignment horizontal="left" vertical="center"/>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10" fillId="0" borderId="56" xfId="0" applyFont="1" applyFill="1" applyBorder="1" applyAlignment="1">
      <alignment horizontal="left" vertical="center" wrapText="1"/>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95" xfId="0" applyFont="1" applyFill="1" applyBorder="1" applyAlignment="1">
      <alignment horizontal="left" vertical="center" wrapText="1"/>
    </xf>
    <xf numFmtId="0" fontId="28" fillId="5" borderId="77" xfId="0" applyFont="1" applyFill="1" applyBorder="1" applyAlignment="1">
      <alignment horizontal="center" vertical="top"/>
    </xf>
    <xf numFmtId="0" fontId="28" fillId="5" borderId="17" xfId="0" applyFont="1" applyFill="1" applyBorder="1" applyAlignment="1">
      <alignment horizontal="center" vertical="top"/>
    </xf>
    <xf numFmtId="0" fontId="0" fillId="0" borderId="21" xfId="0" applyBorder="1" applyAlignment="1">
      <alignment horizontal="left" vertical="top" wrapText="1"/>
    </xf>
    <xf numFmtId="0" fontId="0" fillId="0" borderId="89" xfId="0" applyBorder="1" applyAlignment="1">
      <alignment horizontal="left" vertical="top" wrapText="1"/>
    </xf>
    <xf numFmtId="0" fontId="0" fillId="0" borderId="90" xfId="0" applyBorder="1" applyAlignment="1">
      <alignment horizontal="left" vertical="top" wrapText="1"/>
    </xf>
    <xf numFmtId="0" fontId="10" fillId="4" borderId="21" xfId="0" applyFont="1" applyFill="1" applyBorder="1" applyAlignment="1">
      <alignment horizontal="left" vertical="top" wrapText="1"/>
    </xf>
    <xf numFmtId="0" fontId="10" fillId="4" borderId="89" xfId="0" applyFont="1" applyFill="1" applyBorder="1" applyAlignment="1">
      <alignment horizontal="left" vertical="top" wrapText="1"/>
    </xf>
    <xf numFmtId="0" fontId="10" fillId="4" borderId="90" xfId="0" applyFont="1" applyFill="1" applyBorder="1" applyAlignment="1">
      <alignment horizontal="left" vertical="top" wrapText="1"/>
    </xf>
    <xf numFmtId="0" fontId="5" fillId="4" borderId="50" xfId="0" applyFont="1" applyFill="1" applyBorder="1" applyAlignment="1">
      <alignment horizontal="left" vertical="top" wrapText="1"/>
    </xf>
    <xf numFmtId="0" fontId="5" fillId="4" borderId="57" xfId="0" applyFont="1" applyFill="1" applyBorder="1" applyAlignment="1">
      <alignment horizontal="left" vertical="top" wrapText="1"/>
    </xf>
    <xf numFmtId="0" fontId="5" fillId="4" borderId="83" xfId="0" applyFont="1" applyFill="1" applyBorder="1" applyAlignment="1">
      <alignment horizontal="left" vertical="top" wrapText="1"/>
    </xf>
    <xf numFmtId="0" fontId="5" fillId="4" borderId="118" xfId="0" applyFont="1" applyFill="1" applyBorder="1" applyAlignment="1">
      <alignment horizontal="left" vertical="top" wrapText="1"/>
    </xf>
    <xf numFmtId="0" fontId="5" fillId="4" borderId="119" xfId="0" applyFont="1" applyFill="1" applyBorder="1" applyAlignment="1">
      <alignment horizontal="left" vertical="top" wrapText="1"/>
    </xf>
    <xf numFmtId="0" fontId="5" fillId="4" borderId="85" xfId="0" applyFont="1" applyFill="1" applyBorder="1" applyAlignment="1">
      <alignment horizontal="left" vertical="top" wrapText="1"/>
    </xf>
    <xf numFmtId="0" fontId="5" fillId="4" borderId="51" xfId="0" applyFont="1" applyFill="1" applyBorder="1" applyAlignment="1">
      <alignment horizontal="left" vertical="top" wrapText="1"/>
    </xf>
    <xf numFmtId="0" fontId="8" fillId="2" borderId="21" xfId="0" applyFont="1" applyFill="1" applyBorder="1" applyAlignment="1">
      <alignment horizontal="center" vertical="center"/>
    </xf>
    <xf numFmtId="0" fontId="8" fillId="2" borderId="89" xfId="0" applyFont="1" applyFill="1" applyBorder="1" applyAlignment="1">
      <alignment horizontal="center" vertical="center"/>
    </xf>
    <xf numFmtId="0" fontId="8" fillId="2" borderId="90" xfId="0" applyFont="1" applyFill="1" applyBorder="1" applyAlignment="1">
      <alignment horizontal="center" vertical="center"/>
    </xf>
    <xf numFmtId="0" fontId="5" fillId="4" borderId="116" xfId="0" applyFont="1" applyFill="1" applyBorder="1" applyAlignment="1">
      <alignment horizontal="left" vertical="top" wrapText="1"/>
    </xf>
    <xf numFmtId="0" fontId="5" fillId="4" borderId="87" xfId="0" applyFont="1" applyFill="1" applyBorder="1" applyAlignment="1">
      <alignment horizontal="left" vertical="top" wrapText="1"/>
    </xf>
    <xf numFmtId="0" fontId="5" fillId="4" borderId="117" xfId="0" applyFont="1" applyFill="1" applyBorder="1" applyAlignment="1">
      <alignment horizontal="left" vertical="top" wrapText="1"/>
    </xf>
    <xf numFmtId="0" fontId="5" fillId="4" borderId="88" xfId="0" applyFont="1" applyFill="1" applyBorder="1" applyAlignment="1">
      <alignment horizontal="left" vertical="top" wrapText="1"/>
    </xf>
    <xf numFmtId="0" fontId="33" fillId="5" borderId="21" xfId="0" applyFont="1" applyFill="1" applyBorder="1" applyAlignment="1">
      <alignment horizontal="center" vertical="center" wrapText="1"/>
    </xf>
    <xf numFmtId="0" fontId="33" fillId="5" borderId="89" xfId="0" applyFont="1" applyFill="1" applyBorder="1" applyAlignment="1">
      <alignment horizontal="center" vertical="center" wrapText="1"/>
    </xf>
    <xf numFmtId="0" fontId="33" fillId="5" borderId="90" xfId="0" applyFont="1" applyFill="1" applyBorder="1" applyAlignment="1">
      <alignment horizontal="center" vertical="center" wrapText="1"/>
    </xf>
    <xf numFmtId="0" fontId="25" fillId="17" borderId="110" xfId="0" applyFont="1" applyFill="1" applyBorder="1" applyAlignment="1">
      <alignment horizontal="center" vertical="center" wrapText="1"/>
    </xf>
    <xf numFmtId="0" fontId="25" fillId="17" borderId="111" xfId="0" applyFont="1" applyFill="1" applyBorder="1" applyAlignment="1">
      <alignment horizontal="center" vertical="center" wrapText="1"/>
    </xf>
    <xf numFmtId="0" fontId="25" fillId="17" borderId="112" xfId="0" applyFont="1" applyFill="1" applyBorder="1" applyAlignment="1">
      <alignment horizontal="center" vertical="center" wrapText="1"/>
    </xf>
    <xf numFmtId="0" fontId="25" fillId="17" borderId="113" xfId="0" applyFont="1" applyFill="1" applyBorder="1" applyAlignment="1">
      <alignment horizontal="center" vertical="center" wrapText="1"/>
    </xf>
    <xf numFmtId="0" fontId="25" fillId="0" borderId="113" xfId="0" applyFont="1" applyBorder="1" applyAlignment="1">
      <alignment horizontal="center" vertical="center" wrapText="1"/>
    </xf>
    <xf numFmtId="0" fontId="25" fillId="0" borderId="111" xfId="0" applyFont="1" applyBorder="1" applyAlignment="1">
      <alignment horizontal="center" vertical="center" wrapText="1"/>
    </xf>
    <xf numFmtId="0" fontId="25" fillId="0" borderId="114" xfId="0" applyFont="1" applyBorder="1" applyAlignment="1">
      <alignment horizontal="center" vertical="center" wrapText="1"/>
    </xf>
    <xf numFmtId="0" fontId="12" fillId="4" borderId="21" xfId="0" applyFont="1" applyFill="1" applyBorder="1" applyAlignment="1">
      <alignment horizontal="left" wrapText="1"/>
    </xf>
    <xf numFmtId="0" fontId="12" fillId="4" borderId="89" xfId="0" applyFont="1" applyFill="1" applyBorder="1" applyAlignment="1">
      <alignment horizontal="left" wrapText="1"/>
    </xf>
    <xf numFmtId="0" fontId="12" fillId="4" borderId="90" xfId="0" applyFont="1" applyFill="1" applyBorder="1" applyAlignment="1">
      <alignment horizontal="left" wrapText="1"/>
    </xf>
    <xf numFmtId="0" fontId="69" fillId="0" borderId="115" xfId="0" applyFont="1" applyBorder="1" applyAlignment="1">
      <alignment horizontal="center" vertical="center"/>
    </xf>
    <xf numFmtId="0" fontId="69" fillId="0" borderId="92" xfId="0" applyFont="1" applyBorder="1" applyAlignment="1">
      <alignment horizontal="center" vertical="center"/>
    </xf>
    <xf numFmtId="0" fontId="69" fillId="0" borderId="93" xfId="0" applyFont="1" applyBorder="1" applyAlignment="1">
      <alignment horizontal="center" vertical="center"/>
    </xf>
    <xf numFmtId="0" fontId="67" fillId="2" borderId="106" xfId="0" applyFont="1" applyFill="1" applyBorder="1" applyAlignment="1">
      <alignment horizontal="center" vertical="center"/>
    </xf>
    <xf numFmtId="0" fontId="67" fillId="2" borderId="100" xfId="0" applyFont="1" applyFill="1" applyBorder="1" applyAlignment="1">
      <alignment horizontal="center" vertical="center"/>
    </xf>
    <xf numFmtId="0" fontId="67" fillId="2" borderId="101" xfId="0" applyFont="1" applyFill="1" applyBorder="1" applyAlignment="1">
      <alignment horizontal="center" vertical="center"/>
    </xf>
    <xf numFmtId="0" fontId="40" fillId="0" borderId="107" xfId="0" applyFont="1" applyBorder="1" applyAlignment="1">
      <alignment horizontal="center" vertical="center"/>
    </xf>
    <xf numFmtId="0" fontId="40" fillId="0" borderId="103" xfId="0" applyFont="1" applyBorder="1" applyAlignment="1">
      <alignment horizontal="center" vertical="center"/>
    </xf>
    <xf numFmtId="0" fontId="40" fillId="0" borderId="104" xfId="0" applyFont="1" applyBorder="1" applyAlignment="1">
      <alignment horizontal="center" vertical="center"/>
    </xf>
    <xf numFmtId="0" fontId="25" fillId="0" borderId="106" xfId="0" applyFont="1" applyBorder="1" applyAlignment="1">
      <alignment horizontal="center" vertical="center" wrapText="1"/>
    </xf>
    <xf numFmtId="0" fontId="25" fillId="0" borderId="100" xfId="0" applyFont="1" applyBorder="1" applyAlignment="1">
      <alignment horizontal="center" vertical="center" wrapText="1"/>
    </xf>
    <xf numFmtId="0" fontId="25" fillId="0" borderId="108" xfId="0" applyFont="1" applyBorder="1" applyAlignment="1">
      <alignment horizontal="center" vertical="center" wrapText="1"/>
    </xf>
    <xf numFmtId="0" fontId="25" fillId="0" borderId="105"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1" xfId="0" applyFont="1" applyBorder="1" applyAlignment="1">
      <alignment horizontal="center" vertical="center" wrapText="1"/>
    </xf>
    <xf numFmtId="0" fontId="40" fillId="0" borderId="102" xfId="0" applyFont="1" applyBorder="1" applyAlignment="1">
      <alignment horizontal="center" vertical="center"/>
    </xf>
    <xf numFmtId="0" fontId="40" fillId="0" borderId="109" xfId="0" applyFont="1" applyBorder="1" applyAlignment="1">
      <alignment horizontal="center" vertical="center"/>
    </xf>
    <xf numFmtId="0" fontId="25" fillId="0" borderId="99" xfId="0" applyFont="1" applyBorder="1" applyAlignment="1">
      <alignment horizontal="center" vertical="center" wrapText="1"/>
    </xf>
    <xf numFmtId="0" fontId="25" fillId="0" borderId="50" xfId="0" applyFont="1" applyBorder="1" applyAlignment="1">
      <alignment horizontal="center" vertical="center" wrapText="1"/>
    </xf>
    <xf numFmtId="0" fontId="25" fillId="0" borderId="83" xfId="0" applyFont="1" applyBorder="1" applyAlignment="1">
      <alignment horizontal="center" vertical="center" wrapText="1"/>
    </xf>
    <xf numFmtId="0" fontId="25" fillId="17" borderId="105" xfId="0" applyFont="1" applyFill="1" applyBorder="1" applyAlignment="1">
      <alignment horizontal="center" vertical="center" wrapText="1"/>
    </xf>
    <xf numFmtId="0" fontId="25" fillId="17" borderId="57" xfId="0" applyFont="1" applyFill="1" applyBorder="1" applyAlignment="1">
      <alignment horizontal="center" vertical="center" wrapText="1"/>
    </xf>
    <xf numFmtId="0" fontId="25" fillId="17" borderId="51" xfId="0" applyFont="1" applyFill="1" applyBorder="1" applyAlignment="1">
      <alignment horizontal="center" vertical="center" wrapText="1"/>
    </xf>
    <xf numFmtId="0" fontId="25" fillId="4" borderId="50" xfId="0" applyFont="1" applyFill="1" applyBorder="1" applyAlignment="1">
      <alignment horizontal="center" vertical="center" wrapText="1"/>
    </xf>
    <xf numFmtId="0" fontId="25" fillId="4" borderId="57" xfId="0" applyFont="1" applyFill="1" applyBorder="1" applyAlignment="1">
      <alignment horizontal="center" vertical="center" wrapText="1"/>
    </xf>
    <xf numFmtId="0" fontId="25" fillId="4" borderId="51" xfId="0" applyFont="1" applyFill="1" applyBorder="1" applyAlignment="1">
      <alignment horizontal="center" vertical="center" wrapText="1"/>
    </xf>
    <xf numFmtId="0" fontId="25" fillId="17" borderId="50" xfId="0" applyFont="1" applyFill="1" applyBorder="1" applyAlignment="1">
      <alignment horizontal="center" vertical="center" wrapText="1"/>
    </xf>
    <xf numFmtId="0" fontId="33" fillId="5" borderId="77" xfId="0" applyFont="1" applyFill="1" applyBorder="1" applyAlignment="1">
      <alignment horizontal="center" vertical="top"/>
    </xf>
    <xf numFmtId="0" fontId="33" fillId="5" borderId="17" xfId="0" applyFont="1" applyFill="1" applyBorder="1" applyAlignment="1">
      <alignment horizontal="center" vertical="top"/>
    </xf>
    <xf numFmtId="0" fontId="73" fillId="5" borderId="17" xfId="0" applyFont="1" applyFill="1" applyBorder="1" applyAlignment="1">
      <alignment horizontal="center" vertical="top"/>
    </xf>
    <xf numFmtId="0" fontId="74" fillId="0" borderId="17" xfId="0" applyFont="1" applyBorder="1" applyAlignment="1"/>
    <xf numFmtId="0" fontId="66" fillId="0" borderId="96" xfId="0" applyFont="1" applyBorder="1" applyAlignment="1">
      <alignment horizontal="center" vertical="center"/>
    </xf>
    <xf numFmtId="0" fontId="66" fillId="0" borderId="97" xfId="0" applyFont="1" applyBorder="1" applyAlignment="1">
      <alignment horizontal="center" vertical="center"/>
    </xf>
    <xf numFmtId="0" fontId="66" fillId="0" borderId="98" xfId="0" applyFont="1" applyBorder="1" applyAlignment="1">
      <alignment horizontal="center" vertical="center"/>
    </xf>
    <xf numFmtId="0" fontId="25" fillId="0" borderId="101" xfId="0" applyFont="1" applyBorder="1" applyAlignment="1">
      <alignment horizontal="center" vertical="center" wrapText="1"/>
    </xf>
    <xf numFmtId="174" fontId="5" fillId="4" borderId="37" xfId="0" applyNumberFormat="1" applyFont="1" applyFill="1" applyBorder="1" applyAlignment="1" applyProtection="1">
      <alignment wrapText="1"/>
    </xf>
    <xf numFmtId="0" fontId="0" fillId="0" borderId="24" xfId="0" applyBorder="1" applyAlignment="1" applyProtection="1">
      <alignment wrapText="1"/>
    </xf>
    <xf numFmtId="0" fontId="0" fillId="0" borderId="38" xfId="0" applyBorder="1" applyAlignment="1" applyProtection="1">
      <alignment wrapText="1"/>
    </xf>
    <xf numFmtId="4" fontId="53" fillId="2" borderId="0" xfId="0" applyNumberFormat="1" applyFont="1" applyFill="1" applyBorder="1" applyAlignment="1" applyProtection="1">
      <alignment horizontal="center" vertical="center"/>
    </xf>
    <xf numFmtId="0" fontId="25" fillId="0" borderId="0" xfId="0" applyFont="1" applyAlignment="1" applyProtection="1">
      <alignment vertical="center"/>
    </xf>
    <xf numFmtId="0" fontId="5" fillId="2" borderId="0" xfId="0" applyFont="1" applyFill="1" applyAlignment="1" applyProtection="1">
      <alignment vertical="center" wrapText="1"/>
    </xf>
    <xf numFmtId="0" fontId="10" fillId="2" borderId="36" xfId="0" applyFont="1" applyFill="1" applyBorder="1" applyAlignment="1" applyProtection="1">
      <alignment horizontal="left"/>
    </xf>
    <xf numFmtId="0" fontId="10" fillId="2" borderId="0" xfId="0" applyFont="1" applyFill="1" applyBorder="1" applyAlignment="1" applyProtection="1">
      <alignment horizontal="left"/>
    </xf>
    <xf numFmtId="2" fontId="37" fillId="2" borderId="0" xfId="0" applyNumberFormat="1" applyFont="1" applyFill="1" applyBorder="1" applyAlignment="1" applyProtection="1">
      <alignment horizontal="center" vertical="center"/>
    </xf>
    <xf numFmtId="176" fontId="5" fillId="4" borderId="37" xfId="0" applyNumberFormat="1" applyFont="1" applyFill="1" applyBorder="1" applyAlignment="1" applyProtection="1">
      <alignment horizontal="left"/>
    </xf>
    <xf numFmtId="176" fontId="5" fillId="4" borderId="38" xfId="0" applyNumberFormat="1" applyFont="1" applyFill="1" applyBorder="1" applyAlignment="1" applyProtection="1">
      <alignment horizontal="left"/>
    </xf>
    <xf numFmtId="0" fontId="42" fillId="2" borderId="36" xfId="0" applyFont="1" applyFill="1" applyBorder="1" applyAlignment="1" applyProtection="1">
      <alignment horizontal="center"/>
    </xf>
    <xf numFmtId="0" fontId="42" fillId="2" borderId="0" xfId="0" applyFont="1" applyFill="1" applyBorder="1" applyAlignment="1" applyProtection="1">
      <alignment horizontal="center"/>
    </xf>
    <xf numFmtId="176" fontId="0" fillId="0" borderId="38" xfId="0" applyNumberFormat="1" applyBorder="1" applyProtection="1"/>
    <xf numFmtId="0" fontId="8" fillId="2" borderId="37" xfId="0" applyFont="1" applyFill="1" applyBorder="1" applyAlignment="1" applyProtection="1">
      <alignment horizontal="center"/>
    </xf>
    <xf numFmtId="0" fontId="8" fillId="2" borderId="38" xfId="0" applyFont="1" applyFill="1" applyBorder="1" applyAlignment="1" applyProtection="1">
      <alignment horizontal="center"/>
    </xf>
    <xf numFmtId="0" fontId="10" fillId="4" borderId="37" xfId="0" applyFont="1" applyFill="1" applyBorder="1" applyAlignment="1" applyProtection="1"/>
    <xf numFmtId="0" fontId="10" fillId="0" borderId="38" xfId="0" applyFont="1" applyBorder="1" applyAlignment="1" applyProtection="1"/>
    <xf numFmtId="0" fontId="52" fillId="2" borderId="37" xfId="0" applyFont="1" applyFill="1" applyBorder="1" applyAlignment="1" applyProtection="1">
      <alignment horizontal="center"/>
    </xf>
    <xf numFmtId="0" fontId="52" fillId="2" borderId="38" xfId="0" applyFont="1" applyFill="1" applyBorder="1" applyAlignment="1" applyProtection="1">
      <alignment horizontal="center"/>
    </xf>
    <xf numFmtId="0" fontId="35" fillId="5" borderId="26" xfId="0" quotePrefix="1" applyFont="1" applyFill="1" applyBorder="1" applyAlignment="1">
      <alignment horizontal="left" vertical="top" wrapText="1"/>
    </xf>
    <xf numFmtId="0" fontId="35" fillId="5" borderId="95" xfId="0" quotePrefix="1" applyFont="1" applyFill="1" applyBorder="1" applyAlignment="1">
      <alignment horizontal="left" vertical="top" wrapText="1"/>
    </xf>
    <xf numFmtId="0" fontId="35" fillId="5" borderId="29" xfId="0" quotePrefix="1" applyFont="1" applyFill="1" applyBorder="1" applyAlignment="1">
      <alignment horizontal="left" vertical="top" wrapText="1"/>
    </xf>
    <xf numFmtId="0" fontId="35" fillId="5" borderId="56" xfId="0" quotePrefix="1" applyFont="1" applyFill="1" applyBorder="1" applyAlignment="1">
      <alignment horizontal="left" vertical="top" wrapText="1"/>
    </xf>
  </cellXfs>
  <cellStyles count="3">
    <cellStyle name="Comma" xfId="1" builtinId="3"/>
    <cellStyle name="Hyperlink" xfId="2" builtinId="8"/>
    <cellStyle name="Normal" xfId="0" builtinId="0"/>
  </cellStyles>
  <dxfs count="157">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ill>
        <patternFill>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font>
      <fill>
        <patternFill patternType="none">
          <bgColor indexed="65"/>
        </patternFill>
      </fill>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P$26"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P$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checked="Checked" firstButton="1" fmlaLink="$P$38"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fmlaLink="$P$26"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firstButton="1" fmlaLink="$P$42" lockText="1" noThreeD="1"/>
</file>

<file path=xl/ctrlProps/ctrlProp15.xml><?xml version="1.0" encoding="utf-8"?>
<formControlPr xmlns="http://schemas.microsoft.com/office/spreadsheetml/2009/9/main" objectType="Radio" checked="Checked"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P$38"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Radio" firstButton="1" fmlaLink="$P$26"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firstButton="1" fmlaLink="$P$42" lockText="1" noThreeD="1"/>
</file>

<file path=xl/ctrlProps/ctrlProp24.xml><?xml version="1.0" encoding="utf-8"?>
<formControlPr xmlns="http://schemas.microsoft.com/office/spreadsheetml/2009/9/main" objectType="Radio" checked="Checked" lockText="1"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firstButton="1" fmlaLink="$P$38"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Service Connection Diagram'!A1"/><Relationship Id="rId3" Type="http://schemas.openxmlformats.org/officeDocument/2006/relationships/hyperlink" Target="#'Loss Control Planning'!A1"/><Relationship Id="rId7" Type="http://schemas.openxmlformats.org/officeDocument/2006/relationships/hyperlink" Target="#'Grading Matrix'!A1"/><Relationship Id="rId2" Type="http://schemas.openxmlformats.org/officeDocument/2006/relationships/hyperlink" Target="#'Reporting Worksheet'!A1"/><Relationship Id="rId1" Type="http://schemas.openxmlformats.org/officeDocument/2006/relationships/hyperlink" Target="#Instructions!A1"/><Relationship Id="rId6" Type="http://schemas.openxmlformats.org/officeDocument/2006/relationships/hyperlink" Target="#Definitions!C55:L59"/><Relationship Id="rId5" Type="http://schemas.openxmlformats.org/officeDocument/2006/relationships/hyperlink" Target="#Definitions!A1"/><Relationship Id="rId4" Type="http://schemas.openxmlformats.org/officeDocument/2006/relationships/hyperlink" Target="#'Water Balance'!A1"/></Relationships>
</file>

<file path=xl/drawings/_rels/drawing2.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5.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efinitions!C10:E10"/><Relationship Id="rId5" Type="http://schemas.openxmlformats.org/officeDocument/2006/relationships/hyperlink" Target="#'Reporting Worksheet'!B65:D65"/><Relationship Id="rId4"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hyperlink" Target="#'Reporting Worksheet'!B14:D14"/><Relationship Id="rId13" Type="http://schemas.openxmlformats.org/officeDocument/2006/relationships/hyperlink" Target="#Instructions!G24"/><Relationship Id="rId18" Type="http://schemas.openxmlformats.org/officeDocument/2006/relationships/hyperlink" Target="#'Reporting Worksheet'!B47:D48"/><Relationship Id="rId26" Type="http://schemas.openxmlformats.org/officeDocument/2006/relationships/hyperlink" Target="#'Reporting Worksheet'!B15:D15"/><Relationship Id="rId3" Type="http://schemas.openxmlformats.org/officeDocument/2006/relationships/hyperlink" Target="#'Reporting Worksheet'!B43:D43"/><Relationship Id="rId21" Type="http://schemas.openxmlformats.org/officeDocument/2006/relationships/hyperlink" Target="#'Reporting Worksheet'!B24:D24"/><Relationship Id="rId7" Type="http://schemas.openxmlformats.org/officeDocument/2006/relationships/hyperlink" Target="#'Reporting Worksheet'!B99:G99"/><Relationship Id="rId12" Type="http://schemas.openxmlformats.org/officeDocument/2006/relationships/image" Target="../media/image4.png"/><Relationship Id="rId17" Type="http://schemas.openxmlformats.org/officeDocument/2006/relationships/hyperlink" Target="#'Reporting Worksheet'!B65:D65"/><Relationship Id="rId25" Type="http://schemas.openxmlformats.org/officeDocument/2006/relationships/hyperlink" Target="#'Reporting Worksheet'!B62:D62"/><Relationship Id="rId2" Type="http://schemas.openxmlformats.org/officeDocument/2006/relationships/hyperlink" Target="#'Reporting Worksheet'!B25:D25"/><Relationship Id="rId16" Type="http://schemas.openxmlformats.org/officeDocument/2006/relationships/hyperlink" Target="#'Reporting Worksheet'!B74:D74"/><Relationship Id="rId20" Type="http://schemas.openxmlformats.org/officeDocument/2006/relationships/hyperlink" Target="#'Reporting Worksheet'!B30:D30"/><Relationship Id="rId29" Type="http://schemas.openxmlformats.org/officeDocument/2006/relationships/hyperlink" Target="#'Reporting Worksheet'!B26:D26"/><Relationship Id="rId1" Type="http://schemas.openxmlformats.org/officeDocument/2006/relationships/hyperlink" Target="#'Reporting Worksheet'!B23:D23"/><Relationship Id="rId6" Type="http://schemas.openxmlformats.org/officeDocument/2006/relationships/hyperlink" Target="#Instructions!A1"/><Relationship Id="rId11" Type="http://schemas.openxmlformats.org/officeDocument/2006/relationships/hyperlink" Target="#'Reporting Worksheet'!B76:D76"/><Relationship Id="rId24" Type="http://schemas.openxmlformats.org/officeDocument/2006/relationships/hyperlink" Target="#'Reporting Worksheet'!B105:D105"/><Relationship Id="rId5" Type="http://schemas.openxmlformats.org/officeDocument/2006/relationships/hyperlink" Target="#'Reporting Worksheet'!K22:L44"/><Relationship Id="rId15" Type="http://schemas.openxmlformats.org/officeDocument/2006/relationships/hyperlink" Target="#'Reporting Worksheet'!B58:D58"/><Relationship Id="rId23" Type="http://schemas.openxmlformats.org/officeDocument/2006/relationships/hyperlink" Target="#'Reporting Worksheet'!B75:D75"/><Relationship Id="rId28" Type="http://schemas.openxmlformats.org/officeDocument/2006/relationships/hyperlink" Target="#'Reporting Worksheet'!B38:D38"/><Relationship Id="rId10" Type="http://schemas.openxmlformats.org/officeDocument/2006/relationships/hyperlink" Target="#'Reporting Worksheet'!B17:D17"/><Relationship Id="rId19" Type="http://schemas.openxmlformats.org/officeDocument/2006/relationships/hyperlink" Target="#'Reporting Worksheet'!C35:D35"/><Relationship Id="rId4" Type="http://schemas.openxmlformats.org/officeDocument/2006/relationships/hyperlink" Target="#'Reporting Worksheet'!B63:D63"/><Relationship Id="rId9" Type="http://schemas.openxmlformats.org/officeDocument/2006/relationships/hyperlink" Target="#'Reporting Worksheet'!B16:D16"/><Relationship Id="rId14" Type="http://schemas.openxmlformats.org/officeDocument/2006/relationships/hyperlink" Target="#'Reporting Worksheet'!B67:D67"/><Relationship Id="rId22" Type="http://schemas.openxmlformats.org/officeDocument/2006/relationships/hyperlink" Target="#'Reporting Worksheet'!B42:D42"/><Relationship Id="rId27" Type="http://schemas.openxmlformats.org/officeDocument/2006/relationships/hyperlink" Target="#'Reporting Worksheet'!B52:D52"/><Relationship Id="rId30" Type="http://schemas.openxmlformats.org/officeDocument/2006/relationships/hyperlink" Target="#'Service Connection Diagram'!A1"/></Relationships>
</file>

<file path=xl/drawings/_rels/drawing8.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0.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1.xml.rels><?xml version="1.0" encoding="UTF-8" standalone="yes"?>
<Relationships xmlns="http://schemas.openxmlformats.org/package/2006/relationships"><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2</xdr:col>
      <xdr:colOff>28575</xdr:colOff>
      <xdr:row>26</xdr:row>
      <xdr:rowOff>11430</xdr:rowOff>
    </xdr:from>
    <xdr:to>
      <xdr:col>2</xdr:col>
      <xdr:colOff>1788893</xdr:colOff>
      <xdr:row>27</xdr:row>
      <xdr:rowOff>11430</xdr:rowOff>
    </xdr:to>
    <xdr:sp macro="" textlink="">
      <xdr:nvSpPr>
        <xdr:cNvPr id="8204" name="AutoShape 12">
          <a:hlinkClick xmlns:r="http://schemas.openxmlformats.org/officeDocument/2006/relationships" r:id="rId1"/>
          <a:extLst>
            <a:ext uri="{FF2B5EF4-FFF2-40B4-BE49-F238E27FC236}">
              <a16:creationId xmlns:a16="http://schemas.microsoft.com/office/drawing/2014/main" id="{F6FD342F-D292-5901-5D1F-60B91FE484F7}"/>
            </a:ext>
          </a:extLst>
        </xdr:cNvPr>
        <xdr:cNvSpPr>
          <a:spLocks noChangeArrowheads="1"/>
        </xdr:cNvSpPr>
      </xdr:nvSpPr>
      <xdr:spPr bwMode="auto">
        <a:xfrm>
          <a:off x="171450" y="3981450"/>
          <a:ext cx="1762125" cy="285750"/>
        </a:xfrm>
        <a:prstGeom prst="bevel">
          <a:avLst>
            <a:gd name="adj" fmla="val 12500"/>
          </a:avLst>
        </a:prstGeom>
        <a:solidFill>
          <a:srgbClr val="3366FF"/>
        </a:solidFill>
        <a:ln w="12700">
          <a:solidFill>
            <a:srgbClr val="000000"/>
          </a:solidFill>
          <a:miter lim="800000"/>
          <a:headEnd/>
          <a:tailEnd/>
        </a:ln>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Instructions</a:t>
          </a:r>
        </a:p>
      </xdr:txBody>
    </xdr:sp>
    <xdr:clientData/>
  </xdr:twoCellAnchor>
  <xdr:twoCellAnchor>
    <xdr:from>
      <xdr:col>2</xdr:col>
      <xdr:colOff>28575</xdr:colOff>
      <xdr:row>28</xdr:row>
      <xdr:rowOff>9525</xdr:rowOff>
    </xdr:from>
    <xdr:to>
      <xdr:col>2</xdr:col>
      <xdr:colOff>1788893</xdr:colOff>
      <xdr:row>29</xdr:row>
      <xdr:rowOff>0</xdr:rowOff>
    </xdr:to>
    <xdr:sp macro="" textlink="">
      <xdr:nvSpPr>
        <xdr:cNvPr id="8205" name="AutoShape 13">
          <a:hlinkClick xmlns:r="http://schemas.openxmlformats.org/officeDocument/2006/relationships" r:id="rId2"/>
          <a:extLst>
            <a:ext uri="{FF2B5EF4-FFF2-40B4-BE49-F238E27FC236}">
              <a16:creationId xmlns:a16="http://schemas.microsoft.com/office/drawing/2014/main" id="{9E59BDAA-CEEB-4B66-9DAB-8A67EC3DD600}"/>
            </a:ext>
          </a:extLst>
        </xdr:cNvPr>
        <xdr:cNvSpPr>
          <a:spLocks noChangeArrowheads="1"/>
        </xdr:cNvSpPr>
      </xdr:nvSpPr>
      <xdr:spPr bwMode="auto">
        <a:xfrm>
          <a:off x="171450" y="4305300"/>
          <a:ext cx="1762125"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Reporting Worksheet</a:t>
          </a:r>
        </a:p>
      </xdr:txBody>
    </xdr:sp>
    <xdr:clientData/>
  </xdr:twoCellAnchor>
  <xdr:twoCellAnchor>
    <xdr:from>
      <xdr:col>2</xdr:col>
      <xdr:colOff>28575</xdr:colOff>
      <xdr:row>38</xdr:row>
      <xdr:rowOff>0</xdr:rowOff>
    </xdr:from>
    <xdr:to>
      <xdr:col>2</xdr:col>
      <xdr:colOff>1779320</xdr:colOff>
      <xdr:row>39</xdr:row>
      <xdr:rowOff>0</xdr:rowOff>
    </xdr:to>
    <xdr:sp macro="" textlink="">
      <xdr:nvSpPr>
        <xdr:cNvPr id="8206" name="AutoShape 14">
          <a:hlinkClick xmlns:r="http://schemas.openxmlformats.org/officeDocument/2006/relationships" r:id="rId3"/>
          <a:extLst>
            <a:ext uri="{FF2B5EF4-FFF2-40B4-BE49-F238E27FC236}">
              <a16:creationId xmlns:a16="http://schemas.microsoft.com/office/drawing/2014/main" id="{EF115FD1-5AFA-D6D6-6F47-4294C59A141F}"/>
            </a:ext>
          </a:extLst>
        </xdr:cNvPr>
        <xdr:cNvSpPr>
          <a:spLocks noChangeArrowheads="1"/>
        </xdr:cNvSpPr>
      </xdr:nvSpPr>
      <xdr:spPr bwMode="auto">
        <a:xfrm>
          <a:off x="171450" y="5962650"/>
          <a:ext cx="1752600" cy="2857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Loss Control Planning</a:t>
          </a:r>
        </a:p>
      </xdr:txBody>
    </xdr:sp>
    <xdr:clientData/>
  </xdr:twoCellAnchor>
  <xdr:twoCellAnchor>
    <xdr:from>
      <xdr:col>2</xdr:col>
      <xdr:colOff>11430</xdr:colOff>
      <xdr:row>30</xdr:row>
      <xdr:rowOff>0</xdr:rowOff>
    </xdr:from>
    <xdr:to>
      <xdr:col>2</xdr:col>
      <xdr:colOff>1779176</xdr:colOff>
      <xdr:row>30</xdr:row>
      <xdr:rowOff>266700</xdr:rowOff>
    </xdr:to>
    <xdr:sp macro="" textlink="">
      <xdr:nvSpPr>
        <xdr:cNvPr id="8207" name="AutoShape 15">
          <a:hlinkClick xmlns:r="http://schemas.openxmlformats.org/officeDocument/2006/relationships" r:id="rId4"/>
          <a:extLst>
            <a:ext uri="{FF2B5EF4-FFF2-40B4-BE49-F238E27FC236}">
              <a16:creationId xmlns:a16="http://schemas.microsoft.com/office/drawing/2014/main" id="{5DE60BFB-4A28-C82F-1C9A-D8C62CFAD79A}"/>
            </a:ext>
          </a:extLst>
        </xdr:cNvPr>
        <xdr:cNvSpPr>
          <a:spLocks noChangeArrowheads="1"/>
        </xdr:cNvSpPr>
      </xdr:nvSpPr>
      <xdr:spPr bwMode="auto">
        <a:xfrm>
          <a:off x="161925" y="462915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Water Balance</a:t>
          </a:r>
        </a:p>
      </xdr:txBody>
    </xdr:sp>
    <xdr:clientData/>
  </xdr:twoCellAnchor>
  <xdr:twoCellAnchor>
    <xdr:from>
      <xdr:col>2</xdr:col>
      <xdr:colOff>28575</xdr:colOff>
      <xdr:row>36</xdr:row>
      <xdr:rowOff>0</xdr:rowOff>
    </xdr:from>
    <xdr:to>
      <xdr:col>2</xdr:col>
      <xdr:colOff>1779320</xdr:colOff>
      <xdr:row>36</xdr:row>
      <xdr:rowOff>276225</xdr:rowOff>
    </xdr:to>
    <xdr:sp macro="" textlink="">
      <xdr:nvSpPr>
        <xdr:cNvPr id="8208" name="AutoShape 16">
          <a:hlinkClick xmlns:r="http://schemas.openxmlformats.org/officeDocument/2006/relationships" r:id="rId5"/>
          <a:extLst>
            <a:ext uri="{FF2B5EF4-FFF2-40B4-BE49-F238E27FC236}">
              <a16:creationId xmlns:a16="http://schemas.microsoft.com/office/drawing/2014/main" id="{F92ADB2E-6764-F8B1-70C5-A2218FB477A8}"/>
            </a:ext>
          </a:extLst>
        </xdr:cNvPr>
        <xdr:cNvSpPr>
          <a:spLocks noChangeArrowheads="1"/>
        </xdr:cNvSpPr>
      </xdr:nvSpPr>
      <xdr:spPr bwMode="auto">
        <a:xfrm>
          <a:off x="171450" y="5629275"/>
          <a:ext cx="1752600"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Definitions</a:t>
          </a:r>
        </a:p>
      </xdr:txBody>
    </xdr:sp>
    <xdr:clientData/>
  </xdr:twoCellAnchor>
  <xdr:twoCellAnchor>
    <xdr:from>
      <xdr:col>4</xdr:col>
      <xdr:colOff>440055</xdr:colOff>
      <xdr:row>1</xdr:row>
      <xdr:rowOff>312420</xdr:rowOff>
    </xdr:from>
    <xdr:to>
      <xdr:col>9</xdr:col>
      <xdr:colOff>666755</xdr:colOff>
      <xdr:row>1</xdr:row>
      <xdr:rowOff>472440</xdr:rowOff>
    </xdr:to>
    <xdr:sp macro="" textlink="">
      <xdr:nvSpPr>
        <xdr:cNvPr id="8312" name="Text Box 57">
          <a:extLst>
            <a:ext uri="{FF2B5EF4-FFF2-40B4-BE49-F238E27FC236}">
              <a16:creationId xmlns:a16="http://schemas.microsoft.com/office/drawing/2014/main" id="{6907B1C1-BA23-2B16-1C20-2A313CCB7B86}"/>
            </a:ext>
          </a:extLst>
        </xdr:cNvPr>
        <xdr:cNvSpPr txBox="1">
          <a:spLocks noChangeArrowheads="1"/>
        </xdr:cNvSpPr>
      </xdr:nvSpPr>
      <xdr:spPr bwMode="auto">
        <a:xfrm>
          <a:off x="3093720" y="411480"/>
          <a:ext cx="385572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editAs="oneCell">
    <xdr:from>
      <xdr:col>13</xdr:col>
      <xdr:colOff>321945</xdr:colOff>
      <xdr:row>1</xdr:row>
      <xdr:rowOff>333375</xdr:rowOff>
    </xdr:from>
    <xdr:to>
      <xdr:col>14</xdr:col>
      <xdr:colOff>85682</xdr:colOff>
      <xdr:row>1</xdr:row>
      <xdr:rowOff>485775</xdr:rowOff>
    </xdr:to>
    <xdr:sp macro="" textlink="">
      <xdr:nvSpPr>
        <xdr:cNvPr id="8254" name="Text Box 62">
          <a:extLst>
            <a:ext uri="{FF2B5EF4-FFF2-40B4-BE49-F238E27FC236}">
              <a16:creationId xmlns:a16="http://schemas.microsoft.com/office/drawing/2014/main" id="{22097CE0-61C3-FD91-11F1-BA52C814E651}"/>
            </a:ext>
          </a:extLst>
        </xdr:cNvPr>
        <xdr:cNvSpPr txBox="1">
          <a:spLocks noChangeArrowheads="1"/>
        </xdr:cNvSpPr>
      </xdr:nvSpPr>
      <xdr:spPr bwMode="auto">
        <a:xfrm>
          <a:off x="9067800" y="43815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xdr:twoCellAnchor>
    <xdr:from>
      <xdr:col>7</xdr:col>
      <xdr:colOff>133350</xdr:colOff>
      <xdr:row>25</xdr:row>
      <xdr:rowOff>28575</xdr:rowOff>
    </xdr:from>
    <xdr:to>
      <xdr:col>8</xdr:col>
      <xdr:colOff>160288</xdr:colOff>
      <xdr:row>25</xdr:row>
      <xdr:rowOff>163930</xdr:rowOff>
    </xdr:to>
    <xdr:sp macro="" textlink="">
      <xdr:nvSpPr>
        <xdr:cNvPr id="8269" name="Text Box 77">
          <a:hlinkClick xmlns:r="http://schemas.openxmlformats.org/officeDocument/2006/relationships" r:id="rId6"/>
          <a:extLst>
            <a:ext uri="{FF2B5EF4-FFF2-40B4-BE49-F238E27FC236}">
              <a16:creationId xmlns:a16="http://schemas.microsoft.com/office/drawing/2014/main" id="{D999BB6E-9D0E-736E-9374-5AB6E544F5BD}"/>
            </a:ext>
          </a:extLst>
        </xdr:cNvPr>
        <xdr:cNvSpPr txBox="1">
          <a:spLocks noChangeArrowheads="1"/>
        </xdr:cNvSpPr>
      </xdr:nvSpPr>
      <xdr:spPr bwMode="auto">
        <a:xfrm>
          <a:off x="5362575" y="37814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11430</xdr:colOff>
      <xdr:row>32</xdr:row>
      <xdr:rowOff>0</xdr:rowOff>
    </xdr:from>
    <xdr:to>
      <xdr:col>2</xdr:col>
      <xdr:colOff>1779176</xdr:colOff>
      <xdr:row>32</xdr:row>
      <xdr:rowOff>266700</xdr:rowOff>
    </xdr:to>
    <xdr:sp macro="" textlink="">
      <xdr:nvSpPr>
        <xdr:cNvPr id="8283" name="AutoShape 91">
          <a:hlinkClick xmlns:r="http://schemas.openxmlformats.org/officeDocument/2006/relationships" r:id="rId7"/>
          <a:extLst>
            <a:ext uri="{FF2B5EF4-FFF2-40B4-BE49-F238E27FC236}">
              <a16:creationId xmlns:a16="http://schemas.microsoft.com/office/drawing/2014/main" id="{06A38149-9BA5-245B-E95E-FCE2F5D93EE3}"/>
            </a:ext>
          </a:extLst>
        </xdr:cNvPr>
        <xdr:cNvSpPr>
          <a:spLocks noChangeArrowheads="1"/>
        </xdr:cNvSpPr>
      </xdr:nvSpPr>
      <xdr:spPr bwMode="auto">
        <a:xfrm>
          <a:off x="161925" y="4962525"/>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Grading Matrix</a:t>
          </a:r>
        </a:p>
      </xdr:txBody>
    </xdr:sp>
    <xdr:clientData/>
  </xdr:twoCellAnchor>
  <xdr:twoCellAnchor>
    <xdr:from>
      <xdr:col>2</xdr:col>
      <xdr:colOff>66675</xdr:colOff>
      <xdr:row>40</xdr:row>
      <xdr:rowOff>219075</xdr:rowOff>
    </xdr:from>
    <xdr:to>
      <xdr:col>2</xdr:col>
      <xdr:colOff>1788896</xdr:colOff>
      <xdr:row>44</xdr:row>
      <xdr:rowOff>104775</xdr:rowOff>
    </xdr:to>
    <xdr:sp macro="" textlink="">
      <xdr:nvSpPr>
        <xdr:cNvPr id="8291" name="Text Box 99">
          <a:extLst>
            <a:ext uri="{FF2B5EF4-FFF2-40B4-BE49-F238E27FC236}">
              <a16:creationId xmlns:a16="http://schemas.microsoft.com/office/drawing/2014/main" id="{68DEB11E-D92E-B90F-9442-774A1C5CD3A3}"/>
            </a:ext>
          </a:extLst>
        </xdr:cNvPr>
        <xdr:cNvSpPr txBox="1">
          <a:spLocks noChangeArrowheads="1"/>
        </xdr:cNvSpPr>
      </xdr:nvSpPr>
      <xdr:spPr bwMode="auto">
        <a:xfrm>
          <a:off x="209550" y="6572250"/>
          <a:ext cx="1724025" cy="9144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Courier New"/>
              <a:cs typeface="Courier New"/>
            </a:rPr>
            <a:t>Add comments here to track additional supporting information, sources or names of participants</a:t>
          </a:r>
        </a:p>
      </xdr:txBody>
    </xdr:sp>
    <xdr:clientData/>
  </xdr:twoCellAnchor>
  <xdr:twoCellAnchor>
    <xdr:from>
      <xdr:col>2</xdr:col>
      <xdr:colOff>11430</xdr:colOff>
      <xdr:row>34</xdr:row>
      <xdr:rowOff>0</xdr:rowOff>
    </xdr:from>
    <xdr:to>
      <xdr:col>2</xdr:col>
      <xdr:colOff>1779176</xdr:colOff>
      <xdr:row>34</xdr:row>
      <xdr:rowOff>266700</xdr:rowOff>
    </xdr:to>
    <xdr:sp macro="" textlink="">
      <xdr:nvSpPr>
        <xdr:cNvPr id="8299" name="AutoShape 107">
          <a:hlinkClick xmlns:r="http://schemas.openxmlformats.org/officeDocument/2006/relationships" r:id="rId8"/>
          <a:extLst>
            <a:ext uri="{FF2B5EF4-FFF2-40B4-BE49-F238E27FC236}">
              <a16:creationId xmlns:a16="http://schemas.microsoft.com/office/drawing/2014/main" id="{10241CE3-7F22-9727-B1F8-DDFB54A9D9A2}"/>
            </a:ext>
          </a:extLst>
        </xdr:cNvPr>
        <xdr:cNvSpPr>
          <a:spLocks noChangeArrowheads="1"/>
        </xdr:cNvSpPr>
      </xdr:nvSpPr>
      <xdr:spPr bwMode="auto">
        <a:xfrm>
          <a:off x="161925" y="529590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Service Connections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7E4EDE64-6569-AF76-F221-B5629139B343}"/>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E81FAE7D-96B5-15B7-DFDA-59016914E5B2}"/>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5B02DECB-6E99-C7C7-BD63-6A2B37CDAAB0}"/>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7EE5AA72-CC75-95F0-D39A-3AE07418299B}"/>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0553B09C-7B99-4B24-FC8C-EDB646554A34}"/>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9223" name="Text Box 7">
          <a:extLst>
            <a:ext uri="{FF2B5EF4-FFF2-40B4-BE49-F238E27FC236}">
              <a16:creationId xmlns:a16="http://schemas.microsoft.com/office/drawing/2014/main" id="{245DC07C-96AC-8AE7-D8EB-876306F5EFAD}"/>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9224" name="Text Box 8">
          <a:extLst>
            <a:ext uri="{FF2B5EF4-FFF2-40B4-BE49-F238E27FC236}">
              <a16:creationId xmlns:a16="http://schemas.microsoft.com/office/drawing/2014/main" id="{B2119E3D-73A7-5317-9558-4F6FB077E0F6}"/>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4A1B827D-816D-D934-B61E-32E72FC03FCD}"/>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D2D185C3-6719-F4E0-290D-220D86735CB3}"/>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79B9E61E-9D0F-BA54-753D-AE6976C836BB}"/>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48B30760-51EB-7DC9-FB93-E603BBFB5CDE}"/>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90956169-E550-9348-29D3-49A2CBF264A5}"/>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7185F636-857B-6929-7EA3-11EED445049D}"/>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9239" name="AutoShape 23">
          <a:hlinkClick xmlns:r="http://schemas.openxmlformats.org/officeDocument/2006/relationships" r:id="rId12"/>
          <a:extLst>
            <a:ext uri="{FF2B5EF4-FFF2-40B4-BE49-F238E27FC236}">
              <a16:creationId xmlns:a16="http://schemas.microsoft.com/office/drawing/2014/main" id="{EA5EC3EE-7DCB-EB32-EA89-F0D13927A9A9}"/>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9241" name="Text Box 25">
          <a:extLst>
            <a:ext uri="{FF2B5EF4-FFF2-40B4-BE49-F238E27FC236}">
              <a16:creationId xmlns:a16="http://schemas.microsoft.com/office/drawing/2014/main" id="{82E1F9EC-F0FB-0F69-A03B-D0957B142E44}"/>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9253" name="Text Box 37">
          <a:hlinkClick xmlns:r="http://schemas.openxmlformats.org/officeDocument/2006/relationships" r:id="rId13"/>
          <a:extLst>
            <a:ext uri="{FF2B5EF4-FFF2-40B4-BE49-F238E27FC236}">
              <a16:creationId xmlns:a16="http://schemas.microsoft.com/office/drawing/2014/main" id="{5CD892B8-3DFF-F151-0B51-01550E580FF7}"/>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9269" name="Text Box 53">
          <a:hlinkClick xmlns:r="http://schemas.openxmlformats.org/officeDocument/2006/relationships" r:id="rId14"/>
          <a:extLst>
            <a:ext uri="{FF2B5EF4-FFF2-40B4-BE49-F238E27FC236}">
              <a16:creationId xmlns:a16="http://schemas.microsoft.com/office/drawing/2014/main" id="{48E74380-B4C3-A78B-4A2E-327B825F1B10}"/>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9270" name="Text Box 54">
          <a:hlinkClick xmlns:r="http://schemas.openxmlformats.org/officeDocument/2006/relationships" r:id="rId15"/>
          <a:extLst>
            <a:ext uri="{FF2B5EF4-FFF2-40B4-BE49-F238E27FC236}">
              <a16:creationId xmlns:a16="http://schemas.microsoft.com/office/drawing/2014/main" id="{EC5894AC-F5E0-6523-988B-6C87EDD25590}"/>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9310" name="Text Box 94">
          <a:hlinkClick xmlns:r="http://schemas.openxmlformats.org/officeDocument/2006/relationships" r:id="rId16"/>
          <a:extLst>
            <a:ext uri="{FF2B5EF4-FFF2-40B4-BE49-F238E27FC236}">
              <a16:creationId xmlns:a16="http://schemas.microsoft.com/office/drawing/2014/main" id="{07836E19-1DF4-545B-258F-E1A2E1B27CFA}"/>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9311" name="Text Box 95">
          <a:hlinkClick xmlns:r="http://schemas.openxmlformats.org/officeDocument/2006/relationships" r:id="rId17"/>
          <a:extLst>
            <a:ext uri="{FF2B5EF4-FFF2-40B4-BE49-F238E27FC236}">
              <a16:creationId xmlns:a16="http://schemas.microsoft.com/office/drawing/2014/main" id="{00828EE0-62BB-B525-6D73-5F562B8B78A4}"/>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9312" name="Text Box 96">
          <a:hlinkClick xmlns:r="http://schemas.openxmlformats.org/officeDocument/2006/relationships" r:id="rId18"/>
          <a:extLst>
            <a:ext uri="{FF2B5EF4-FFF2-40B4-BE49-F238E27FC236}">
              <a16:creationId xmlns:a16="http://schemas.microsoft.com/office/drawing/2014/main" id="{B593AD28-260B-4499-DCDB-350A04945D2D}"/>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9313" name="Text Box 97">
          <a:hlinkClick xmlns:r="http://schemas.openxmlformats.org/officeDocument/2006/relationships" r:id="rId19"/>
          <a:extLst>
            <a:ext uri="{FF2B5EF4-FFF2-40B4-BE49-F238E27FC236}">
              <a16:creationId xmlns:a16="http://schemas.microsoft.com/office/drawing/2014/main" id="{1635778F-C727-145A-B093-A42710EBA9DF}"/>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9315" name="Text Box 99">
          <a:hlinkClick xmlns:r="http://schemas.openxmlformats.org/officeDocument/2006/relationships" r:id="rId20"/>
          <a:extLst>
            <a:ext uri="{FF2B5EF4-FFF2-40B4-BE49-F238E27FC236}">
              <a16:creationId xmlns:a16="http://schemas.microsoft.com/office/drawing/2014/main" id="{FA61569A-3873-E07E-5050-D5D1E41C0CD9}"/>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9316" name="Text Box 100">
          <a:hlinkClick xmlns:r="http://schemas.openxmlformats.org/officeDocument/2006/relationships" r:id="rId21"/>
          <a:extLst>
            <a:ext uri="{FF2B5EF4-FFF2-40B4-BE49-F238E27FC236}">
              <a16:creationId xmlns:a16="http://schemas.microsoft.com/office/drawing/2014/main" id="{B788B8BE-F852-DC6E-072A-87D1BE00DF4D}"/>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9343" name="Rectangle 127">
          <a:extLst>
            <a:ext uri="{FF2B5EF4-FFF2-40B4-BE49-F238E27FC236}">
              <a16:creationId xmlns:a16="http://schemas.microsoft.com/office/drawing/2014/main" id="{0F6328AD-FED0-DFE1-F600-960922E45973}"/>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9442" name="Text Box 226">
          <a:extLst>
            <a:ext uri="{FF2B5EF4-FFF2-40B4-BE49-F238E27FC236}">
              <a16:creationId xmlns:a16="http://schemas.microsoft.com/office/drawing/2014/main" id="{470A32F7-FEBA-1B23-04F5-379F8C74F543}"/>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35434" name="Line 227">
          <a:extLst>
            <a:ext uri="{FF2B5EF4-FFF2-40B4-BE49-F238E27FC236}">
              <a16:creationId xmlns:a16="http://schemas.microsoft.com/office/drawing/2014/main" id="{D05F04B9-39A7-6CD4-91DC-A88F7E9FC6A6}"/>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35435" name="Line 228">
          <a:extLst>
            <a:ext uri="{FF2B5EF4-FFF2-40B4-BE49-F238E27FC236}">
              <a16:creationId xmlns:a16="http://schemas.microsoft.com/office/drawing/2014/main" id="{44E4122F-37E3-06C9-75C6-8BC9654C1CB9}"/>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35436" name="Line 234">
          <a:extLst>
            <a:ext uri="{FF2B5EF4-FFF2-40B4-BE49-F238E27FC236}">
              <a16:creationId xmlns:a16="http://schemas.microsoft.com/office/drawing/2014/main" id="{9D1DA8AF-E330-13D6-7EAF-15966FB0ED7A}"/>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35437" name="Line 235">
          <a:extLst>
            <a:ext uri="{FF2B5EF4-FFF2-40B4-BE49-F238E27FC236}">
              <a16:creationId xmlns:a16="http://schemas.microsoft.com/office/drawing/2014/main" id="{D04C48D3-FC3B-89B1-B954-5B9D2270D673}"/>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9456" name="Text Box 240">
          <a:hlinkClick xmlns:r="http://schemas.openxmlformats.org/officeDocument/2006/relationships" r:id="rId22" tooltip="Defaults"/>
          <a:extLst>
            <a:ext uri="{FF2B5EF4-FFF2-40B4-BE49-F238E27FC236}">
              <a16:creationId xmlns:a16="http://schemas.microsoft.com/office/drawing/2014/main" id="{C0591C26-80C5-8419-E19D-52631AD55A98}"/>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9457" name="Text Box 241">
          <a:extLst>
            <a:ext uri="{FF2B5EF4-FFF2-40B4-BE49-F238E27FC236}">
              <a16:creationId xmlns:a16="http://schemas.microsoft.com/office/drawing/2014/main" id="{6E3FAD4D-DB9C-53B1-B47B-00087FC62C6A}"/>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9459" name="Text Box 243">
          <a:extLst>
            <a:ext uri="{FF2B5EF4-FFF2-40B4-BE49-F238E27FC236}">
              <a16:creationId xmlns:a16="http://schemas.microsoft.com/office/drawing/2014/main" id="{9BB0FBEA-543E-5999-7CD9-A9366A12B2AC}"/>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35441" name="Rectangle 405">
          <a:extLst>
            <a:ext uri="{FF2B5EF4-FFF2-40B4-BE49-F238E27FC236}">
              <a16:creationId xmlns:a16="http://schemas.microsoft.com/office/drawing/2014/main" id="{10CEEF7A-5D83-0C28-FA73-3F75E4F82665}"/>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9625" name="AutoShape 409">
          <a:hlinkClick xmlns:r="http://schemas.openxmlformats.org/officeDocument/2006/relationships" r:id="rId23"/>
          <a:extLst>
            <a:ext uri="{FF2B5EF4-FFF2-40B4-BE49-F238E27FC236}">
              <a16:creationId xmlns:a16="http://schemas.microsoft.com/office/drawing/2014/main" id="{84B8CC99-9927-86E1-D294-1322FBB8BC8F}"/>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35443" name="Line 471">
          <a:extLst>
            <a:ext uri="{FF2B5EF4-FFF2-40B4-BE49-F238E27FC236}">
              <a16:creationId xmlns:a16="http://schemas.microsoft.com/office/drawing/2014/main" id="{4ED79DEA-C7BF-B84D-5B7B-3C0039BC9505}"/>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35444" name="Line 472">
          <a:extLst>
            <a:ext uri="{FF2B5EF4-FFF2-40B4-BE49-F238E27FC236}">
              <a16:creationId xmlns:a16="http://schemas.microsoft.com/office/drawing/2014/main" id="{43A95D5F-3BC7-D608-0750-E075A7076E78}"/>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9689" name="Text Box 473">
          <a:hlinkClick xmlns:r="http://schemas.openxmlformats.org/officeDocument/2006/relationships" r:id="rId6"/>
          <a:extLst>
            <a:ext uri="{FF2B5EF4-FFF2-40B4-BE49-F238E27FC236}">
              <a16:creationId xmlns:a16="http://schemas.microsoft.com/office/drawing/2014/main" id="{67343095-2306-CF08-ACDB-643341EB2371}"/>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274320</xdr:rowOff>
    </xdr:from>
    <xdr:to>
      <xdr:col>6</xdr:col>
      <xdr:colOff>862946</xdr:colOff>
      <xdr:row>1</xdr:row>
      <xdr:rowOff>449580</xdr:rowOff>
    </xdr:to>
    <xdr:sp macro="" textlink="">
      <xdr:nvSpPr>
        <xdr:cNvPr id="9966" name="Text Box 474">
          <a:extLst>
            <a:ext uri="{FF2B5EF4-FFF2-40B4-BE49-F238E27FC236}">
              <a16:creationId xmlns:a16="http://schemas.microsoft.com/office/drawing/2014/main" id="{73F27E73-CD76-C672-F5B3-489DEBC927E1}"/>
            </a:ext>
          </a:extLst>
        </xdr:cNvPr>
        <xdr:cNvSpPr txBox="1">
          <a:spLocks noChangeArrowheads="1"/>
        </xdr:cNvSpPr>
      </xdr:nvSpPr>
      <xdr:spPr bwMode="auto">
        <a:xfrm>
          <a:off x="1813560" y="358140"/>
          <a:ext cx="39471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9704" name="Text Box 488">
          <a:hlinkClick xmlns:r="http://schemas.openxmlformats.org/officeDocument/2006/relationships" r:id="rId24"/>
          <a:extLst>
            <a:ext uri="{FF2B5EF4-FFF2-40B4-BE49-F238E27FC236}">
              <a16:creationId xmlns:a16="http://schemas.microsoft.com/office/drawing/2014/main" id="{99FEA82D-F325-A17B-452E-EA16534A9358}"/>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9705" name="Text Box 489">
          <a:hlinkClick xmlns:r="http://schemas.openxmlformats.org/officeDocument/2006/relationships" r:id="rId25"/>
          <a:extLst>
            <a:ext uri="{FF2B5EF4-FFF2-40B4-BE49-F238E27FC236}">
              <a16:creationId xmlns:a16="http://schemas.microsoft.com/office/drawing/2014/main" id="{9DFEFE75-A69C-A39D-7CB9-A48B7E3950AE}"/>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9706" name="Text Box 490">
          <a:hlinkClick xmlns:r="http://schemas.openxmlformats.org/officeDocument/2006/relationships" r:id="rId26"/>
          <a:extLst>
            <a:ext uri="{FF2B5EF4-FFF2-40B4-BE49-F238E27FC236}">
              <a16:creationId xmlns:a16="http://schemas.microsoft.com/office/drawing/2014/main" id="{8E1CD665-F990-D29E-A932-9B22B5DB3B62}"/>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9710" name="Text Box 494">
          <a:hlinkClick xmlns:r="http://schemas.openxmlformats.org/officeDocument/2006/relationships" r:id="rId27"/>
          <a:extLst>
            <a:ext uri="{FF2B5EF4-FFF2-40B4-BE49-F238E27FC236}">
              <a16:creationId xmlns:a16="http://schemas.microsoft.com/office/drawing/2014/main" id="{611AF26E-6EF1-622A-7866-102E182D0342}"/>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9922" name="Text Box 706">
          <a:extLst>
            <a:ext uri="{FF2B5EF4-FFF2-40B4-BE49-F238E27FC236}">
              <a16:creationId xmlns:a16="http://schemas.microsoft.com/office/drawing/2014/main" id="{C409B9BF-3564-89E2-FC82-F6F5D8BC70DE}"/>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35452" name="Group 189">
              <a:extLst>
                <a:ext uri="{FF2B5EF4-FFF2-40B4-BE49-F238E27FC236}">
                  <a16:creationId xmlns:a16="http://schemas.microsoft.com/office/drawing/2014/main" id="{88BC461C-9186-9D3B-F9FC-2B2203E03F0A}"/>
                </a:ext>
              </a:extLst>
            </xdr:cNvPr>
            <xdr:cNvGrpSpPr>
              <a:grpSpLocks/>
            </xdr:cNvGrpSpPr>
          </xdr:nvGrpSpPr>
          <xdr:grpSpPr bwMode="auto">
            <a:xfrm>
              <a:off x="7829550" y="5124450"/>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ACC05DAE-E3C4-4F5B-EA43-FFA9BD565B94}"/>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FB99AE31-7F8D-C73E-A825-1E9BDB338E40}"/>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AAB4E731-918A-D6CA-153C-919135875871}"/>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35453" name="Group 198">
              <a:extLst>
                <a:ext uri="{FF2B5EF4-FFF2-40B4-BE49-F238E27FC236}">
                  <a16:creationId xmlns:a16="http://schemas.microsoft.com/office/drawing/2014/main" id="{C5535DE8-CF4D-0E3D-9E95-F26CD9C2450E}"/>
                </a:ext>
              </a:extLst>
            </xdr:cNvPr>
            <xdr:cNvGrpSpPr>
              <a:grpSpLocks/>
            </xdr:cNvGrpSpPr>
          </xdr:nvGrpSpPr>
          <xdr:grpSpPr bwMode="auto">
            <a:xfrm>
              <a:off x="7829550" y="5562600"/>
              <a:ext cx="58102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B75109E0-0241-DFF5-0945-5F4EDAA4D268}"/>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C53C4090-FB68-9D5B-12B5-802E6DC42BA3}"/>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E3A630C1-42F5-8ECC-50A5-3D4B31410245}"/>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35454" name="Group 203">
              <a:extLst>
                <a:ext uri="{FF2B5EF4-FFF2-40B4-BE49-F238E27FC236}">
                  <a16:creationId xmlns:a16="http://schemas.microsoft.com/office/drawing/2014/main" id="{407828B2-96E3-7D77-153B-1CE8B56DFCF0}"/>
                </a:ext>
              </a:extLst>
            </xdr:cNvPr>
            <xdr:cNvGrpSpPr>
              <a:grpSpLocks/>
            </xdr:cNvGrpSpPr>
          </xdr:nvGrpSpPr>
          <xdr:grpSpPr bwMode="auto">
            <a:xfrm>
              <a:off x="7829550" y="37338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54BEC993-F872-8A2E-E6C7-C7964E84BA64}"/>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98018BDE-31FF-C0CF-EE54-65E42E9F7AB4}"/>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0BADDD9D-249C-F4F2-347D-28DFA5730732}"/>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923925</xdr:colOff>
      <xdr:row>2</xdr:row>
      <xdr:rowOff>76200</xdr:rowOff>
    </xdr:from>
    <xdr:to>
      <xdr:col>4</xdr:col>
      <xdr:colOff>1188725</xdr:colOff>
      <xdr:row>2</xdr:row>
      <xdr:rowOff>251460</xdr:rowOff>
    </xdr:to>
    <xdr:sp macro="" textlink="">
      <xdr:nvSpPr>
        <xdr:cNvPr id="7203" name="Text Box 31">
          <a:extLst>
            <a:ext uri="{FF2B5EF4-FFF2-40B4-BE49-F238E27FC236}">
              <a16:creationId xmlns:a16="http://schemas.microsoft.com/office/drawing/2014/main" id="{53706C68-FA3F-8FB0-A38B-6F5AB1FB1379}"/>
            </a:ext>
          </a:extLst>
        </xdr:cNvPr>
        <xdr:cNvSpPr txBox="1">
          <a:spLocks noChangeArrowheads="1"/>
        </xdr:cNvSpPr>
      </xdr:nvSpPr>
      <xdr:spPr bwMode="auto">
        <a:xfrm>
          <a:off x="1013460" y="312420"/>
          <a:ext cx="391668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editAs="oneCell">
    <xdr:from>
      <xdr:col>4</xdr:col>
      <xdr:colOff>1615440</xdr:colOff>
      <xdr:row>2</xdr:row>
      <xdr:rowOff>104775</xdr:rowOff>
    </xdr:from>
    <xdr:to>
      <xdr:col>4</xdr:col>
      <xdr:colOff>2211395</xdr:colOff>
      <xdr:row>2</xdr:row>
      <xdr:rowOff>228600</xdr:rowOff>
    </xdr:to>
    <xdr:sp macro="" textlink="">
      <xdr:nvSpPr>
        <xdr:cNvPr id="7202" name="Text Box 34">
          <a:extLst>
            <a:ext uri="{FF2B5EF4-FFF2-40B4-BE49-F238E27FC236}">
              <a16:creationId xmlns:a16="http://schemas.microsoft.com/office/drawing/2014/main" id="{6482FD19-763C-46FE-06B3-D3137331E3E1}"/>
            </a:ext>
          </a:extLst>
        </xdr:cNvPr>
        <xdr:cNvSpPr txBox="1">
          <a:spLocks noChangeArrowheads="1"/>
        </xdr:cNvSpPr>
      </xdr:nvSpPr>
      <xdr:spPr bwMode="auto">
        <a:xfrm>
          <a:off x="5210175" y="342900"/>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1144905</xdr:colOff>
      <xdr:row>26</xdr:row>
      <xdr:rowOff>57150</xdr:rowOff>
    </xdr:from>
    <xdr:to>
      <xdr:col>8</xdr:col>
      <xdr:colOff>255266</xdr:colOff>
      <xdr:row>29</xdr:row>
      <xdr:rowOff>66675</xdr:rowOff>
    </xdr:to>
    <xdr:sp macro="" textlink="">
      <xdr:nvSpPr>
        <xdr:cNvPr id="17420" name="Text Box 12">
          <a:extLst>
            <a:ext uri="{FF2B5EF4-FFF2-40B4-BE49-F238E27FC236}">
              <a16:creationId xmlns:a16="http://schemas.microsoft.com/office/drawing/2014/main" id="{FCBED6C0-55D9-B518-41DA-18063A75E3FD}"/>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57150</xdr:colOff>
      <xdr:row>1</xdr:row>
      <xdr:rowOff>114300</xdr:rowOff>
    </xdr:from>
    <xdr:to>
      <xdr:col>14</xdr:col>
      <xdr:colOff>19050</xdr:colOff>
      <xdr:row>1</xdr:row>
      <xdr:rowOff>371475</xdr:rowOff>
    </xdr:to>
    <xdr:sp macro="" textlink="">
      <xdr:nvSpPr>
        <xdr:cNvPr id="27649" name="AutoShape 1">
          <a:hlinkClick xmlns:r="http://schemas.openxmlformats.org/officeDocument/2006/relationships" r:id="rId1"/>
          <a:extLst>
            <a:ext uri="{FF2B5EF4-FFF2-40B4-BE49-F238E27FC236}">
              <a16:creationId xmlns:a16="http://schemas.microsoft.com/office/drawing/2014/main" id="{3B8AAA67-1E85-5904-44D5-9BAB28628C91}"/>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5</xdr:col>
      <xdr:colOff>558165</xdr:colOff>
      <xdr:row>1</xdr:row>
      <xdr:rowOff>295275</xdr:rowOff>
    </xdr:from>
    <xdr:to>
      <xdr:col>9</xdr:col>
      <xdr:colOff>1247760</xdr:colOff>
      <xdr:row>2</xdr:row>
      <xdr:rowOff>11506</xdr:rowOff>
    </xdr:to>
    <xdr:sp macro="" textlink="">
      <xdr:nvSpPr>
        <xdr:cNvPr id="27650" name="Text Box 2">
          <a:extLst>
            <a:ext uri="{FF2B5EF4-FFF2-40B4-BE49-F238E27FC236}">
              <a16:creationId xmlns:a16="http://schemas.microsoft.com/office/drawing/2014/main" id="{4EFBB3AC-BDD3-848E-6689-8E8B7EB5C61F}"/>
            </a:ext>
          </a:extLst>
        </xdr:cNvPr>
        <xdr:cNvSpPr txBox="1">
          <a:spLocks noChangeArrowheads="1"/>
        </xdr:cNvSpPr>
      </xdr:nvSpPr>
      <xdr:spPr bwMode="auto">
        <a:xfrm>
          <a:off x="4429125" y="400050"/>
          <a:ext cx="4895850" cy="19050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editAs="oneCell">
    <xdr:from>
      <xdr:col>11</xdr:col>
      <xdr:colOff>861060</xdr:colOff>
      <xdr:row>1</xdr:row>
      <xdr:rowOff>276225</xdr:rowOff>
    </xdr:from>
    <xdr:to>
      <xdr:col>11</xdr:col>
      <xdr:colOff>1447757</xdr:colOff>
      <xdr:row>1</xdr:row>
      <xdr:rowOff>419100</xdr:rowOff>
    </xdr:to>
    <xdr:sp macro="" textlink="">
      <xdr:nvSpPr>
        <xdr:cNvPr id="27652" name="Text Box 4">
          <a:extLst>
            <a:ext uri="{FF2B5EF4-FFF2-40B4-BE49-F238E27FC236}">
              <a16:creationId xmlns:a16="http://schemas.microsoft.com/office/drawing/2014/main" id="{3A1929B9-CF5F-05CC-B3F7-05FB51A73E3A}"/>
            </a:ext>
          </a:extLst>
        </xdr:cNvPr>
        <xdr:cNvSpPr txBox="1">
          <a:spLocks noChangeArrowheads="1"/>
        </xdr:cNvSpPr>
      </xdr:nvSpPr>
      <xdr:spPr bwMode="auto">
        <a:xfrm>
          <a:off x="11049000" y="381000"/>
          <a:ext cx="581025" cy="1428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WASv 4.2</a:t>
          </a:r>
          <a:endParaRPr lang="en-US"/>
        </a:p>
      </xdr:txBody>
    </xdr:sp>
    <xdr:clientData/>
  </xdr:twoCellAnchor>
  <xdr:twoCellAnchor>
    <xdr:from>
      <xdr:col>13</xdr:col>
      <xdr:colOff>57150</xdr:colOff>
      <xdr:row>1</xdr:row>
      <xdr:rowOff>114300</xdr:rowOff>
    </xdr:from>
    <xdr:to>
      <xdr:col>14</xdr:col>
      <xdr:colOff>19050</xdr:colOff>
      <xdr:row>1</xdr:row>
      <xdr:rowOff>371475</xdr:rowOff>
    </xdr:to>
    <xdr:sp macro="" textlink="">
      <xdr:nvSpPr>
        <xdr:cNvPr id="27653" name="AutoShape 5">
          <a:hlinkClick xmlns:r="http://schemas.openxmlformats.org/officeDocument/2006/relationships" r:id="rId1"/>
          <a:extLst>
            <a:ext uri="{FF2B5EF4-FFF2-40B4-BE49-F238E27FC236}">
              <a16:creationId xmlns:a16="http://schemas.microsoft.com/office/drawing/2014/main" id="{F627E0FF-A06D-340C-6602-32A19721EADC}"/>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xdr:row>
      <xdr:rowOff>289560</xdr:rowOff>
    </xdr:from>
    <xdr:to>
      <xdr:col>4</xdr:col>
      <xdr:colOff>302900</xdr:colOff>
      <xdr:row>2</xdr:row>
      <xdr:rowOff>449580</xdr:rowOff>
    </xdr:to>
    <xdr:sp macro="" textlink="">
      <xdr:nvSpPr>
        <xdr:cNvPr id="28708" name="Text Box 19">
          <a:extLst>
            <a:ext uri="{FF2B5EF4-FFF2-40B4-BE49-F238E27FC236}">
              <a16:creationId xmlns:a16="http://schemas.microsoft.com/office/drawing/2014/main" id="{1C97F15C-6559-6206-AF2D-EAF41740169D}"/>
            </a:ext>
          </a:extLst>
        </xdr:cNvPr>
        <xdr:cNvSpPr txBox="1">
          <a:spLocks noChangeArrowheads="1"/>
        </xdr:cNvSpPr>
      </xdr:nvSpPr>
      <xdr:spPr bwMode="auto">
        <a:xfrm>
          <a:off x="99060" y="525780"/>
          <a:ext cx="391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editAs="oneCell">
    <xdr:from>
      <xdr:col>4</xdr:col>
      <xdr:colOff>1703070</xdr:colOff>
      <xdr:row>2</xdr:row>
      <xdr:rowOff>304800</xdr:rowOff>
    </xdr:from>
    <xdr:to>
      <xdr:col>4</xdr:col>
      <xdr:colOff>2299110</xdr:colOff>
      <xdr:row>2</xdr:row>
      <xdr:rowOff>428625</xdr:rowOff>
    </xdr:to>
    <xdr:sp macro="" textlink="">
      <xdr:nvSpPr>
        <xdr:cNvPr id="28693" name="Text Box 21">
          <a:extLst>
            <a:ext uri="{FF2B5EF4-FFF2-40B4-BE49-F238E27FC236}">
              <a16:creationId xmlns:a16="http://schemas.microsoft.com/office/drawing/2014/main" id="{3FA25D66-7642-5E72-3693-9A20A63BF61F}"/>
            </a:ext>
          </a:extLst>
        </xdr:cNvPr>
        <xdr:cNvSpPr txBox="1">
          <a:spLocks noChangeArrowheads="1"/>
        </xdr:cNvSpPr>
      </xdr:nvSpPr>
      <xdr:spPr bwMode="auto">
        <a:xfrm>
          <a:off x="5305425" y="542925"/>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xdr:twoCellAnchor editAs="oneCell">
    <xdr:from>
      <xdr:col>2</xdr:col>
      <xdr:colOff>752475</xdr:colOff>
      <xdr:row>3</xdr:row>
      <xdr:rowOff>38100</xdr:rowOff>
    </xdr:from>
    <xdr:to>
      <xdr:col>4</xdr:col>
      <xdr:colOff>3743325</xdr:colOff>
      <xdr:row>9</xdr:row>
      <xdr:rowOff>209550</xdr:rowOff>
    </xdr:to>
    <xdr:pic>
      <xdr:nvPicPr>
        <xdr:cNvPr id="28938" name="Picture 22" descr="Meter-at-curb-stop">
          <a:extLst>
            <a:ext uri="{FF2B5EF4-FFF2-40B4-BE49-F238E27FC236}">
              <a16:creationId xmlns:a16="http://schemas.microsoft.com/office/drawing/2014/main" id="{FB11D2FB-2EC0-A3E5-4FB3-78E2D57702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762000"/>
          <a:ext cx="5295900"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28939" name="Picture 23" descr="Meter-Inside-Property">
          <a:extLst>
            <a:ext uri="{FF2B5EF4-FFF2-40B4-BE49-F238E27FC236}">
              <a16:creationId xmlns:a16="http://schemas.microsoft.com/office/drawing/2014/main" id="{DA6C8519-6512-D43D-88BA-FECA4F8EF5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7528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762000</xdr:colOff>
      <xdr:row>16</xdr:row>
      <xdr:rowOff>47625</xdr:rowOff>
    </xdr:from>
    <xdr:to>
      <xdr:col>4</xdr:col>
      <xdr:colOff>3743325</xdr:colOff>
      <xdr:row>22</xdr:row>
      <xdr:rowOff>428625</xdr:rowOff>
    </xdr:to>
    <xdr:pic>
      <xdr:nvPicPr>
        <xdr:cNvPr id="28940" name="Picture 24" descr="Unmetered">
          <a:extLst>
            <a:ext uri="{FF2B5EF4-FFF2-40B4-BE49-F238E27FC236}">
              <a16:creationId xmlns:a16="http://schemas.microsoft.com/office/drawing/2014/main" id="{9445A62F-715D-092D-20FF-12F76195194F}"/>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7400" y="68389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2478405</xdr:colOff>
      <xdr:row>2</xdr:row>
      <xdr:rowOff>152400</xdr:rowOff>
    </xdr:from>
    <xdr:to>
      <xdr:col>4</xdr:col>
      <xdr:colOff>3981362</xdr:colOff>
      <xdr:row>2</xdr:row>
      <xdr:rowOff>400050</xdr:rowOff>
    </xdr:to>
    <xdr:sp macro="" textlink="">
      <xdr:nvSpPr>
        <xdr:cNvPr id="28697" name="AutoShape 25">
          <a:hlinkClick xmlns:r="http://schemas.openxmlformats.org/officeDocument/2006/relationships" r:id="rId4"/>
          <a:extLst>
            <a:ext uri="{FF2B5EF4-FFF2-40B4-BE49-F238E27FC236}">
              <a16:creationId xmlns:a16="http://schemas.microsoft.com/office/drawing/2014/main" id="{11BBDBF3-2251-A8A5-AA8F-95EFCDAF0FA6}"/>
            </a:ext>
          </a:extLst>
        </xdr:cNvPr>
        <xdr:cNvSpPr>
          <a:spLocks noChangeArrowheads="1"/>
        </xdr:cNvSpPr>
      </xdr:nvSpPr>
      <xdr:spPr bwMode="auto">
        <a:xfrm>
          <a:off x="6076950" y="390525"/>
          <a:ext cx="150495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1</xdr:col>
      <xdr:colOff>106680</xdr:colOff>
      <xdr:row>4</xdr:row>
      <xdr:rowOff>121920</xdr:rowOff>
    </xdr:from>
    <xdr:to>
      <xdr:col>2</xdr:col>
      <xdr:colOff>628670</xdr:colOff>
      <xdr:row>20</xdr:row>
      <xdr:rowOff>106680</xdr:rowOff>
    </xdr:to>
    <xdr:sp macro="" textlink="">
      <xdr:nvSpPr>
        <xdr:cNvPr id="28714" name="Text Box 26">
          <a:extLst>
            <a:ext uri="{FF2B5EF4-FFF2-40B4-BE49-F238E27FC236}">
              <a16:creationId xmlns:a16="http://schemas.microsoft.com/office/drawing/2014/main" id="{27210634-8330-72FE-D22F-7064AE804593}"/>
            </a:ext>
          </a:extLst>
        </xdr:cNvPr>
        <xdr:cNvSpPr txBox="1">
          <a:spLocks noChangeArrowheads="1"/>
        </xdr:cNvSpPr>
      </xdr:nvSpPr>
      <xdr:spPr bwMode="auto">
        <a:xfrm>
          <a:off x="167640" y="13030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curbstop valve.  In this configuration Lp = 0 since the distance between the curbstop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1</xdr:col>
      <xdr:colOff>150495</xdr:colOff>
      <xdr:row>3</xdr:row>
      <xdr:rowOff>161925</xdr:rowOff>
    </xdr:from>
    <xdr:to>
      <xdr:col>2</xdr:col>
      <xdr:colOff>558167</xdr:colOff>
      <xdr:row>4</xdr:row>
      <xdr:rowOff>0</xdr:rowOff>
    </xdr:to>
    <xdr:sp macro="" textlink="">
      <xdr:nvSpPr>
        <xdr:cNvPr id="28702" name="Text Box 30">
          <a:hlinkClick xmlns:r="http://schemas.openxmlformats.org/officeDocument/2006/relationships" r:id="rId5"/>
          <a:extLst>
            <a:ext uri="{FF2B5EF4-FFF2-40B4-BE49-F238E27FC236}">
              <a16:creationId xmlns:a16="http://schemas.microsoft.com/office/drawing/2014/main" id="{B1775DF8-8014-8F1D-7EB9-325C8863413F}"/>
            </a:ext>
          </a:extLst>
        </xdr:cNvPr>
        <xdr:cNvSpPr txBox="1">
          <a:spLocks noChangeArrowheads="1"/>
        </xdr:cNvSpPr>
      </xdr:nvSpPr>
      <xdr:spPr bwMode="auto">
        <a:xfrm>
          <a:off x="209550" y="885825"/>
          <a:ext cx="1647825" cy="3048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Return to Reporting Worksheet</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twoCellAnchor>
    <xdr:from>
      <xdr:col>2</xdr:col>
      <xdr:colOff>822960</xdr:colOff>
      <xdr:row>8</xdr:row>
      <xdr:rowOff>295275</xdr:rowOff>
    </xdr:from>
    <xdr:to>
      <xdr:col>3</xdr:col>
      <xdr:colOff>481988</xdr:colOff>
      <xdr:row>9</xdr:row>
      <xdr:rowOff>125778</xdr:rowOff>
    </xdr:to>
    <xdr:sp macro="" textlink="">
      <xdr:nvSpPr>
        <xdr:cNvPr id="28703" name="Text Box 31">
          <a:extLst>
            <a:ext uri="{FF2B5EF4-FFF2-40B4-BE49-F238E27FC236}">
              <a16:creationId xmlns:a16="http://schemas.microsoft.com/office/drawing/2014/main" id="{A3510671-8958-E5C7-92B3-297844D3547B}"/>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851535</xdr:colOff>
      <xdr:row>15</xdr:row>
      <xdr:rowOff>76200</xdr:rowOff>
    </xdr:from>
    <xdr:to>
      <xdr:col>3</xdr:col>
      <xdr:colOff>512538</xdr:colOff>
      <xdr:row>15</xdr:row>
      <xdr:rowOff>381000</xdr:rowOff>
    </xdr:to>
    <xdr:sp macro="" textlink="">
      <xdr:nvSpPr>
        <xdr:cNvPr id="28704" name="Text Box 32">
          <a:extLst>
            <a:ext uri="{FF2B5EF4-FFF2-40B4-BE49-F238E27FC236}">
              <a16:creationId xmlns:a16="http://schemas.microsoft.com/office/drawing/2014/main" id="{A1422248-E351-3E64-C09D-1E92BB572547}"/>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889635</xdr:colOff>
      <xdr:row>21</xdr:row>
      <xdr:rowOff>457200</xdr:rowOff>
    </xdr:from>
    <xdr:to>
      <xdr:col>3</xdr:col>
      <xdr:colOff>548663</xdr:colOff>
      <xdr:row>22</xdr:row>
      <xdr:rowOff>295275</xdr:rowOff>
    </xdr:to>
    <xdr:sp macro="" textlink="">
      <xdr:nvSpPr>
        <xdr:cNvPr id="28705" name="Text Box 33">
          <a:extLst>
            <a:ext uri="{FF2B5EF4-FFF2-40B4-BE49-F238E27FC236}">
              <a16:creationId xmlns:a16="http://schemas.microsoft.com/office/drawing/2014/main" id="{E6989478-5925-F811-D10D-CFAE7069BB09}"/>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1</xdr:col>
      <xdr:colOff>514350</xdr:colOff>
      <xdr:row>20</xdr:row>
      <xdr:rowOff>188595</xdr:rowOff>
    </xdr:from>
    <xdr:to>
      <xdr:col>2</xdr:col>
      <xdr:colOff>154321</xdr:colOff>
      <xdr:row>21</xdr:row>
      <xdr:rowOff>142875</xdr:rowOff>
    </xdr:to>
    <xdr:sp macro="" textlink="">
      <xdr:nvSpPr>
        <xdr:cNvPr id="28707" name="Text Box 35">
          <a:hlinkClick xmlns:r="http://schemas.openxmlformats.org/officeDocument/2006/relationships" r:id="rId6"/>
          <a:extLst>
            <a:ext uri="{FF2B5EF4-FFF2-40B4-BE49-F238E27FC236}">
              <a16:creationId xmlns:a16="http://schemas.microsoft.com/office/drawing/2014/main" id="{8E2DF71D-32E5-412D-98EE-E43773918C65}"/>
            </a:ext>
          </a:extLst>
        </xdr:cNvPr>
        <xdr:cNvSpPr txBox="1">
          <a:spLocks noChangeArrowheads="1"/>
        </xdr:cNvSpPr>
      </xdr:nvSpPr>
      <xdr:spPr bwMode="auto">
        <a:xfrm>
          <a:off x="581025" y="8686800"/>
          <a:ext cx="885825" cy="4191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Click for more information</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47625</xdr:colOff>
      <xdr:row>15</xdr:row>
      <xdr:rowOff>619125</xdr:rowOff>
    </xdr:from>
    <xdr:to>
      <xdr:col>3</xdr:col>
      <xdr:colOff>350578</xdr:colOff>
      <xdr:row>15</xdr:row>
      <xdr:rowOff>762000</xdr:rowOff>
    </xdr:to>
    <xdr:sp macro="" textlink="">
      <xdr:nvSpPr>
        <xdr:cNvPr id="10248" name="Text Box 8">
          <a:hlinkClick xmlns:r="http://schemas.openxmlformats.org/officeDocument/2006/relationships" r:id="rId1"/>
          <a:extLst>
            <a:ext uri="{FF2B5EF4-FFF2-40B4-BE49-F238E27FC236}">
              <a16:creationId xmlns:a16="http://schemas.microsoft.com/office/drawing/2014/main" id="{7A89943A-4E88-8383-8D52-ABE1EA43BF8C}"/>
            </a:ext>
          </a:extLst>
        </xdr:cNvPr>
        <xdr:cNvSpPr txBox="1">
          <a:spLocks noChangeArrowheads="1"/>
        </xdr:cNvSpPr>
      </xdr:nvSpPr>
      <xdr:spPr bwMode="auto">
        <a:xfrm>
          <a:off x="2971800" y="89249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50</xdr:row>
      <xdr:rowOff>238125</xdr:rowOff>
    </xdr:from>
    <xdr:to>
      <xdr:col>3</xdr:col>
      <xdr:colOff>350578</xdr:colOff>
      <xdr:row>50</xdr:row>
      <xdr:rowOff>381000</xdr:rowOff>
    </xdr:to>
    <xdr:sp macro="" textlink="">
      <xdr:nvSpPr>
        <xdr:cNvPr id="10251" name="Text Box 11">
          <a:hlinkClick xmlns:r="http://schemas.openxmlformats.org/officeDocument/2006/relationships" r:id="rId2"/>
          <a:extLst>
            <a:ext uri="{FF2B5EF4-FFF2-40B4-BE49-F238E27FC236}">
              <a16:creationId xmlns:a16="http://schemas.microsoft.com/office/drawing/2014/main" id="{90E4172D-E45F-F245-286C-EE93A828BABF}"/>
            </a:ext>
          </a:extLst>
        </xdr:cNvPr>
        <xdr:cNvSpPr txBox="1">
          <a:spLocks noChangeArrowheads="1"/>
        </xdr:cNvSpPr>
      </xdr:nvSpPr>
      <xdr:spPr bwMode="auto">
        <a:xfrm>
          <a:off x="2971800" y="30603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39</xdr:row>
      <xdr:rowOff>104775</xdr:rowOff>
    </xdr:from>
    <xdr:to>
      <xdr:col>3</xdr:col>
      <xdr:colOff>360103</xdr:colOff>
      <xdr:row>39</xdr:row>
      <xdr:rowOff>247650</xdr:rowOff>
    </xdr:to>
    <xdr:sp macro="" textlink="">
      <xdr:nvSpPr>
        <xdr:cNvPr id="10263" name="Text Box 23">
          <a:hlinkClick xmlns:r="http://schemas.openxmlformats.org/officeDocument/2006/relationships" r:id="rId3"/>
          <a:extLst>
            <a:ext uri="{FF2B5EF4-FFF2-40B4-BE49-F238E27FC236}">
              <a16:creationId xmlns:a16="http://schemas.microsoft.com/office/drawing/2014/main" id="{629489AA-89BE-3683-4DF7-01660D4C84F4}"/>
            </a:ext>
          </a:extLst>
        </xdr:cNvPr>
        <xdr:cNvSpPr txBox="1">
          <a:spLocks noChangeArrowheads="1"/>
        </xdr:cNvSpPr>
      </xdr:nvSpPr>
      <xdr:spPr bwMode="auto">
        <a:xfrm>
          <a:off x="2981325" y="226123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33</xdr:row>
      <xdr:rowOff>266700</xdr:rowOff>
    </xdr:from>
    <xdr:to>
      <xdr:col>3</xdr:col>
      <xdr:colOff>360103</xdr:colOff>
      <xdr:row>33</xdr:row>
      <xdr:rowOff>409575</xdr:rowOff>
    </xdr:to>
    <xdr:sp macro="" textlink="">
      <xdr:nvSpPr>
        <xdr:cNvPr id="10265" name="Text Box 25">
          <a:hlinkClick xmlns:r="http://schemas.openxmlformats.org/officeDocument/2006/relationships" r:id="rId4"/>
          <a:extLst>
            <a:ext uri="{FF2B5EF4-FFF2-40B4-BE49-F238E27FC236}">
              <a16:creationId xmlns:a16="http://schemas.microsoft.com/office/drawing/2014/main" id="{38124DCB-534A-FA43-9A64-7CA4190A94F8}"/>
            </a:ext>
          </a:extLst>
        </xdr:cNvPr>
        <xdr:cNvSpPr txBox="1">
          <a:spLocks noChangeArrowheads="1"/>
        </xdr:cNvSpPr>
      </xdr:nvSpPr>
      <xdr:spPr bwMode="auto">
        <a:xfrm>
          <a:off x="2981325" y="205549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60</xdr:row>
      <xdr:rowOff>1285875</xdr:rowOff>
    </xdr:from>
    <xdr:to>
      <xdr:col>3</xdr:col>
      <xdr:colOff>360103</xdr:colOff>
      <xdr:row>60</xdr:row>
      <xdr:rowOff>1428750</xdr:rowOff>
    </xdr:to>
    <xdr:sp macro="" textlink="">
      <xdr:nvSpPr>
        <xdr:cNvPr id="10269" name="Text Box 29">
          <a:hlinkClick xmlns:r="http://schemas.openxmlformats.org/officeDocument/2006/relationships" r:id="rId5"/>
          <a:extLst>
            <a:ext uri="{FF2B5EF4-FFF2-40B4-BE49-F238E27FC236}">
              <a16:creationId xmlns:a16="http://schemas.microsoft.com/office/drawing/2014/main" id="{6792B621-6062-2E82-0483-91E8AA11E476}"/>
            </a:ext>
          </a:extLst>
        </xdr:cNvPr>
        <xdr:cNvSpPr txBox="1">
          <a:spLocks noChangeArrowheads="1"/>
        </xdr:cNvSpPr>
      </xdr:nvSpPr>
      <xdr:spPr bwMode="auto">
        <a:xfrm>
          <a:off x="2981325" y="36928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9</xdr:col>
      <xdr:colOff>142875</xdr:colOff>
      <xdr:row>1</xdr:row>
      <xdr:rowOff>125730</xdr:rowOff>
    </xdr:from>
    <xdr:to>
      <xdr:col>12</xdr:col>
      <xdr:colOff>0</xdr:colOff>
      <xdr:row>1</xdr:row>
      <xdr:rowOff>390698</xdr:rowOff>
    </xdr:to>
    <xdr:sp macro="" textlink="">
      <xdr:nvSpPr>
        <xdr:cNvPr id="10271" name="AutoShape 31">
          <a:hlinkClick xmlns:r="http://schemas.openxmlformats.org/officeDocument/2006/relationships" r:id="rId6"/>
          <a:extLst>
            <a:ext uri="{FF2B5EF4-FFF2-40B4-BE49-F238E27FC236}">
              <a16:creationId xmlns:a16="http://schemas.microsoft.com/office/drawing/2014/main" id="{48244BCA-A4A9-30D7-8219-909F3CED9FE1}"/>
            </a:ext>
          </a:extLst>
        </xdr:cNvPr>
        <xdr:cNvSpPr>
          <a:spLocks noChangeArrowheads="1"/>
        </xdr:cNvSpPr>
      </xdr:nvSpPr>
      <xdr:spPr bwMode="auto">
        <a:xfrm>
          <a:off x="6972300" y="209550"/>
          <a:ext cx="21907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editAs="oneCell">
    <xdr:from>
      <xdr:col>3</xdr:col>
      <xdr:colOff>57150</xdr:colOff>
      <xdr:row>46</xdr:row>
      <xdr:rowOff>306705</xdr:rowOff>
    </xdr:from>
    <xdr:to>
      <xdr:col>3</xdr:col>
      <xdr:colOff>360103</xdr:colOff>
      <xdr:row>46</xdr:row>
      <xdr:rowOff>442060</xdr:rowOff>
    </xdr:to>
    <xdr:sp macro="" textlink="">
      <xdr:nvSpPr>
        <xdr:cNvPr id="10273" name="Text Box 33">
          <a:hlinkClick xmlns:r="http://schemas.openxmlformats.org/officeDocument/2006/relationships" r:id="rId7"/>
          <a:extLst>
            <a:ext uri="{FF2B5EF4-FFF2-40B4-BE49-F238E27FC236}">
              <a16:creationId xmlns:a16="http://schemas.microsoft.com/office/drawing/2014/main" id="{DE430905-85DE-1C37-2DFD-15DC326E910C}"/>
            </a:ext>
          </a:extLst>
        </xdr:cNvPr>
        <xdr:cNvSpPr txBox="1">
          <a:spLocks noChangeArrowheads="1"/>
        </xdr:cNvSpPr>
      </xdr:nvSpPr>
      <xdr:spPr bwMode="auto">
        <a:xfrm>
          <a:off x="2981325" y="276225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64</xdr:row>
      <xdr:rowOff>38100</xdr:rowOff>
    </xdr:from>
    <xdr:to>
      <xdr:col>3</xdr:col>
      <xdr:colOff>360103</xdr:colOff>
      <xdr:row>64</xdr:row>
      <xdr:rowOff>180975</xdr:rowOff>
    </xdr:to>
    <xdr:sp macro="" textlink="">
      <xdr:nvSpPr>
        <xdr:cNvPr id="10275" name="Text Box 35">
          <a:hlinkClick xmlns:r="http://schemas.openxmlformats.org/officeDocument/2006/relationships" r:id="rId8"/>
          <a:extLst>
            <a:ext uri="{FF2B5EF4-FFF2-40B4-BE49-F238E27FC236}">
              <a16:creationId xmlns:a16="http://schemas.microsoft.com/office/drawing/2014/main" id="{5D97CA7A-863C-E783-07B6-8D0B4BE252A0}"/>
            </a:ext>
          </a:extLst>
        </xdr:cNvPr>
        <xdr:cNvSpPr txBox="1">
          <a:spLocks noChangeArrowheads="1"/>
        </xdr:cNvSpPr>
      </xdr:nvSpPr>
      <xdr:spPr bwMode="auto">
        <a:xfrm>
          <a:off x="2981325" y="391477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68</xdr:row>
      <xdr:rowOff>180975</xdr:rowOff>
    </xdr:from>
    <xdr:to>
      <xdr:col>3</xdr:col>
      <xdr:colOff>360103</xdr:colOff>
      <xdr:row>68</xdr:row>
      <xdr:rowOff>323850</xdr:rowOff>
    </xdr:to>
    <xdr:sp macro="" textlink="">
      <xdr:nvSpPr>
        <xdr:cNvPr id="10276" name="Text Box 36">
          <a:hlinkClick xmlns:r="http://schemas.openxmlformats.org/officeDocument/2006/relationships" r:id="rId9"/>
          <a:extLst>
            <a:ext uri="{FF2B5EF4-FFF2-40B4-BE49-F238E27FC236}">
              <a16:creationId xmlns:a16="http://schemas.microsoft.com/office/drawing/2014/main" id="{AF4CD003-6AE1-31EF-34EA-F152D9C0AAD0}"/>
            </a:ext>
          </a:extLst>
        </xdr:cNvPr>
        <xdr:cNvSpPr txBox="1">
          <a:spLocks noChangeArrowheads="1"/>
        </xdr:cNvSpPr>
      </xdr:nvSpPr>
      <xdr:spPr bwMode="auto">
        <a:xfrm>
          <a:off x="2981325" y="40176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66</xdr:row>
      <xdr:rowOff>152400</xdr:rowOff>
    </xdr:from>
    <xdr:to>
      <xdr:col>3</xdr:col>
      <xdr:colOff>369628</xdr:colOff>
      <xdr:row>66</xdr:row>
      <xdr:rowOff>295275</xdr:rowOff>
    </xdr:to>
    <xdr:sp macro="" textlink="">
      <xdr:nvSpPr>
        <xdr:cNvPr id="10278" name="Text Box 38">
          <a:hlinkClick xmlns:r="http://schemas.openxmlformats.org/officeDocument/2006/relationships" r:id="rId10"/>
          <a:extLst>
            <a:ext uri="{FF2B5EF4-FFF2-40B4-BE49-F238E27FC236}">
              <a16:creationId xmlns:a16="http://schemas.microsoft.com/office/drawing/2014/main" id="{EDF5E847-DC9C-10B0-6F4D-1879BF33211D}"/>
            </a:ext>
          </a:extLst>
        </xdr:cNvPr>
        <xdr:cNvSpPr txBox="1">
          <a:spLocks noChangeArrowheads="1"/>
        </xdr:cNvSpPr>
      </xdr:nvSpPr>
      <xdr:spPr bwMode="auto">
        <a:xfrm>
          <a:off x="2990850" y="395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62</xdr:row>
      <xdr:rowOff>276225</xdr:rowOff>
    </xdr:from>
    <xdr:to>
      <xdr:col>3</xdr:col>
      <xdr:colOff>360103</xdr:colOff>
      <xdr:row>62</xdr:row>
      <xdr:rowOff>419100</xdr:rowOff>
    </xdr:to>
    <xdr:sp macro="" textlink="">
      <xdr:nvSpPr>
        <xdr:cNvPr id="10281" name="Text Box 41">
          <a:hlinkClick xmlns:r="http://schemas.openxmlformats.org/officeDocument/2006/relationships" r:id="rId11"/>
          <a:extLst>
            <a:ext uri="{FF2B5EF4-FFF2-40B4-BE49-F238E27FC236}">
              <a16:creationId xmlns:a16="http://schemas.microsoft.com/office/drawing/2014/main" id="{2C9F9ED4-7C7E-1946-AC50-721148B7F0AB}"/>
            </a:ext>
          </a:extLst>
        </xdr:cNvPr>
        <xdr:cNvSpPr txBox="1">
          <a:spLocks noChangeArrowheads="1"/>
        </xdr:cNvSpPr>
      </xdr:nvSpPr>
      <xdr:spPr bwMode="auto">
        <a:xfrm>
          <a:off x="2981325" y="386619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2</xdr:col>
      <xdr:colOff>1470660</xdr:colOff>
      <xdr:row>1</xdr:row>
      <xdr:rowOff>312420</xdr:rowOff>
    </xdr:from>
    <xdr:to>
      <xdr:col>6</xdr:col>
      <xdr:colOff>1796432</xdr:colOff>
      <xdr:row>1</xdr:row>
      <xdr:rowOff>472440</xdr:rowOff>
    </xdr:to>
    <xdr:sp macro="" textlink="">
      <xdr:nvSpPr>
        <xdr:cNvPr id="10344" name="Text Box 44">
          <a:extLst>
            <a:ext uri="{FF2B5EF4-FFF2-40B4-BE49-F238E27FC236}">
              <a16:creationId xmlns:a16="http://schemas.microsoft.com/office/drawing/2014/main" id="{D63A8DFD-E3D1-E7E0-E49A-46B6DF07550E}"/>
            </a:ext>
          </a:extLst>
        </xdr:cNvPr>
        <xdr:cNvSpPr txBox="1">
          <a:spLocks noChangeArrowheads="1"/>
        </xdr:cNvSpPr>
      </xdr:nvSpPr>
      <xdr:spPr bwMode="auto">
        <a:xfrm>
          <a:off x="1691640" y="388620"/>
          <a:ext cx="43357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4</xdr:col>
      <xdr:colOff>57150</xdr:colOff>
      <xdr:row>60</xdr:row>
      <xdr:rowOff>68580</xdr:rowOff>
    </xdr:from>
    <xdr:to>
      <xdr:col>6</xdr:col>
      <xdr:colOff>1192593</xdr:colOff>
      <xdr:row>60</xdr:row>
      <xdr:rowOff>421005</xdr:rowOff>
    </xdr:to>
    <xdr:sp macro="" textlink="">
      <xdr:nvSpPr>
        <xdr:cNvPr id="10288" name="Text Box 48">
          <a:extLst>
            <a:ext uri="{FF2B5EF4-FFF2-40B4-BE49-F238E27FC236}">
              <a16:creationId xmlns:a16="http://schemas.microsoft.com/office/drawing/2014/main" id="{C900EE23-1322-072F-2907-FB93A33A9E64}"/>
            </a:ext>
          </a:extLst>
        </xdr:cNvPr>
        <xdr:cNvSpPr txBox="1">
          <a:spLocks noChangeArrowheads="1"/>
        </xdr:cNvSpPr>
      </xdr:nvSpPr>
      <xdr:spPr bwMode="auto">
        <a:xfrm>
          <a:off x="3409950" y="35709225"/>
          <a:ext cx="1838325" cy="3524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use the percent value choose this button</a:t>
          </a:r>
        </a:p>
      </xdr:txBody>
    </xdr:sp>
    <xdr:clientData/>
  </xdr:twoCellAnchor>
  <xdr:twoCellAnchor>
    <xdr:from>
      <xdr:col>6</xdr:col>
      <xdr:colOff>1590675</xdr:colOff>
      <xdr:row>60</xdr:row>
      <xdr:rowOff>87630</xdr:rowOff>
    </xdr:from>
    <xdr:to>
      <xdr:col>9</xdr:col>
      <xdr:colOff>1939299</xdr:colOff>
      <xdr:row>60</xdr:row>
      <xdr:rowOff>457281</xdr:rowOff>
    </xdr:to>
    <xdr:sp macro="" textlink="">
      <xdr:nvSpPr>
        <xdr:cNvPr id="10291" name="Text Box 51">
          <a:extLst>
            <a:ext uri="{FF2B5EF4-FFF2-40B4-BE49-F238E27FC236}">
              <a16:creationId xmlns:a16="http://schemas.microsoft.com/office/drawing/2014/main" id="{F3C4A286-F3B5-02D1-1F3D-855805198F43}"/>
            </a:ext>
          </a:extLst>
        </xdr:cNvPr>
        <xdr:cNvSpPr txBox="1">
          <a:spLocks noChangeArrowheads="1"/>
        </xdr:cNvSpPr>
      </xdr:nvSpPr>
      <xdr:spPr bwMode="auto">
        <a:xfrm>
          <a:off x="5648325" y="35737800"/>
          <a:ext cx="3124200" cy="36195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enter a value choose this button and enter the value in the cell to the right</a:t>
          </a:r>
        </a:p>
      </xdr:txBody>
    </xdr:sp>
    <xdr:clientData/>
  </xdr:twoCellAnchor>
  <xdr:twoCellAnchor editAs="oneCell">
    <xdr:from>
      <xdr:col>6</xdr:col>
      <xdr:colOff>142875</xdr:colOff>
      <xdr:row>60</xdr:row>
      <xdr:rowOff>666750</xdr:rowOff>
    </xdr:from>
    <xdr:to>
      <xdr:col>8</xdr:col>
      <xdr:colOff>361950</xdr:colOff>
      <xdr:row>60</xdr:row>
      <xdr:rowOff>1171575</xdr:rowOff>
    </xdr:to>
    <xdr:pic>
      <xdr:nvPicPr>
        <xdr:cNvPr id="11129" name="Picture 57">
          <a:extLst>
            <a:ext uri="{FF2B5EF4-FFF2-40B4-BE49-F238E27FC236}">
              <a16:creationId xmlns:a16="http://schemas.microsoft.com/office/drawing/2014/main" id="{1B6F5A60-66E4-FA66-29CB-E8C100DBE2F9}"/>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60703" t="49699" r="19531" b="45000"/>
        <a:stretch>
          <a:fillRect/>
        </a:stretch>
      </xdr:blipFill>
      <xdr:spPr bwMode="auto">
        <a:xfrm>
          <a:off x="4200525" y="37280850"/>
          <a:ext cx="24098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76200</xdr:colOff>
      <xdr:row>60</xdr:row>
      <xdr:rowOff>1363980</xdr:rowOff>
    </xdr:from>
    <xdr:to>
      <xdr:col>11</xdr:col>
      <xdr:colOff>83826</xdr:colOff>
      <xdr:row>60</xdr:row>
      <xdr:rowOff>2219350</xdr:rowOff>
    </xdr:to>
    <xdr:sp macro="" textlink="">
      <xdr:nvSpPr>
        <xdr:cNvPr id="10294" name="Text Box 54">
          <a:extLst>
            <a:ext uri="{FF2B5EF4-FFF2-40B4-BE49-F238E27FC236}">
              <a16:creationId xmlns:a16="http://schemas.microsoft.com/office/drawing/2014/main" id="{B71B0256-9BB4-90F7-300C-2B45626042E4}"/>
            </a:ext>
          </a:extLst>
        </xdr:cNvPr>
        <xdr:cNvSpPr txBox="1">
          <a:spLocks noChangeArrowheads="1"/>
        </xdr:cNvSpPr>
      </xdr:nvSpPr>
      <xdr:spPr bwMode="auto">
        <a:xfrm>
          <a:off x="3429000" y="37004625"/>
          <a:ext cx="5657850" cy="866775"/>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900" b="1" i="0" u="none" strike="noStrike" baseline="0">
              <a:solidFill>
                <a:srgbClr val="000000"/>
              </a:solidFill>
              <a:latin typeface="Courier New"/>
              <a:cs typeface="Courier New"/>
            </a:rPr>
            <a:t>NOTE:</a:t>
          </a:r>
          <a:r>
            <a:rPr lang="en-US" sz="900" b="0" i="0" u="none" strike="noStrike" baseline="0">
              <a:solidFill>
                <a:srgbClr val="000000"/>
              </a:solidFill>
              <a:latin typeface="Courier New"/>
              <a:cs typeface="Courier New"/>
            </a:rPr>
            <a:t> For unbilled unmetered consumption and unauthorized consumption, a recommended default value can be applied by selecting the Percent option. The default values are based on fixed percentages of water supplied and are recommended for use in this audit unless the auditor has well validated data for their system. Default values are shown by purple cells, as shown in the example above.</a:t>
          </a:r>
        </a:p>
      </xdr:txBody>
    </xdr:sp>
    <xdr:clientData/>
  </xdr:twoCellAnchor>
  <xdr:twoCellAnchor>
    <xdr:from>
      <xdr:col>6</xdr:col>
      <xdr:colOff>1066800</xdr:colOff>
      <xdr:row>60</xdr:row>
      <xdr:rowOff>333375</xdr:rowOff>
    </xdr:from>
    <xdr:to>
      <xdr:col>6</xdr:col>
      <xdr:colOff>1543050</xdr:colOff>
      <xdr:row>60</xdr:row>
      <xdr:rowOff>800100</xdr:rowOff>
    </xdr:to>
    <xdr:sp macro="" textlink="">
      <xdr:nvSpPr>
        <xdr:cNvPr id="11131" name="Line 55">
          <a:extLst>
            <a:ext uri="{FF2B5EF4-FFF2-40B4-BE49-F238E27FC236}">
              <a16:creationId xmlns:a16="http://schemas.microsoft.com/office/drawing/2014/main" id="{032CA64C-70CB-0232-A57D-F035C9233987}"/>
            </a:ext>
          </a:extLst>
        </xdr:cNvPr>
        <xdr:cNvSpPr>
          <a:spLocks noChangeShapeType="1"/>
        </xdr:cNvSpPr>
      </xdr:nvSpPr>
      <xdr:spPr bwMode="auto">
        <a:xfrm flipH="1">
          <a:off x="5124450" y="36947475"/>
          <a:ext cx="47625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60</xdr:row>
      <xdr:rowOff>419100</xdr:rowOff>
    </xdr:from>
    <xdr:to>
      <xdr:col>6</xdr:col>
      <xdr:colOff>809625</xdr:colOff>
      <xdr:row>60</xdr:row>
      <xdr:rowOff>809625</xdr:rowOff>
    </xdr:to>
    <xdr:sp macro="" textlink="">
      <xdr:nvSpPr>
        <xdr:cNvPr id="11132" name="Line 49">
          <a:extLst>
            <a:ext uri="{FF2B5EF4-FFF2-40B4-BE49-F238E27FC236}">
              <a16:creationId xmlns:a16="http://schemas.microsoft.com/office/drawing/2014/main" id="{50C7C521-52B8-F335-A32B-53E73C5574C1}"/>
            </a:ext>
          </a:extLst>
        </xdr:cNvPr>
        <xdr:cNvSpPr>
          <a:spLocks noChangeShapeType="1"/>
        </xdr:cNvSpPr>
      </xdr:nvSpPr>
      <xdr:spPr bwMode="auto">
        <a:xfrm>
          <a:off x="4505325" y="37033200"/>
          <a:ext cx="361950" cy="3905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60</xdr:row>
      <xdr:rowOff>409575</xdr:rowOff>
    </xdr:from>
    <xdr:to>
      <xdr:col>9</xdr:col>
      <xdr:colOff>876300</xdr:colOff>
      <xdr:row>60</xdr:row>
      <xdr:rowOff>971550</xdr:rowOff>
    </xdr:to>
    <xdr:sp macro="" textlink="">
      <xdr:nvSpPr>
        <xdr:cNvPr id="11133" name="Line 52">
          <a:extLst>
            <a:ext uri="{FF2B5EF4-FFF2-40B4-BE49-F238E27FC236}">
              <a16:creationId xmlns:a16="http://schemas.microsoft.com/office/drawing/2014/main" id="{90C8CC31-9429-1D72-452F-16CD479A925D}"/>
            </a:ext>
          </a:extLst>
        </xdr:cNvPr>
        <xdr:cNvSpPr>
          <a:spLocks noChangeShapeType="1"/>
        </xdr:cNvSpPr>
      </xdr:nvSpPr>
      <xdr:spPr bwMode="auto">
        <a:xfrm flipH="1">
          <a:off x="6191250" y="37023675"/>
          <a:ext cx="1514475" cy="5619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85725</xdr:colOff>
      <xdr:row>60</xdr:row>
      <xdr:rowOff>2245995</xdr:rowOff>
    </xdr:from>
    <xdr:to>
      <xdr:col>11</xdr:col>
      <xdr:colOff>104775</xdr:colOff>
      <xdr:row>60</xdr:row>
      <xdr:rowOff>2588895</xdr:rowOff>
    </xdr:to>
    <xdr:sp macro="" textlink="">
      <xdr:nvSpPr>
        <xdr:cNvPr id="10298" name="Text Box 58">
          <a:extLst>
            <a:ext uri="{FF2B5EF4-FFF2-40B4-BE49-F238E27FC236}">
              <a16:creationId xmlns:a16="http://schemas.microsoft.com/office/drawing/2014/main" id="{268198B8-5FEB-6470-C909-B0BBF366240E}"/>
            </a:ext>
          </a:extLst>
        </xdr:cNvPr>
        <xdr:cNvSpPr txBox="1">
          <a:spLocks noChangeArrowheads="1"/>
        </xdr:cNvSpPr>
      </xdr:nvSpPr>
      <xdr:spPr bwMode="auto">
        <a:xfrm>
          <a:off x="3438525" y="37890450"/>
          <a:ext cx="5667375" cy="3429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If a default value is selected, the user does not need to grade the item; a grading value of 3 is automatically applied (however, this grade will not be displayed).</a:t>
          </a:r>
        </a:p>
      </xdr:txBody>
    </xdr:sp>
    <xdr:clientData/>
  </xdr:twoCellAnchor>
  <xdr:twoCellAnchor editAs="oneCell">
    <xdr:from>
      <xdr:col>3</xdr:col>
      <xdr:colOff>57150</xdr:colOff>
      <xdr:row>54</xdr:row>
      <xdr:rowOff>1000125</xdr:rowOff>
    </xdr:from>
    <xdr:to>
      <xdr:col>3</xdr:col>
      <xdr:colOff>360103</xdr:colOff>
      <xdr:row>54</xdr:row>
      <xdr:rowOff>1143000</xdr:rowOff>
    </xdr:to>
    <xdr:sp macro="" textlink="">
      <xdr:nvSpPr>
        <xdr:cNvPr id="10306" name="Text Box 66">
          <a:hlinkClick xmlns:r="http://schemas.openxmlformats.org/officeDocument/2006/relationships" r:id="rId13"/>
          <a:extLst>
            <a:ext uri="{FF2B5EF4-FFF2-40B4-BE49-F238E27FC236}">
              <a16:creationId xmlns:a16="http://schemas.microsoft.com/office/drawing/2014/main" id="{7512EB12-5886-5A38-1A62-2A559342AF1C}"/>
            </a:ext>
          </a:extLst>
        </xdr:cNvPr>
        <xdr:cNvSpPr txBox="1">
          <a:spLocks noChangeArrowheads="1"/>
        </xdr:cNvSpPr>
      </xdr:nvSpPr>
      <xdr:spPr bwMode="auto">
        <a:xfrm>
          <a:off x="2981325" y="345186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7</xdr:col>
      <xdr:colOff>198120</xdr:colOff>
      <xdr:row>1</xdr:row>
      <xdr:rowOff>333375</xdr:rowOff>
    </xdr:from>
    <xdr:to>
      <xdr:col>9</xdr:col>
      <xdr:colOff>56</xdr:colOff>
      <xdr:row>1</xdr:row>
      <xdr:rowOff>495300</xdr:rowOff>
    </xdr:to>
    <xdr:sp macro="" textlink="">
      <xdr:nvSpPr>
        <xdr:cNvPr id="10310" name="Text Box 70">
          <a:extLst>
            <a:ext uri="{FF2B5EF4-FFF2-40B4-BE49-F238E27FC236}">
              <a16:creationId xmlns:a16="http://schemas.microsoft.com/office/drawing/2014/main" id="{C7AA3728-D61B-36A6-354D-605E1F6ECE16}"/>
            </a:ext>
          </a:extLst>
        </xdr:cNvPr>
        <xdr:cNvSpPr txBox="1">
          <a:spLocks noChangeArrowheads="1"/>
        </xdr:cNvSpPr>
      </xdr:nvSpPr>
      <xdr:spPr bwMode="auto">
        <a:xfrm>
          <a:off x="6238875" y="409575"/>
          <a:ext cx="5905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 </a:t>
          </a:r>
          <a:endParaRPr lang="en-US"/>
        </a:p>
      </xdr:txBody>
    </xdr:sp>
    <xdr:clientData/>
  </xdr:twoCellAnchor>
  <xdr:twoCellAnchor editAs="oneCell">
    <xdr:from>
      <xdr:col>3</xdr:col>
      <xdr:colOff>47625</xdr:colOff>
      <xdr:row>11</xdr:row>
      <xdr:rowOff>504825</xdr:rowOff>
    </xdr:from>
    <xdr:to>
      <xdr:col>3</xdr:col>
      <xdr:colOff>350578</xdr:colOff>
      <xdr:row>11</xdr:row>
      <xdr:rowOff>647700</xdr:rowOff>
    </xdr:to>
    <xdr:sp macro="" textlink="">
      <xdr:nvSpPr>
        <xdr:cNvPr id="10311" name="Text Box 71">
          <a:hlinkClick xmlns:r="http://schemas.openxmlformats.org/officeDocument/2006/relationships" r:id="rId14"/>
          <a:extLst>
            <a:ext uri="{FF2B5EF4-FFF2-40B4-BE49-F238E27FC236}">
              <a16:creationId xmlns:a16="http://schemas.microsoft.com/office/drawing/2014/main" id="{68137F3A-7D88-D790-8A56-2C990C533C22}"/>
            </a:ext>
          </a:extLst>
        </xdr:cNvPr>
        <xdr:cNvSpPr txBox="1">
          <a:spLocks noChangeArrowheads="1"/>
        </xdr:cNvSpPr>
      </xdr:nvSpPr>
      <xdr:spPr bwMode="auto">
        <a:xfrm>
          <a:off x="2971800" y="7210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31</xdr:row>
      <xdr:rowOff>85725</xdr:rowOff>
    </xdr:from>
    <xdr:to>
      <xdr:col>3</xdr:col>
      <xdr:colOff>360103</xdr:colOff>
      <xdr:row>31</xdr:row>
      <xdr:rowOff>228600</xdr:rowOff>
    </xdr:to>
    <xdr:sp macro="" textlink="">
      <xdr:nvSpPr>
        <xdr:cNvPr id="10312" name="Text Box 72">
          <a:hlinkClick xmlns:r="http://schemas.openxmlformats.org/officeDocument/2006/relationships" r:id="rId15"/>
          <a:extLst>
            <a:ext uri="{FF2B5EF4-FFF2-40B4-BE49-F238E27FC236}">
              <a16:creationId xmlns:a16="http://schemas.microsoft.com/office/drawing/2014/main" id="{BF484DC5-210C-8779-37B6-59EFFD1C9A43}"/>
            </a:ext>
          </a:extLst>
        </xdr:cNvPr>
        <xdr:cNvSpPr txBox="1">
          <a:spLocks noChangeArrowheads="1"/>
        </xdr:cNvSpPr>
      </xdr:nvSpPr>
      <xdr:spPr bwMode="auto">
        <a:xfrm>
          <a:off x="2981325" y="19935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41</xdr:row>
      <xdr:rowOff>447675</xdr:rowOff>
    </xdr:from>
    <xdr:to>
      <xdr:col>3</xdr:col>
      <xdr:colOff>360103</xdr:colOff>
      <xdr:row>41</xdr:row>
      <xdr:rowOff>590550</xdr:rowOff>
    </xdr:to>
    <xdr:sp macro="" textlink="">
      <xdr:nvSpPr>
        <xdr:cNvPr id="10314" name="Text Box 74">
          <a:hlinkClick xmlns:r="http://schemas.openxmlformats.org/officeDocument/2006/relationships" r:id="rId16"/>
          <a:extLst>
            <a:ext uri="{FF2B5EF4-FFF2-40B4-BE49-F238E27FC236}">
              <a16:creationId xmlns:a16="http://schemas.microsoft.com/office/drawing/2014/main" id="{08972F35-AB8B-281C-BD4C-2105780D50D3}"/>
            </a:ext>
          </a:extLst>
        </xdr:cNvPr>
        <xdr:cNvSpPr txBox="1">
          <a:spLocks noChangeArrowheads="1"/>
        </xdr:cNvSpPr>
      </xdr:nvSpPr>
      <xdr:spPr bwMode="auto">
        <a:xfrm>
          <a:off x="2981325" y="233934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9</xdr:row>
      <xdr:rowOff>1297305</xdr:rowOff>
    </xdr:from>
    <xdr:to>
      <xdr:col>3</xdr:col>
      <xdr:colOff>350578</xdr:colOff>
      <xdr:row>9</xdr:row>
      <xdr:rowOff>1455219</xdr:rowOff>
    </xdr:to>
    <xdr:sp macro="" textlink="">
      <xdr:nvSpPr>
        <xdr:cNvPr id="10315" name="Text Box 75">
          <a:hlinkClick xmlns:r="http://schemas.openxmlformats.org/officeDocument/2006/relationships" r:id="rId17"/>
          <a:extLst>
            <a:ext uri="{FF2B5EF4-FFF2-40B4-BE49-F238E27FC236}">
              <a16:creationId xmlns:a16="http://schemas.microsoft.com/office/drawing/2014/main" id="{54CB2D05-EC68-2D22-CE3E-4AC7D42C088C}"/>
            </a:ext>
          </a:extLst>
        </xdr:cNvPr>
        <xdr:cNvSpPr txBox="1">
          <a:spLocks noChangeArrowheads="1"/>
        </xdr:cNvSpPr>
      </xdr:nvSpPr>
      <xdr:spPr bwMode="auto">
        <a:xfrm>
          <a:off x="2971800" y="51720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5</xdr:row>
      <xdr:rowOff>476250</xdr:rowOff>
    </xdr:from>
    <xdr:to>
      <xdr:col>3</xdr:col>
      <xdr:colOff>360103</xdr:colOff>
      <xdr:row>5</xdr:row>
      <xdr:rowOff>617637</xdr:rowOff>
    </xdr:to>
    <xdr:sp macro="" textlink="">
      <xdr:nvSpPr>
        <xdr:cNvPr id="10316" name="Text Box 76">
          <a:hlinkClick xmlns:r="http://schemas.openxmlformats.org/officeDocument/2006/relationships" r:id="rId18"/>
          <a:extLst>
            <a:ext uri="{FF2B5EF4-FFF2-40B4-BE49-F238E27FC236}">
              <a16:creationId xmlns:a16="http://schemas.microsoft.com/office/drawing/2014/main" id="{5974E497-7697-6919-B486-7D8959F3C218}"/>
            </a:ext>
          </a:extLst>
        </xdr:cNvPr>
        <xdr:cNvSpPr txBox="1">
          <a:spLocks noChangeArrowheads="1"/>
        </xdr:cNvSpPr>
      </xdr:nvSpPr>
      <xdr:spPr bwMode="auto">
        <a:xfrm>
          <a:off x="2981325" y="14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70</xdr:row>
      <xdr:rowOff>428625</xdr:rowOff>
    </xdr:from>
    <xdr:to>
      <xdr:col>3</xdr:col>
      <xdr:colOff>350578</xdr:colOff>
      <xdr:row>70</xdr:row>
      <xdr:rowOff>571500</xdr:rowOff>
    </xdr:to>
    <xdr:sp macro="" textlink="">
      <xdr:nvSpPr>
        <xdr:cNvPr id="10319" name="Text Box 79">
          <a:hlinkClick xmlns:r="http://schemas.openxmlformats.org/officeDocument/2006/relationships" r:id="rId19"/>
          <a:extLst>
            <a:ext uri="{FF2B5EF4-FFF2-40B4-BE49-F238E27FC236}">
              <a16:creationId xmlns:a16="http://schemas.microsoft.com/office/drawing/2014/main" id="{5786C9BC-4D91-5FD1-CE6A-D3B7DD6903A7}"/>
            </a:ext>
          </a:extLst>
        </xdr:cNvPr>
        <xdr:cNvSpPr txBox="1">
          <a:spLocks noChangeArrowheads="1"/>
        </xdr:cNvSpPr>
      </xdr:nvSpPr>
      <xdr:spPr bwMode="auto">
        <a:xfrm>
          <a:off x="2971800" y="410051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7</xdr:row>
      <xdr:rowOff>723900</xdr:rowOff>
    </xdr:from>
    <xdr:to>
      <xdr:col>3</xdr:col>
      <xdr:colOff>369628</xdr:colOff>
      <xdr:row>7</xdr:row>
      <xdr:rowOff>866775</xdr:rowOff>
    </xdr:to>
    <xdr:sp macro="" textlink="">
      <xdr:nvSpPr>
        <xdr:cNvPr id="10320" name="Text Box 80">
          <a:hlinkClick xmlns:r="http://schemas.openxmlformats.org/officeDocument/2006/relationships" r:id="rId20"/>
          <a:extLst>
            <a:ext uri="{FF2B5EF4-FFF2-40B4-BE49-F238E27FC236}">
              <a16:creationId xmlns:a16="http://schemas.microsoft.com/office/drawing/2014/main" id="{00ACBFDE-DEF7-8006-8B47-DEE4A0C920C2}"/>
            </a:ext>
          </a:extLst>
        </xdr:cNvPr>
        <xdr:cNvSpPr txBox="1">
          <a:spLocks noChangeArrowheads="1"/>
        </xdr:cNvSpPr>
      </xdr:nvSpPr>
      <xdr:spPr bwMode="auto">
        <a:xfrm>
          <a:off x="2990850" y="29337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17</xdr:row>
      <xdr:rowOff>457200</xdr:rowOff>
    </xdr:from>
    <xdr:to>
      <xdr:col>3</xdr:col>
      <xdr:colOff>350578</xdr:colOff>
      <xdr:row>17</xdr:row>
      <xdr:rowOff>600075</xdr:rowOff>
    </xdr:to>
    <xdr:sp macro="" textlink="">
      <xdr:nvSpPr>
        <xdr:cNvPr id="10321" name="Text Box 81">
          <a:hlinkClick xmlns:r="http://schemas.openxmlformats.org/officeDocument/2006/relationships" r:id="rId21"/>
          <a:extLst>
            <a:ext uri="{FF2B5EF4-FFF2-40B4-BE49-F238E27FC236}">
              <a16:creationId xmlns:a16="http://schemas.microsoft.com/office/drawing/2014/main" id="{20F787D7-CC62-ED15-1337-DC80545A7707}"/>
            </a:ext>
          </a:extLst>
        </xdr:cNvPr>
        <xdr:cNvSpPr txBox="1">
          <a:spLocks noChangeArrowheads="1"/>
        </xdr:cNvSpPr>
      </xdr:nvSpPr>
      <xdr:spPr bwMode="auto">
        <a:xfrm>
          <a:off x="2971800" y="102108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21</xdr:row>
      <xdr:rowOff>981075</xdr:rowOff>
    </xdr:from>
    <xdr:to>
      <xdr:col>3</xdr:col>
      <xdr:colOff>360103</xdr:colOff>
      <xdr:row>21</xdr:row>
      <xdr:rowOff>1123950</xdr:rowOff>
    </xdr:to>
    <xdr:sp macro="" textlink="">
      <xdr:nvSpPr>
        <xdr:cNvPr id="10322" name="Text Box 82">
          <a:hlinkClick xmlns:r="http://schemas.openxmlformats.org/officeDocument/2006/relationships" r:id="rId22"/>
          <a:extLst>
            <a:ext uri="{FF2B5EF4-FFF2-40B4-BE49-F238E27FC236}">
              <a16:creationId xmlns:a16="http://schemas.microsoft.com/office/drawing/2014/main" id="{827ECD11-FE79-6823-36BC-0D7C47574C1A}"/>
            </a:ext>
          </a:extLst>
        </xdr:cNvPr>
        <xdr:cNvSpPr txBox="1">
          <a:spLocks noChangeArrowheads="1"/>
        </xdr:cNvSpPr>
      </xdr:nvSpPr>
      <xdr:spPr bwMode="auto">
        <a:xfrm>
          <a:off x="2981325" y="1212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23</xdr:row>
      <xdr:rowOff>1009650</xdr:rowOff>
    </xdr:from>
    <xdr:to>
      <xdr:col>3</xdr:col>
      <xdr:colOff>360103</xdr:colOff>
      <xdr:row>23</xdr:row>
      <xdr:rowOff>1141431</xdr:rowOff>
    </xdr:to>
    <xdr:sp macro="" textlink="">
      <xdr:nvSpPr>
        <xdr:cNvPr id="10323" name="Text Box 83">
          <a:hlinkClick xmlns:r="http://schemas.openxmlformats.org/officeDocument/2006/relationships" r:id="rId23"/>
          <a:extLst>
            <a:ext uri="{FF2B5EF4-FFF2-40B4-BE49-F238E27FC236}">
              <a16:creationId xmlns:a16="http://schemas.microsoft.com/office/drawing/2014/main" id="{3FE1872D-EB12-1013-0146-7AD1061DB546}"/>
            </a:ext>
          </a:extLst>
        </xdr:cNvPr>
        <xdr:cNvSpPr txBox="1">
          <a:spLocks noChangeArrowheads="1"/>
        </xdr:cNvSpPr>
      </xdr:nvSpPr>
      <xdr:spPr bwMode="auto">
        <a:xfrm>
          <a:off x="2981325" y="14249400"/>
          <a:ext cx="304800"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25</xdr:row>
      <xdr:rowOff>171450</xdr:rowOff>
    </xdr:from>
    <xdr:to>
      <xdr:col>3</xdr:col>
      <xdr:colOff>360103</xdr:colOff>
      <xdr:row>25</xdr:row>
      <xdr:rowOff>312837</xdr:rowOff>
    </xdr:to>
    <xdr:sp macro="" textlink="">
      <xdr:nvSpPr>
        <xdr:cNvPr id="10324" name="Text Box 84">
          <a:hlinkClick xmlns:r="http://schemas.openxmlformats.org/officeDocument/2006/relationships" r:id="rId24"/>
          <a:extLst>
            <a:ext uri="{FF2B5EF4-FFF2-40B4-BE49-F238E27FC236}">
              <a16:creationId xmlns:a16="http://schemas.microsoft.com/office/drawing/2014/main" id="{AD7F4AD7-7AF6-A0A6-FC79-0E69E0DB23F8}"/>
            </a:ext>
          </a:extLst>
        </xdr:cNvPr>
        <xdr:cNvSpPr txBox="1">
          <a:spLocks noChangeArrowheads="1"/>
        </xdr:cNvSpPr>
      </xdr:nvSpPr>
      <xdr:spPr bwMode="auto">
        <a:xfrm>
          <a:off x="2981325" y="1593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27</xdr:row>
      <xdr:rowOff>1200150</xdr:rowOff>
    </xdr:from>
    <xdr:to>
      <xdr:col>3</xdr:col>
      <xdr:colOff>350578</xdr:colOff>
      <xdr:row>27</xdr:row>
      <xdr:rowOff>1341537</xdr:rowOff>
    </xdr:to>
    <xdr:sp macro="" textlink="">
      <xdr:nvSpPr>
        <xdr:cNvPr id="10325" name="Text Box 85">
          <a:hlinkClick xmlns:r="http://schemas.openxmlformats.org/officeDocument/2006/relationships" r:id="rId25"/>
          <a:extLst>
            <a:ext uri="{FF2B5EF4-FFF2-40B4-BE49-F238E27FC236}">
              <a16:creationId xmlns:a16="http://schemas.microsoft.com/office/drawing/2014/main" id="{88F2FED7-52A6-9691-C8D6-A76CD903E5E1}"/>
            </a:ext>
          </a:extLst>
        </xdr:cNvPr>
        <xdr:cNvSpPr txBox="1">
          <a:spLocks noChangeArrowheads="1"/>
        </xdr:cNvSpPr>
      </xdr:nvSpPr>
      <xdr:spPr bwMode="auto">
        <a:xfrm>
          <a:off x="2971800" y="175545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29</xdr:row>
      <xdr:rowOff>240030</xdr:rowOff>
    </xdr:from>
    <xdr:to>
      <xdr:col>3</xdr:col>
      <xdr:colOff>360103</xdr:colOff>
      <xdr:row>29</xdr:row>
      <xdr:rowOff>390843</xdr:rowOff>
    </xdr:to>
    <xdr:sp macro="" textlink="">
      <xdr:nvSpPr>
        <xdr:cNvPr id="10326" name="Text Box 86">
          <a:hlinkClick xmlns:r="http://schemas.openxmlformats.org/officeDocument/2006/relationships" r:id="rId26"/>
          <a:extLst>
            <a:ext uri="{FF2B5EF4-FFF2-40B4-BE49-F238E27FC236}">
              <a16:creationId xmlns:a16="http://schemas.microsoft.com/office/drawing/2014/main" id="{6C296415-390E-0267-94FD-05DBDEA60AC0}"/>
            </a:ext>
          </a:extLst>
        </xdr:cNvPr>
        <xdr:cNvSpPr txBox="1">
          <a:spLocks noChangeArrowheads="1"/>
        </xdr:cNvSpPr>
      </xdr:nvSpPr>
      <xdr:spPr bwMode="auto">
        <a:xfrm>
          <a:off x="2981325" y="191928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35</xdr:row>
      <xdr:rowOff>466725</xdr:rowOff>
    </xdr:from>
    <xdr:to>
      <xdr:col>3</xdr:col>
      <xdr:colOff>360103</xdr:colOff>
      <xdr:row>35</xdr:row>
      <xdr:rowOff>609600</xdr:rowOff>
    </xdr:to>
    <xdr:sp macro="" textlink="">
      <xdr:nvSpPr>
        <xdr:cNvPr id="10327" name="Text Box 87">
          <a:hlinkClick xmlns:r="http://schemas.openxmlformats.org/officeDocument/2006/relationships" r:id="rId27"/>
          <a:extLst>
            <a:ext uri="{FF2B5EF4-FFF2-40B4-BE49-F238E27FC236}">
              <a16:creationId xmlns:a16="http://schemas.microsoft.com/office/drawing/2014/main" id="{38D06F77-0EDC-19B2-F086-2436A9EB9F52}"/>
            </a:ext>
          </a:extLst>
        </xdr:cNvPr>
        <xdr:cNvSpPr txBox="1">
          <a:spLocks noChangeArrowheads="1"/>
        </xdr:cNvSpPr>
      </xdr:nvSpPr>
      <xdr:spPr bwMode="auto">
        <a:xfrm>
          <a:off x="2981325" y="21507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43</xdr:row>
      <xdr:rowOff>723900</xdr:rowOff>
    </xdr:from>
    <xdr:to>
      <xdr:col>3</xdr:col>
      <xdr:colOff>350578</xdr:colOff>
      <xdr:row>43</xdr:row>
      <xdr:rowOff>859255</xdr:rowOff>
    </xdr:to>
    <xdr:sp macro="" textlink="">
      <xdr:nvSpPr>
        <xdr:cNvPr id="10328" name="Text Box 88">
          <a:hlinkClick xmlns:r="http://schemas.openxmlformats.org/officeDocument/2006/relationships" r:id="rId28"/>
          <a:extLst>
            <a:ext uri="{FF2B5EF4-FFF2-40B4-BE49-F238E27FC236}">
              <a16:creationId xmlns:a16="http://schemas.microsoft.com/office/drawing/2014/main" id="{8E9F81CC-E9FC-D154-E8BD-8363513759EF}"/>
            </a:ext>
          </a:extLst>
        </xdr:cNvPr>
        <xdr:cNvSpPr txBox="1">
          <a:spLocks noChangeArrowheads="1"/>
        </xdr:cNvSpPr>
      </xdr:nvSpPr>
      <xdr:spPr bwMode="auto">
        <a:xfrm>
          <a:off x="2971800" y="24736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52</xdr:row>
      <xdr:rowOff>1095375</xdr:rowOff>
    </xdr:from>
    <xdr:to>
      <xdr:col>3</xdr:col>
      <xdr:colOff>369628</xdr:colOff>
      <xdr:row>52</xdr:row>
      <xdr:rowOff>1238250</xdr:rowOff>
    </xdr:to>
    <xdr:sp macro="" textlink="">
      <xdr:nvSpPr>
        <xdr:cNvPr id="10329" name="Text Box 89">
          <a:hlinkClick xmlns:r="http://schemas.openxmlformats.org/officeDocument/2006/relationships" r:id="rId29"/>
          <a:extLst>
            <a:ext uri="{FF2B5EF4-FFF2-40B4-BE49-F238E27FC236}">
              <a16:creationId xmlns:a16="http://schemas.microsoft.com/office/drawing/2014/main" id="{058A6EEE-7652-ED73-9119-33EF6BA6CF57}"/>
            </a:ext>
          </a:extLst>
        </xdr:cNvPr>
        <xdr:cNvSpPr txBox="1">
          <a:spLocks noChangeArrowheads="1"/>
        </xdr:cNvSpPr>
      </xdr:nvSpPr>
      <xdr:spPr bwMode="auto">
        <a:xfrm>
          <a:off x="2990850" y="322135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9</xdr:col>
      <xdr:colOff>150495</xdr:colOff>
      <xdr:row>45</xdr:row>
      <xdr:rowOff>1466850</xdr:rowOff>
    </xdr:from>
    <xdr:to>
      <xdr:col>11</xdr:col>
      <xdr:colOff>28591</xdr:colOff>
      <xdr:row>45</xdr:row>
      <xdr:rowOff>1611630</xdr:rowOff>
    </xdr:to>
    <xdr:sp macro="" textlink="">
      <xdr:nvSpPr>
        <xdr:cNvPr id="10330" name="Text Box 90">
          <a:hlinkClick xmlns:r="http://schemas.openxmlformats.org/officeDocument/2006/relationships" r:id="rId30"/>
          <a:extLst>
            <a:ext uri="{FF2B5EF4-FFF2-40B4-BE49-F238E27FC236}">
              <a16:creationId xmlns:a16="http://schemas.microsoft.com/office/drawing/2014/main" id="{1798B550-094C-DA6C-DAE8-5E74011F2BF6}"/>
            </a:ext>
          </a:extLst>
        </xdr:cNvPr>
        <xdr:cNvSpPr txBox="1">
          <a:spLocks noChangeArrowheads="1"/>
        </xdr:cNvSpPr>
      </xdr:nvSpPr>
      <xdr:spPr bwMode="auto">
        <a:xfrm>
          <a:off x="6981825" y="27127200"/>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9</xdr:col>
      <xdr:colOff>234315</xdr:colOff>
      <xdr:row>9</xdr:row>
      <xdr:rowOff>3497580</xdr:rowOff>
    </xdr:from>
    <xdr:to>
      <xdr:col>11</xdr:col>
      <xdr:colOff>110490</xdr:colOff>
      <xdr:row>9</xdr:row>
      <xdr:rowOff>3657600</xdr:rowOff>
    </xdr:to>
    <xdr:sp macro="" textlink="">
      <xdr:nvSpPr>
        <xdr:cNvPr id="10332" name="Text Box 92">
          <a:hlinkClick xmlns:r="http://schemas.openxmlformats.org/officeDocument/2006/relationships" r:id="rId30"/>
          <a:extLst>
            <a:ext uri="{FF2B5EF4-FFF2-40B4-BE49-F238E27FC236}">
              <a16:creationId xmlns:a16="http://schemas.microsoft.com/office/drawing/2014/main" id="{944DC363-C131-43F2-E593-557E6E4BAAAB}"/>
            </a:ext>
          </a:extLst>
        </xdr:cNvPr>
        <xdr:cNvSpPr txBox="1">
          <a:spLocks noChangeArrowheads="1"/>
        </xdr:cNvSpPr>
      </xdr:nvSpPr>
      <xdr:spPr bwMode="auto">
        <a:xfrm>
          <a:off x="7058025" y="7267575"/>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4</xdr:col>
      <xdr:colOff>38100</xdr:colOff>
      <xdr:row>9</xdr:row>
      <xdr:rowOff>60960</xdr:rowOff>
    </xdr:from>
    <xdr:to>
      <xdr:col>11</xdr:col>
      <xdr:colOff>120021</xdr:colOff>
      <xdr:row>9</xdr:row>
      <xdr:rowOff>3482340</xdr:rowOff>
    </xdr:to>
    <xdr:sp macro="" textlink="">
      <xdr:nvSpPr>
        <xdr:cNvPr id="10374" name="Text Box 134">
          <a:extLst>
            <a:ext uri="{FF2B5EF4-FFF2-40B4-BE49-F238E27FC236}">
              <a16:creationId xmlns:a16="http://schemas.microsoft.com/office/drawing/2014/main" id="{8D6FE7C8-EACF-3750-121A-1CB48D9A2E95}"/>
            </a:ext>
          </a:extLst>
        </xdr:cNvPr>
        <xdr:cNvSpPr txBox="1">
          <a:spLocks noChangeArrowheads="1"/>
        </xdr:cNvSpPr>
      </xdr:nvSpPr>
      <xdr:spPr bwMode="auto">
        <a:xfrm>
          <a:off x="3497580" y="3916680"/>
          <a:ext cx="5890260" cy="3421380"/>
        </a:xfrm>
        <a:prstGeom prst="rect">
          <a:avLst/>
        </a:prstGeom>
        <a:noFill/>
        <a:ln>
          <a:noFill/>
        </a:ln>
        <a:effectLst/>
        <a:extLst>
          <a:ext uri="{909E8E84-426E-40DD-AFC4-6F175D3DCCD1}">
            <a14:hiddenFill xmlns:a14="http://schemas.microsoft.com/office/drawing/2010/main">
              <a:solidFill>
                <a:srgbClr xmlns:mc="http://schemas.openxmlformats.org/markup-compatibility/2006" val="3366FF" mc:Ignorable="a14" a14:legacySpreadsheetColorIndex="48"/>
              </a:solidFill>
            </a14:hiddenFill>
          </a:ext>
          <a:ext uri="{91240B29-F687-4F45-9708-019B960494DF}">
            <a14:hiddenLine xmlns:a14="http://schemas.microsoft.com/office/drawing/2010/main" w="12700"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US" sz="900" b="0" i="0" u="none" strike="noStrike" baseline="0">
              <a:solidFill>
                <a:srgbClr val="000000"/>
              </a:solidFill>
              <a:latin typeface="Courier New"/>
              <a:cs typeface="Courier New"/>
            </a:rPr>
            <a:t>This is entered for unmetered services and in cold or other areas where meters are installed inside homes and buildings.  It is the length of customer service line either between the utility's service connection (often at the curbstop) and the meter, or to the building line (first point of customer consumption) if customers are unmetered.  Note that the length of service connection between the main and customer service line is owned by the utility and its length and potential leakage is accounted for in the UARL formula by the number of service connections.   </a:t>
          </a:r>
        </a:p>
        <a:p>
          <a:pPr algn="l" rtl="0">
            <a:defRPr sz="1000"/>
          </a:pPr>
          <a:endParaRPr lang="en-US" sz="900" b="0" i="0" u="none" strike="noStrike" baseline="0">
            <a:solidFill>
              <a:srgbClr val="000000"/>
            </a:solidFill>
            <a:latin typeface="Courier New"/>
            <a:cs typeface="Courier New"/>
          </a:endParaRPr>
        </a:p>
        <a:p>
          <a:pPr algn="l" rtl="0">
            <a:defRPr sz="1000"/>
          </a:pPr>
          <a:r>
            <a:rPr lang="en-US" sz="900" b="1" i="0" u="none" strike="noStrike" baseline="0">
              <a:solidFill>
                <a:srgbClr val="000000"/>
              </a:solidFill>
              <a:latin typeface="Courier New"/>
              <a:cs typeface="Courier New"/>
            </a:rPr>
            <a:t>What role does the "Average Length of Customer Service Line" parameter serve in the Water Audit?</a:t>
          </a:r>
          <a:endParaRPr lang="en-US" sz="900" b="0" i="0" u="none" strike="noStrike" baseline="0">
            <a:solidFill>
              <a:srgbClr val="000000"/>
            </a:solidFill>
            <a:latin typeface="Courier New"/>
            <a:cs typeface="Courier New"/>
          </a:endParaRPr>
        </a:p>
        <a:p>
          <a:pPr algn="l" rtl="0">
            <a:defRPr sz="1000"/>
          </a:pPr>
          <a:r>
            <a:rPr lang="en-US" sz="900" b="0" i="0" u="none" strike="noStrike" baseline="0">
              <a:solidFill>
                <a:srgbClr val="000000"/>
              </a:solidFill>
              <a:latin typeface="Courier New"/>
              <a:cs typeface="Courier New"/>
            </a:rPr>
            <a:t>In many water distribution systems the water utility has maintenance responsibility for a portion of the customer service piping from its connection point at the water main to the curbstop valve located midway to the customer building.  The customer is responsible to maintain the customer service piping from the curbstop to the building premises.  When leaks arise on customer service piping, water utilities respond faster to repair leaks than customers when the leak is on piping under their responsibility. Leak durations are longer on the customer-maintained piping than the utility-maintained piping. The total length of pipe maintained by customers is one of the components of the Unavoidable Annual Real Loss (UARL) equation and is determined by multiplying the average length of customer maintained pipe, Lp by the number of customer service connections.  Therefore this parameter is important to the calculation of the UARL and the Infrastructure leakage Index (ILI).</a:t>
          </a:r>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19460" name="AutoShape 4">
          <a:hlinkClick xmlns:r="http://schemas.openxmlformats.org/officeDocument/2006/relationships" r:id="rId1"/>
          <a:extLst>
            <a:ext uri="{FF2B5EF4-FFF2-40B4-BE49-F238E27FC236}">
              <a16:creationId xmlns:a16="http://schemas.microsoft.com/office/drawing/2014/main" id="{9EEB6D1B-994C-0352-DCC3-64AF4FEB08AA}"/>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19469" name="Text Box 5">
          <a:extLst>
            <a:ext uri="{FF2B5EF4-FFF2-40B4-BE49-F238E27FC236}">
              <a16:creationId xmlns:a16="http://schemas.microsoft.com/office/drawing/2014/main" id="{4D922AC5-A053-96C6-30CE-ED5FFB9EAE78}"/>
            </a:ext>
          </a:extLst>
        </xdr:cNvPr>
        <xdr:cNvSpPr txBox="1">
          <a:spLocks noChangeArrowheads="1"/>
        </xdr:cNvSpPr>
      </xdr:nvSpPr>
      <xdr:spPr bwMode="auto">
        <a:xfrm>
          <a:off x="2209800" y="388620"/>
          <a:ext cx="38023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19463" name="Text Box 7">
          <a:extLst>
            <a:ext uri="{FF2B5EF4-FFF2-40B4-BE49-F238E27FC236}">
              <a16:creationId xmlns:a16="http://schemas.microsoft.com/office/drawing/2014/main" id="{1D886601-F7D2-0A3C-F8D6-1BEC6B75650D}"/>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2769" name="Text Box 1">
          <a:hlinkClick xmlns:r="http://schemas.openxmlformats.org/officeDocument/2006/relationships" r:id="rId1"/>
          <a:extLst>
            <a:ext uri="{FF2B5EF4-FFF2-40B4-BE49-F238E27FC236}">
              <a16:creationId xmlns:a16="http://schemas.microsoft.com/office/drawing/2014/main" id="{9F626E35-0987-704E-49E3-B3B2076AE452}"/>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2770" name="Text Box 2">
          <a:hlinkClick xmlns:r="http://schemas.openxmlformats.org/officeDocument/2006/relationships" r:id="rId2"/>
          <a:extLst>
            <a:ext uri="{FF2B5EF4-FFF2-40B4-BE49-F238E27FC236}">
              <a16:creationId xmlns:a16="http://schemas.microsoft.com/office/drawing/2014/main" id="{D9432923-52DD-B2DD-C38E-7970911B57B8}"/>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2771" name="Text Box 3">
          <a:hlinkClick xmlns:r="http://schemas.openxmlformats.org/officeDocument/2006/relationships" r:id="rId3"/>
          <a:extLst>
            <a:ext uri="{FF2B5EF4-FFF2-40B4-BE49-F238E27FC236}">
              <a16:creationId xmlns:a16="http://schemas.microsoft.com/office/drawing/2014/main" id="{A66453F5-1771-1478-70DF-9DA416C6F815}"/>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2772" name="Text Box 4">
          <a:hlinkClick xmlns:r="http://schemas.openxmlformats.org/officeDocument/2006/relationships" r:id="rId4"/>
          <a:extLst>
            <a:ext uri="{FF2B5EF4-FFF2-40B4-BE49-F238E27FC236}">
              <a16:creationId xmlns:a16="http://schemas.microsoft.com/office/drawing/2014/main" id="{EB4600D7-F762-8E15-40A7-D4A715E942FA}"/>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2773" name="Text Box 5">
          <a:hlinkClick xmlns:r="http://schemas.openxmlformats.org/officeDocument/2006/relationships" r:id="rId5"/>
          <a:extLst>
            <a:ext uri="{FF2B5EF4-FFF2-40B4-BE49-F238E27FC236}">
              <a16:creationId xmlns:a16="http://schemas.microsoft.com/office/drawing/2014/main" id="{98C6C084-EBE5-C581-1F29-3602E4805805}"/>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2774" name="Text Box 6">
          <a:extLst>
            <a:ext uri="{FF2B5EF4-FFF2-40B4-BE49-F238E27FC236}">
              <a16:creationId xmlns:a16="http://schemas.microsoft.com/office/drawing/2014/main" id="{BD990224-CBCE-B299-54BA-665FD7A7DF07}"/>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2775" name="Text Box 7">
          <a:extLst>
            <a:ext uri="{FF2B5EF4-FFF2-40B4-BE49-F238E27FC236}">
              <a16:creationId xmlns:a16="http://schemas.microsoft.com/office/drawing/2014/main" id="{6A6DB3A5-5B79-E32D-786C-EAAED917214C}"/>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2776" name="Text Box 8">
          <a:hlinkClick xmlns:r="http://schemas.openxmlformats.org/officeDocument/2006/relationships" r:id="rId6"/>
          <a:extLst>
            <a:ext uri="{FF2B5EF4-FFF2-40B4-BE49-F238E27FC236}">
              <a16:creationId xmlns:a16="http://schemas.microsoft.com/office/drawing/2014/main" id="{F0CCDEF5-BB42-9C8C-A4FC-A951D01F1FF6}"/>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2777" name="Text Box 9">
          <a:hlinkClick xmlns:r="http://schemas.openxmlformats.org/officeDocument/2006/relationships" r:id="rId7"/>
          <a:extLst>
            <a:ext uri="{FF2B5EF4-FFF2-40B4-BE49-F238E27FC236}">
              <a16:creationId xmlns:a16="http://schemas.microsoft.com/office/drawing/2014/main" id="{8DBDDD93-B23E-DCC0-FB11-F354D4CDB87D}"/>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2778" name="Text Box 10">
          <a:hlinkClick xmlns:r="http://schemas.openxmlformats.org/officeDocument/2006/relationships" r:id="rId8"/>
          <a:extLst>
            <a:ext uri="{FF2B5EF4-FFF2-40B4-BE49-F238E27FC236}">
              <a16:creationId xmlns:a16="http://schemas.microsoft.com/office/drawing/2014/main" id="{265ECB50-F2F0-EB1E-82BB-E787DB87CB48}"/>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2779" name="Text Box 11">
          <a:hlinkClick xmlns:r="http://schemas.openxmlformats.org/officeDocument/2006/relationships" r:id="rId9"/>
          <a:extLst>
            <a:ext uri="{FF2B5EF4-FFF2-40B4-BE49-F238E27FC236}">
              <a16:creationId xmlns:a16="http://schemas.microsoft.com/office/drawing/2014/main" id="{5EAD32EE-3A5F-DEC2-6FC6-6308C8FBD92E}"/>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2780" name="Text Box 12">
          <a:hlinkClick xmlns:r="http://schemas.openxmlformats.org/officeDocument/2006/relationships" r:id="rId10"/>
          <a:extLst>
            <a:ext uri="{FF2B5EF4-FFF2-40B4-BE49-F238E27FC236}">
              <a16:creationId xmlns:a16="http://schemas.microsoft.com/office/drawing/2014/main" id="{E083CB9B-F572-7F35-30A3-00A2033BE751}"/>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2781" name="Text Box 13">
          <a:hlinkClick xmlns:r="http://schemas.openxmlformats.org/officeDocument/2006/relationships" r:id="rId11"/>
          <a:extLst>
            <a:ext uri="{FF2B5EF4-FFF2-40B4-BE49-F238E27FC236}">
              <a16:creationId xmlns:a16="http://schemas.microsoft.com/office/drawing/2014/main" id="{A17212ED-2109-FD45-ACC3-114D58A6F83A}"/>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2782" name="AutoShape 14">
          <a:hlinkClick xmlns:r="http://schemas.openxmlformats.org/officeDocument/2006/relationships" r:id="rId12"/>
          <a:extLst>
            <a:ext uri="{FF2B5EF4-FFF2-40B4-BE49-F238E27FC236}">
              <a16:creationId xmlns:a16="http://schemas.microsoft.com/office/drawing/2014/main" id="{1B42C8A7-A2F7-7636-0A14-DE281424DF0C}"/>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2783" name="Text Box 15">
          <a:extLst>
            <a:ext uri="{FF2B5EF4-FFF2-40B4-BE49-F238E27FC236}">
              <a16:creationId xmlns:a16="http://schemas.microsoft.com/office/drawing/2014/main" id="{F5ACE56A-0A58-FF09-EE2D-D817399D1C34}"/>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2784" name="Text Box 16">
          <a:hlinkClick xmlns:r="http://schemas.openxmlformats.org/officeDocument/2006/relationships" r:id="rId13"/>
          <a:extLst>
            <a:ext uri="{FF2B5EF4-FFF2-40B4-BE49-F238E27FC236}">
              <a16:creationId xmlns:a16="http://schemas.microsoft.com/office/drawing/2014/main" id="{471EDBED-E41C-BB2B-F5BF-06FA9EB3C091}"/>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2785" name="Text Box 17">
          <a:hlinkClick xmlns:r="http://schemas.openxmlformats.org/officeDocument/2006/relationships" r:id="rId14"/>
          <a:extLst>
            <a:ext uri="{FF2B5EF4-FFF2-40B4-BE49-F238E27FC236}">
              <a16:creationId xmlns:a16="http://schemas.microsoft.com/office/drawing/2014/main" id="{70CFBF00-A6E9-54FC-0837-594A5D14F54C}"/>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2786" name="Text Box 18">
          <a:hlinkClick xmlns:r="http://schemas.openxmlformats.org/officeDocument/2006/relationships" r:id="rId15"/>
          <a:extLst>
            <a:ext uri="{FF2B5EF4-FFF2-40B4-BE49-F238E27FC236}">
              <a16:creationId xmlns:a16="http://schemas.microsoft.com/office/drawing/2014/main" id="{0D1715A6-DDAC-16FB-DA48-61C11558D1D2}"/>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2787" name="Text Box 19">
          <a:hlinkClick xmlns:r="http://schemas.openxmlformats.org/officeDocument/2006/relationships" r:id="rId16"/>
          <a:extLst>
            <a:ext uri="{FF2B5EF4-FFF2-40B4-BE49-F238E27FC236}">
              <a16:creationId xmlns:a16="http://schemas.microsoft.com/office/drawing/2014/main" id="{04A1896C-8FAA-1990-E622-18778FBB8878}"/>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2788" name="Text Box 20">
          <a:hlinkClick xmlns:r="http://schemas.openxmlformats.org/officeDocument/2006/relationships" r:id="rId17"/>
          <a:extLst>
            <a:ext uri="{FF2B5EF4-FFF2-40B4-BE49-F238E27FC236}">
              <a16:creationId xmlns:a16="http://schemas.microsoft.com/office/drawing/2014/main" id="{760C8C3E-825D-6576-6B85-EA5C1F25C07A}"/>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2789" name="Text Box 21">
          <a:hlinkClick xmlns:r="http://schemas.openxmlformats.org/officeDocument/2006/relationships" r:id="rId18"/>
          <a:extLst>
            <a:ext uri="{FF2B5EF4-FFF2-40B4-BE49-F238E27FC236}">
              <a16:creationId xmlns:a16="http://schemas.microsoft.com/office/drawing/2014/main" id="{2A6E3CCD-6E53-C4C9-DF50-A027A0537E49}"/>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2790" name="Text Box 22">
          <a:hlinkClick xmlns:r="http://schemas.openxmlformats.org/officeDocument/2006/relationships" r:id="rId19"/>
          <a:extLst>
            <a:ext uri="{FF2B5EF4-FFF2-40B4-BE49-F238E27FC236}">
              <a16:creationId xmlns:a16="http://schemas.microsoft.com/office/drawing/2014/main" id="{472A00D0-5EF8-0E39-B0DB-2532DA56FC06}"/>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2791" name="Text Box 23">
          <a:hlinkClick xmlns:r="http://schemas.openxmlformats.org/officeDocument/2006/relationships" r:id="rId20"/>
          <a:extLst>
            <a:ext uri="{FF2B5EF4-FFF2-40B4-BE49-F238E27FC236}">
              <a16:creationId xmlns:a16="http://schemas.microsoft.com/office/drawing/2014/main" id="{47E36347-800D-8094-1E27-01AA108C5445}"/>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2792" name="Text Box 24">
          <a:hlinkClick xmlns:r="http://schemas.openxmlformats.org/officeDocument/2006/relationships" r:id="rId21"/>
          <a:extLst>
            <a:ext uri="{FF2B5EF4-FFF2-40B4-BE49-F238E27FC236}">
              <a16:creationId xmlns:a16="http://schemas.microsoft.com/office/drawing/2014/main" id="{0AAD39C8-F3F0-B2EE-8E30-23ED8B3A534E}"/>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2793" name="Rectangle 25">
          <a:extLst>
            <a:ext uri="{FF2B5EF4-FFF2-40B4-BE49-F238E27FC236}">
              <a16:creationId xmlns:a16="http://schemas.microsoft.com/office/drawing/2014/main" id="{69101DCF-4B39-833D-7395-A22DA8DFEF4B}"/>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2806" name="Text Box 38">
          <a:extLst>
            <a:ext uri="{FF2B5EF4-FFF2-40B4-BE49-F238E27FC236}">
              <a16:creationId xmlns:a16="http://schemas.microsoft.com/office/drawing/2014/main" id="{09E9C4A3-7C31-0CAE-3F87-470A9025BC46}"/>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33763" name="Line 39">
          <a:extLst>
            <a:ext uri="{FF2B5EF4-FFF2-40B4-BE49-F238E27FC236}">
              <a16:creationId xmlns:a16="http://schemas.microsoft.com/office/drawing/2014/main" id="{5FFDE1D6-0D7C-99F4-993D-AAB37B9F1867}"/>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33764" name="Line 40">
          <a:extLst>
            <a:ext uri="{FF2B5EF4-FFF2-40B4-BE49-F238E27FC236}">
              <a16:creationId xmlns:a16="http://schemas.microsoft.com/office/drawing/2014/main" id="{50C0795C-4C4C-1021-019E-4C9968F8AAFA}"/>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33765" name="Line 41">
          <a:extLst>
            <a:ext uri="{FF2B5EF4-FFF2-40B4-BE49-F238E27FC236}">
              <a16:creationId xmlns:a16="http://schemas.microsoft.com/office/drawing/2014/main" id="{6D064AB7-8179-0B8B-FDE7-106F64A3177B}"/>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33766" name="Line 42">
          <a:extLst>
            <a:ext uri="{FF2B5EF4-FFF2-40B4-BE49-F238E27FC236}">
              <a16:creationId xmlns:a16="http://schemas.microsoft.com/office/drawing/2014/main" id="{51802E22-8213-A816-7E79-4AC1790B0FC9}"/>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2811" name="Text Box 43">
          <a:hlinkClick xmlns:r="http://schemas.openxmlformats.org/officeDocument/2006/relationships" r:id="rId22" tooltip="Defaults"/>
          <a:extLst>
            <a:ext uri="{FF2B5EF4-FFF2-40B4-BE49-F238E27FC236}">
              <a16:creationId xmlns:a16="http://schemas.microsoft.com/office/drawing/2014/main" id="{760490F2-F5C6-B786-8450-20EE680F1390}"/>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2812" name="Text Box 44">
          <a:extLst>
            <a:ext uri="{FF2B5EF4-FFF2-40B4-BE49-F238E27FC236}">
              <a16:creationId xmlns:a16="http://schemas.microsoft.com/office/drawing/2014/main" id="{4DE6FDA3-C0C7-3F40-B1F7-018C123E6161}"/>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2813" name="Text Box 45">
          <a:extLst>
            <a:ext uri="{FF2B5EF4-FFF2-40B4-BE49-F238E27FC236}">
              <a16:creationId xmlns:a16="http://schemas.microsoft.com/office/drawing/2014/main" id="{1B717CE1-8A9D-CEFF-C526-BAFA44431D9C}"/>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33770" name="Rectangle 46">
          <a:extLst>
            <a:ext uri="{FF2B5EF4-FFF2-40B4-BE49-F238E27FC236}">
              <a16:creationId xmlns:a16="http://schemas.microsoft.com/office/drawing/2014/main" id="{FC54603C-2BC3-81CF-A873-F5C5AFB0DF9C}"/>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2815" name="AutoShape 47">
          <a:hlinkClick xmlns:r="http://schemas.openxmlformats.org/officeDocument/2006/relationships" r:id="rId23"/>
          <a:extLst>
            <a:ext uri="{FF2B5EF4-FFF2-40B4-BE49-F238E27FC236}">
              <a16:creationId xmlns:a16="http://schemas.microsoft.com/office/drawing/2014/main" id="{32C20842-B757-AED5-EAD9-23D5583A3BD9}"/>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33772" name="Line 51">
          <a:extLst>
            <a:ext uri="{FF2B5EF4-FFF2-40B4-BE49-F238E27FC236}">
              <a16:creationId xmlns:a16="http://schemas.microsoft.com/office/drawing/2014/main" id="{426EB4E4-C040-A883-746A-243EB6ED0DD8}"/>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33773" name="Line 52">
          <a:extLst>
            <a:ext uri="{FF2B5EF4-FFF2-40B4-BE49-F238E27FC236}">
              <a16:creationId xmlns:a16="http://schemas.microsoft.com/office/drawing/2014/main" id="{35C66B41-120E-7394-07E1-3CD29DA110D1}"/>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2821" name="Text Box 53">
          <a:hlinkClick xmlns:r="http://schemas.openxmlformats.org/officeDocument/2006/relationships" r:id="rId6"/>
          <a:extLst>
            <a:ext uri="{FF2B5EF4-FFF2-40B4-BE49-F238E27FC236}">
              <a16:creationId xmlns:a16="http://schemas.microsoft.com/office/drawing/2014/main" id="{61A78911-CFFF-A4E1-6F68-B6D98C10233B}"/>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297180</xdr:rowOff>
    </xdr:from>
    <xdr:to>
      <xdr:col>6</xdr:col>
      <xdr:colOff>862946</xdr:colOff>
      <xdr:row>2</xdr:row>
      <xdr:rowOff>0</xdr:rowOff>
    </xdr:to>
    <xdr:sp macro="" textlink="">
      <xdr:nvSpPr>
        <xdr:cNvPr id="32885" name="Text Box 54">
          <a:extLst>
            <a:ext uri="{FF2B5EF4-FFF2-40B4-BE49-F238E27FC236}">
              <a16:creationId xmlns:a16="http://schemas.microsoft.com/office/drawing/2014/main" id="{CB2F8A81-CC00-5C8E-8C69-821882D826B3}"/>
            </a:ext>
          </a:extLst>
        </xdr:cNvPr>
        <xdr:cNvSpPr txBox="1">
          <a:spLocks noChangeArrowheads="1"/>
        </xdr:cNvSpPr>
      </xdr:nvSpPr>
      <xdr:spPr bwMode="auto">
        <a:xfrm>
          <a:off x="1813560" y="381000"/>
          <a:ext cx="39471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2823" name="Text Box 55">
          <a:hlinkClick xmlns:r="http://schemas.openxmlformats.org/officeDocument/2006/relationships" r:id="rId24"/>
          <a:extLst>
            <a:ext uri="{FF2B5EF4-FFF2-40B4-BE49-F238E27FC236}">
              <a16:creationId xmlns:a16="http://schemas.microsoft.com/office/drawing/2014/main" id="{632B20E1-D366-4620-01D8-9B8661767AE7}"/>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2824" name="Text Box 56">
          <a:hlinkClick xmlns:r="http://schemas.openxmlformats.org/officeDocument/2006/relationships" r:id="rId25"/>
          <a:extLst>
            <a:ext uri="{FF2B5EF4-FFF2-40B4-BE49-F238E27FC236}">
              <a16:creationId xmlns:a16="http://schemas.microsoft.com/office/drawing/2014/main" id="{9410F493-E2E7-6806-A98F-8193374D73A6}"/>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2825" name="Text Box 57">
          <a:hlinkClick xmlns:r="http://schemas.openxmlformats.org/officeDocument/2006/relationships" r:id="rId26"/>
          <a:extLst>
            <a:ext uri="{FF2B5EF4-FFF2-40B4-BE49-F238E27FC236}">
              <a16:creationId xmlns:a16="http://schemas.microsoft.com/office/drawing/2014/main" id="{F048CD25-F043-3167-4578-050AC19F6741}"/>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2826" name="Text Box 58">
          <a:hlinkClick xmlns:r="http://schemas.openxmlformats.org/officeDocument/2006/relationships" r:id="rId27"/>
          <a:extLst>
            <a:ext uri="{FF2B5EF4-FFF2-40B4-BE49-F238E27FC236}">
              <a16:creationId xmlns:a16="http://schemas.microsoft.com/office/drawing/2014/main" id="{7B1F1810-B1CE-BC6A-9BD1-A5AE57C18B49}"/>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2845" name="Text Box 77">
          <a:extLst>
            <a:ext uri="{FF2B5EF4-FFF2-40B4-BE49-F238E27FC236}">
              <a16:creationId xmlns:a16="http://schemas.microsoft.com/office/drawing/2014/main" id="{BBDB88C7-17F9-0D63-63F1-2F12BBED0047}"/>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33781" name="Group 26">
              <a:extLst>
                <a:ext uri="{FF2B5EF4-FFF2-40B4-BE49-F238E27FC236}">
                  <a16:creationId xmlns:a16="http://schemas.microsoft.com/office/drawing/2014/main" id="{CF33E80F-9CDB-764E-457B-BFD70265DCE5}"/>
                </a:ext>
              </a:extLst>
            </xdr:cNvPr>
            <xdr:cNvGrpSpPr>
              <a:grpSpLocks/>
            </xdr:cNvGrpSpPr>
          </xdr:nvGrpSpPr>
          <xdr:grpSpPr bwMode="auto">
            <a:xfrm>
              <a:off x="7829550" y="5124450"/>
              <a:ext cx="581025" cy="190500"/>
              <a:chOff x="1005" y="345"/>
              <a:chExt cx="64" cy="29"/>
            </a:xfrm>
          </xdr:grpSpPr>
          <xdr:sp macro="" textlink="">
            <xdr:nvSpPr>
              <xdr:cNvPr id="32795" name="Group Box 27" hidden="1">
                <a:extLst>
                  <a:ext uri="{63B3BB69-23CF-44E3-9099-C40C66FF867C}">
                    <a14:compatExt spid="_x0000_s32795"/>
                  </a:ext>
                  <a:ext uri="{FF2B5EF4-FFF2-40B4-BE49-F238E27FC236}">
                    <a16:creationId xmlns:a16="http://schemas.microsoft.com/office/drawing/2014/main" id="{8073F846-B9B3-E8BA-8BEB-3D839F83774B}"/>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796" name="Option Button 28" hidden="1">
                <a:extLst>
                  <a:ext uri="{63B3BB69-23CF-44E3-9099-C40C66FF867C}">
                    <a14:compatExt spid="_x0000_s32796"/>
                  </a:ext>
                  <a:ext uri="{FF2B5EF4-FFF2-40B4-BE49-F238E27FC236}">
                    <a16:creationId xmlns:a16="http://schemas.microsoft.com/office/drawing/2014/main" id="{B157615D-08F4-D3B2-90E0-E921C017C635}"/>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797" name="Option Button 29" hidden="1">
                <a:extLst>
                  <a:ext uri="{63B3BB69-23CF-44E3-9099-C40C66FF867C}">
                    <a14:compatExt spid="_x0000_s32797"/>
                  </a:ext>
                  <a:ext uri="{FF2B5EF4-FFF2-40B4-BE49-F238E27FC236}">
                    <a16:creationId xmlns:a16="http://schemas.microsoft.com/office/drawing/2014/main" id="{6BB3B4B1-CE33-9853-5C26-50CAB0961BA3}"/>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33782" name="Group 30">
              <a:extLst>
                <a:ext uri="{FF2B5EF4-FFF2-40B4-BE49-F238E27FC236}">
                  <a16:creationId xmlns:a16="http://schemas.microsoft.com/office/drawing/2014/main" id="{B55178D6-FC47-8113-B9A3-034A0FC2EFFB}"/>
                </a:ext>
              </a:extLst>
            </xdr:cNvPr>
            <xdr:cNvGrpSpPr>
              <a:grpSpLocks/>
            </xdr:cNvGrpSpPr>
          </xdr:nvGrpSpPr>
          <xdr:grpSpPr bwMode="auto">
            <a:xfrm>
              <a:off x="7829550" y="5562600"/>
              <a:ext cx="581025" cy="190500"/>
              <a:chOff x="762" y="543"/>
              <a:chExt cx="61" cy="29"/>
            </a:xfrm>
          </xdr:grpSpPr>
          <xdr:sp macro="" textlink="">
            <xdr:nvSpPr>
              <xdr:cNvPr id="32799" name="Group Box 31" hidden="1">
                <a:extLst>
                  <a:ext uri="{63B3BB69-23CF-44E3-9099-C40C66FF867C}">
                    <a14:compatExt spid="_x0000_s32799"/>
                  </a:ext>
                  <a:ext uri="{FF2B5EF4-FFF2-40B4-BE49-F238E27FC236}">
                    <a16:creationId xmlns:a16="http://schemas.microsoft.com/office/drawing/2014/main" id="{5D721465-D932-CDCF-0216-29A4D37D541A}"/>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0" name="Option Button 32" hidden="1">
                <a:extLst>
                  <a:ext uri="{63B3BB69-23CF-44E3-9099-C40C66FF867C}">
                    <a14:compatExt spid="_x0000_s32800"/>
                  </a:ext>
                  <a:ext uri="{FF2B5EF4-FFF2-40B4-BE49-F238E27FC236}">
                    <a16:creationId xmlns:a16="http://schemas.microsoft.com/office/drawing/2014/main" id="{A97D474A-51E1-079F-D75E-AE9F8E3E7BD2}"/>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801" name="Option Button 33" hidden="1">
                <a:extLst>
                  <a:ext uri="{63B3BB69-23CF-44E3-9099-C40C66FF867C}">
                    <a14:compatExt spid="_x0000_s32801"/>
                  </a:ext>
                  <a:ext uri="{FF2B5EF4-FFF2-40B4-BE49-F238E27FC236}">
                    <a16:creationId xmlns:a16="http://schemas.microsoft.com/office/drawing/2014/main" id="{DB48CE53-6955-A39E-D897-F2B8C84A6B29}"/>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33783" name="Group 34">
              <a:extLst>
                <a:ext uri="{FF2B5EF4-FFF2-40B4-BE49-F238E27FC236}">
                  <a16:creationId xmlns:a16="http://schemas.microsoft.com/office/drawing/2014/main" id="{51B9B65D-A1C9-8EAC-2E67-C5C4FE8C4454}"/>
                </a:ext>
              </a:extLst>
            </xdr:cNvPr>
            <xdr:cNvGrpSpPr>
              <a:grpSpLocks/>
            </xdr:cNvGrpSpPr>
          </xdr:nvGrpSpPr>
          <xdr:grpSpPr bwMode="auto">
            <a:xfrm>
              <a:off x="7829550" y="3733800"/>
              <a:ext cx="581025" cy="190500"/>
              <a:chOff x="758" y="403"/>
              <a:chExt cx="61" cy="29"/>
            </a:xfrm>
          </xdr:grpSpPr>
          <xdr:sp macro="" textlink="">
            <xdr:nvSpPr>
              <xdr:cNvPr id="32803" name="Group Box 35" hidden="1">
                <a:extLst>
                  <a:ext uri="{63B3BB69-23CF-44E3-9099-C40C66FF867C}">
                    <a14:compatExt spid="_x0000_s32803"/>
                  </a:ext>
                  <a:ext uri="{FF2B5EF4-FFF2-40B4-BE49-F238E27FC236}">
                    <a16:creationId xmlns:a16="http://schemas.microsoft.com/office/drawing/2014/main" id="{740B376F-4E0D-83C6-5AFF-0C7CFE1D87F6}"/>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4" name="Option Button 36" hidden="1">
                <a:extLst>
                  <a:ext uri="{63B3BB69-23CF-44E3-9099-C40C66FF867C}">
                    <a14:compatExt spid="_x0000_s32804"/>
                  </a:ext>
                  <a:ext uri="{FF2B5EF4-FFF2-40B4-BE49-F238E27FC236}">
                    <a16:creationId xmlns:a16="http://schemas.microsoft.com/office/drawing/2014/main" id="{2D402558-E13F-30FB-B48A-3CCB947A94D4}"/>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2805" name="Option Button 37" hidden="1">
                <a:extLst>
                  <a:ext uri="{63B3BB69-23CF-44E3-9099-C40C66FF867C}">
                    <a14:compatExt spid="_x0000_s32805"/>
                  </a:ext>
                  <a:ext uri="{FF2B5EF4-FFF2-40B4-BE49-F238E27FC236}">
                    <a16:creationId xmlns:a16="http://schemas.microsoft.com/office/drawing/2014/main" id="{DA09F807-3FF4-A875-7C4E-3E123AFDC52C}"/>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E5B2B939-7F68-675C-7C87-D59BAB08407A}"/>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7F75379F-75FC-AFEF-5763-6669500D5E6D}"/>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7D845890-E830-A2E7-3E99-876F7F630D55}"/>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5C59A471-6F22-79E3-9E1D-C4795C164348}"/>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F9765983-8534-13EA-EE94-4A4A30065F65}"/>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3798" name="Text Box 6">
          <a:extLst>
            <a:ext uri="{FF2B5EF4-FFF2-40B4-BE49-F238E27FC236}">
              <a16:creationId xmlns:a16="http://schemas.microsoft.com/office/drawing/2014/main" id="{F7C1138E-3FA0-F7A0-4CDB-421BAC989230}"/>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3799" name="Text Box 7">
          <a:extLst>
            <a:ext uri="{FF2B5EF4-FFF2-40B4-BE49-F238E27FC236}">
              <a16:creationId xmlns:a16="http://schemas.microsoft.com/office/drawing/2014/main" id="{C73BCEAC-CD18-E403-344D-6A251F85BAB8}"/>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D8AD7F8A-7A7E-525C-180A-F2CBC9815391}"/>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00A5666F-7554-D1CE-4B15-636E03626FB6}"/>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FADDF5DB-45AE-3B27-44D2-913ECB90B473}"/>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EB84C006-4661-A461-BF72-4B60B5234504}"/>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480425B7-CDE5-1503-8CB3-BEF4AEE4FDA4}"/>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055A37F8-A60C-441D-553C-0E46248AE5FC}"/>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2B8F037E-3C45-AC8A-2EF5-D3A84C42E3D5}"/>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a:extLst>
            <a:ext uri="{FF2B5EF4-FFF2-40B4-BE49-F238E27FC236}">
              <a16:creationId xmlns:a16="http://schemas.microsoft.com/office/drawing/2014/main" id="{01A09028-8081-5A40-A14E-F9CE883513C9}"/>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D956DA75-B2E3-4863-27D4-1EDC4DEE3E7F}"/>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7300C633-291D-3025-64B6-A2E7FEE72603}"/>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803A2ADB-D7C0-1CB0-6130-4D75955E390A}"/>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9613F0F7-281A-6FC4-9D3A-E8DC6FCABAB7}"/>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33F68630-660D-B6B1-92D2-381F657D8E78}"/>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4C21D336-9262-9177-515A-8ED59BB54645}"/>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7121C7DF-F7F1-8B72-7358-D7E83DA85C78}"/>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3E2C3CFD-0D33-C955-44D8-CCD1E0445C2A}"/>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9329B628-9029-9B2A-44E9-2E816836D7D8}"/>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3817" name="Rectangle 25">
          <a:extLst>
            <a:ext uri="{FF2B5EF4-FFF2-40B4-BE49-F238E27FC236}">
              <a16:creationId xmlns:a16="http://schemas.microsoft.com/office/drawing/2014/main" id="{3519396E-EB43-1DE2-1844-0323CBABA869}"/>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3830" name="Text Box 38">
          <a:extLst>
            <a:ext uri="{FF2B5EF4-FFF2-40B4-BE49-F238E27FC236}">
              <a16:creationId xmlns:a16="http://schemas.microsoft.com/office/drawing/2014/main" id="{A2DCA385-918B-318D-D1B9-AE807FE25ACD}"/>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34787" name="Line 39">
          <a:extLst>
            <a:ext uri="{FF2B5EF4-FFF2-40B4-BE49-F238E27FC236}">
              <a16:creationId xmlns:a16="http://schemas.microsoft.com/office/drawing/2014/main" id="{D4400409-A047-D04C-B861-84564DA29136}"/>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34788" name="Line 40">
          <a:extLst>
            <a:ext uri="{FF2B5EF4-FFF2-40B4-BE49-F238E27FC236}">
              <a16:creationId xmlns:a16="http://schemas.microsoft.com/office/drawing/2014/main" id="{544B0334-D894-EEA8-737D-8D0626AE45C7}"/>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34789" name="Line 41">
          <a:extLst>
            <a:ext uri="{FF2B5EF4-FFF2-40B4-BE49-F238E27FC236}">
              <a16:creationId xmlns:a16="http://schemas.microsoft.com/office/drawing/2014/main" id="{B0506B7F-34EA-D1BD-F2C2-3B7ABB5F7D59}"/>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34790" name="Line 42">
          <a:extLst>
            <a:ext uri="{FF2B5EF4-FFF2-40B4-BE49-F238E27FC236}">
              <a16:creationId xmlns:a16="http://schemas.microsoft.com/office/drawing/2014/main" id="{89E47EB2-B226-E6AA-200A-AA8B99E5F821}"/>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0C081DE0-595F-3F9D-55DB-A9FBECD7E21F}"/>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3836" name="Text Box 44">
          <a:extLst>
            <a:ext uri="{FF2B5EF4-FFF2-40B4-BE49-F238E27FC236}">
              <a16:creationId xmlns:a16="http://schemas.microsoft.com/office/drawing/2014/main" id="{14DF782E-6A82-B253-0181-84CD42264974}"/>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3837" name="Text Box 45">
          <a:extLst>
            <a:ext uri="{FF2B5EF4-FFF2-40B4-BE49-F238E27FC236}">
              <a16:creationId xmlns:a16="http://schemas.microsoft.com/office/drawing/2014/main" id="{9370DFE6-6429-63AA-F9D9-48CE8011F1AD}"/>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34794" name="Rectangle 46">
          <a:extLst>
            <a:ext uri="{FF2B5EF4-FFF2-40B4-BE49-F238E27FC236}">
              <a16:creationId xmlns:a16="http://schemas.microsoft.com/office/drawing/2014/main" id="{D6276CDD-4404-F8CC-1272-AE313EEC8471}"/>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EBB87900-4CFF-6DA8-2A09-00B392F86F2F}"/>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34796" name="Line 51">
          <a:extLst>
            <a:ext uri="{FF2B5EF4-FFF2-40B4-BE49-F238E27FC236}">
              <a16:creationId xmlns:a16="http://schemas.microsoft.com/office/drawing/2014/main" id="{4693EE86-152B-D238-4FAD-608A3F0A6ECA}"/>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34797" name="Line 52">
          <a:extLst>
            <a:ext uri="{FF2B5EF4-FFF2-40B4-BE49-F238E27FC236}">
              <a16:creationId xmlns:a16="http://schemas.microsoft.com/office/drawing/2014/main" id="{4DD393D9-C772-67C3-BC28-E45AC9D392CF}"/>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1194B9F2-F8A2-7F20-0511-C7387970350B}"/>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304800</xdr:rowOff>
    </xdr:from>
    <xdr:to>
      <xdr:col>6</xdr:col>
      <xdr:colOff>862946</xdr:colOff>
      <xdr:row>1</xdr:row>
      <xdr:rowOff>464820</xdr:rowOff>
    </xdr:to>
    <xdr:sp macro="" textlink="">
      <xdr:nvSpPr>
        <xdr:cNvPr id="33909" name="Text Box 54">
          <a:extLst>
            <a:ext uri="{FF2B5EF4-FFF2-40B4-BE49-F238E27FC236}">
              <a16:creationId xmlns:a16="http://schemas.microsoft.com/office/drawing/2014/main" id="{C52F65FC-936D-E57B-96F5-14099D0B4A28}"/>
            </a:ext>
          </a:extLst>
        </xdr:cNvPr>
        <xdr:cNvSpPr txBox="1">
          <a:spLocks noChangeArrowheads="1"/>
        </xdr:cNvSpPr>
      </xdr:nvSpPr>
      <xdr:spPr bwMode="auto">
        <a:xfrm>
          <a:off x="1813560" y="388620"/>
          <a:ext cx="39471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C6779997-6325-247F-0C8C-CB3FE2A68E77}"/>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DDC399BC-FD3B-B45A-1847-259723C841AF}"/>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C2EA52A8-FB18-87B7-0A79-C031C16E1517}"/>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830B78FB-5DC1-13D7-D921-42B771F7F9FB}"/>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3869" name="Text Box 77">
          <a:extLst>
            <a:ext uri="{FF2B5EF4-FFF2-40B4-BE49-F238E27FC236}">
              <a16:creationId xmlns:a16="http://schemas.microsoft.com/office/drawing/2014/main" id="{5542B81A-2AC5-6A08-25B5-EBED140D548F}"/>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34805" name="Group 26">
              <a:extLst>
                <a:ext uri="{FF2B5EF4-FFF2-40B4-BE49-F238E27FC236}">
                  <a16:creationId xmlns:a16="http://schemas.microsoft.com/office/drawing/2014/main" id="{79176E5D-89FC-696F-6576-98BDA026C0CF}"/>
                </a:ext>
              </a:extLst>
            </xdr:cNvPr>
            <xdr:cNvGrpSpPr>
              <a:grpSpLocks/>
            </xdr:cNvGrpSpPr>
          </xdr:nvGrpSpPr>
          <xdr:grpSpPr bwMode="auto">
            <a:xfrm>
              <a:off x="7829550" y="5124450"/>
              <a:ext cx="5810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6FE73C30-5C1E-8BB9-2ACD-2E6BB1CBE278}"/>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12AA54E4-588E-26BC-74D3-85E129742D72}"/>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8897D8D9-AF15-01DD-9063-DF719110B4E6}"/>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34806" name="Group 30">
              <a:extLst>
                <a:ext uri="{FF2B5EF4-FFF2-40B4-BE49-F238E27FC236}">
                  <a16:creationId xmlns:a16="http://schemas.microsoft.com/office/drawing/2014/main" id="{CE494554-EB52-4F63-3142-A3A6F385582B}"/>
                </a:ext>
              </a:extLst>
            </xdr:cNvPr>
            <xdr:cNvGrpSpPr>
              <a:grpSpLocks/>
            </xdr:cNvGrpSpPr>
          </xdr:nvGrpSpPr>
          <xdr:grpSpPr bwMode="auto">
            <a:xfrm>
              <a:off x="7829550" y="5562600"/>
              <a:ext cx="5810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AE80D5F4-12BE-9AF5-A8E9-226011DA9F46}"/>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6E56567E-27D6-E9D0-7083-7C275E2FB72A}"/>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B0751B99-47A7-CF08-976C-FD3947ECD789}"/>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34807" name="Group 34">
              <a:extLst>
                <a:ext uri="{FF2B5EF4-FFF2-40B4-BE49-F238E27FC236}">
                  <a16:creationId xmlns:a16="http://schemas.microsoft.com/office/drawing/2014/main" id="{E168B9C8-18A6-2901-9FEA-D53C7CC4672D}"/>
                </a:ext>
              </a:extLst>
            </xdr:cNvPr>
            <xdr:cNvGrpSpPr>
              <a:grpSpLocks/>
            </xdr:cNvGrpSpPr>
          </xdr:nvGrpSpPr>
          <xdr:grpSpPr bwMode="auto">
            <a:xfrm>
              <a:off x="7829550" y="3733800"/>
              <a:ext cx="5810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1D963C01-1320-64C7-34C2-03369426982A}"/>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341BE886-C06A-DF78-F44A-FA796D7D8C61}"/>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37640851-CB21-1445-DCFB-DA34ED4316C1}"/>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29697" name="AutoShape 1">
          <a:hlinkClick xmlns:r="http://schemas.openxmlformats.org/officeDocument/2006/relationships" r:id="rId1"/>
          <a:extLst>
            <a:ext uri="{FF2B5EF4-FFF2-40B4-BE49-F238E27FC236}">
              <a16:creationId xmlns:a16="http://schemas.microsoft.com/office/drawing/2014/main" id="{4DFBED74-F4E2-CE89-2613-F084A0D94B50}"/>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29701" name="Text Box 2">
          <a:extLst>
            <a:ext uri="{FF2B5EF4-FFF2-40B4-BE49-F238E27FC236}">
              <a16:creationId xmlns:a16="http://schemas.microsoft.com/office/drawing/2014/main" id="{68B97E15-BD76-F612-0EE5-483380A4ECBF}"/>
            </a:ext>
          </a:extLst>
        </xdr:cNvPr>
        <xdr:cNvSpPr txBox="1">
          <a:spLocks noChangeArrowheads="1"/>
        </xdr:cNvSpPr>
      </xdr:nvSpPr>
      <xdr:spPr bwMode="auto">
        <a:xfrm>
          <a:off x="2209800" y="388620"/>
          <a:ext cx="38023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29699" name="Text Box 3">
          <a:extLst>
            <a:ext uri="{FF2B5EF4-FFF2-40B4-BE49-F238E27FC236}">
              <a16:creationId xmlns:a16="http://schemas.microsoft.com/office/drawing/2014/main" id="{83C0A5F6-F993-B91E-08BA-BE92DB64AC3A}"/>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13.xml"/><Relationship Id="rId12" Type="http://schemas.openxmlformats.org/officeDocument/2006/relationships/ctrlProp" Target="../ctrlProps/ctrlProp1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10EF6-3755-4F40-878F-115B7DD5CA87}">
  <sheetPr codeName="Sheet1"/>
  <dimension ref="IU65534"/>
  <sheetViews>
    <sheetView topLeftCell="ID65493" workbookViewId="0">
      <selection activeCell="IU65534" sqref="IU65534"/>
    </sheetView>
  </sheetViews>
  <sheetFormatPr defaultRowHeight="12.75" x14ac:dyDescent="0.2"/>
  <cols>
    <col min="255" max="255" width="10.28515625" bestFit="1" customWidth="1"/>
  </cols>
  <sheetData>
    <row r="65534" spans="255:255" x14ac:dyDescent="0.2">
      <c r="IU65534" t="s">
        <v>458</v>
      </c>
    </row>
  </sheetData>
  <sheetProtection password="E218" sheet="1" objects="1" scenarios="1"/>
  <phoneticPr fontId="59"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BD8BF-D1E8-42F7-AC22-D060CD95044E}">
  <sheetPr codeName="Sheet2"/>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9DCB7-2443-40F8-9EDF-A81A5273C4FD}">
  <sheetPr codeName="Sheet3"/>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25D53-F0D4-4328-9DFA-C653906F15E1}">
  <sheetPr codeName="Sheet4">
    <tabColor indexed="48"/>
    <pageSetUpPr fitToPage="1"/>
  </sheetPr>
  <dimension ref="A1:IT52"/>
  <sheetViews>
    <sheetView showRowColHeaders="0" workbookViewId="0">
      <selection activeCell="K20" sqref="K20"/>
    </sheetView>
  </sheetViews>
  <sheetFormatPr defaultColWidth="0" defaultRowHeight="13.5" zeroHeight="1" x14ac:dyDescent="0.25"/>
  <cols>
    <col min="1" max="1" width="1.7109375" style="162" customWidth="1"/>
    <col min="2" max="2" width="0.42578125" style="162" customWidth="1"/>
    <col min="3" max="3" width="28.140625" style="162" customWidth="1"/>
    <col min="4" max="4" width="8.28515625" style="162" customWidth="1"/>
    <col min="5" max="5" width="16.7109375" style="162" customWidth="1"/>
    <col min="6" max="6" width="11.7109375" style="162" customWidth="1"/>
    <col min="7" max="7" width="11.42578125" style="162" customWidth="1"/>
    <col min="8" max="8" width="2.85546875" style="162" customWidth="1"/>
    <col min="9" max="9" width="10.140625" style="162" customWidth="1"/>
    <col min="10" max="10" width="13.28515625" style="162" customWidth="1"/>
    <col min="11" max="11" width="11.42578125" style="162" customWidth="1"/>
    <col min="12" max="12" width="7.140625" style="162" customWidth="1"/>
    <col min="13" max="13" width="7.85546875" style="162" customWidth="1"/>
    <col min="14" max="14" width="12.140625" style="162" customWidth="1"/>
    <col min="15" max="15" width="1.7109375" style="162" customWidth="1"/>
    <col min="16" max="16" width="1.42578125" style="162" customWidth="1"/>
    <col min="17" max="254" width="9.140625" style="162" hidden="1" customWidth="1"/>
    <col min="255" max="16384" width="0" style="162" hidden="1"/>
  </cols>
  <sheetData>
    <row r="1" spans="1:16" s="104" customFormat="1" ht="8.25" customHeight="1" thickBot="1" x14ac:dyDescent="0.3">
      <c r="A1" s="478">
        <v>4.2</v>
      </c>
      <c r="B1" s="133"/>
      <c r="C1" s="133"/>
      <c r="D1" s="133"/>
      <c r="E1" s="133"/>
      <c r="F1" s="133"/>
      <c r="G1" s="133"/>
      <c r="H1" s="133"/>
      <c r="I1" s="133"/>
      <c r="J1" s="133"/>
      <c r="K1" s="133"/>
      <c r="L1" s="133"/>
      <c r="M1" s="133"/>
      <c r="N1" s="133"/>
      <c r="O1" s="133"/>
      <c r="P1" s="133"/>
    </row>
    <row r="2" spans="1:16" s="135" customFormat="1" ht="40.5" customHeight="1" thickTop="1" thickBot="1" x14ac:dyDescent="0.25">
      <c r="A2" s="134"/>
      <c r="B2" s="485" t="s">
        <v>536</v>
      </c>
      <c r="C2" s="486"/>
      <c r="D2" s="486"/>
      <c r="E2" s="486"/>
      <c r="F2" s="486"/>
      <c r="G2" s="486"/>
      <c r="H2" s="486"/>
      <c r="I2" s="486"/>
      <c r="J2" s="486"/>
      <c r="K2" s="486"/>
      <c r="L2" s="486"/>
      <c r="M2" s="486"/>
      <c r="N2" s="486"/>
      <c r="O2" s="487"/>
      <c r="P2" s="134"/>
    </row>
    <row r="3" spans="1:16" s="104" customFormat="1" ht="5.25" customHeight="1" thickTop="1" x14ac:dyDescent="0.25">
      <c r="A3" s="133"/>
      <c r="B3" s="136"/>
      <c r="C3" s="4"/>
      <c r="D3" s="4"/>
      <c r="E3" s="4"/>
      <c r="F3" s="4"/>
      <c r="G3" s="4"/>
      <c r="H3" s="4"/>
      <c r="I3" s="4"/>
      <c r="J3" s="4"/>
      <c r="K3" s="4"/>
      <c r="L3" s="4"/>
      <c r="M3" s="4"/>
      <c r="N3" s="4"/>
      <c r="O3" s="137"/>
      <c r="P3" s="133"/>
    </row>
    <row r="4" spans="1:16" s="104" customFormat="1" x14ac:dyDescent="0.25">
      <c r="A4" s="133"/>
      <c r="B4" s="138"/>
      <c r="C4" s="491" t="s">
        <v>37</v>
      </c>
      <c r="D4" s="492"/>
      <c r="E4" s="492"/>
      <c r="F4" s="492"/>
      <c r="G4" s="492"/>
      <c r="H4" s="492"/>
      <c r="I4" s="492"/>
      <c r="J4" s="492"/>
      <c r="K4" s="492"/>
      <c r="L4" s="492"/>
      <c r="M4" s="492"/>
      <c r="N4" s="490"/>
      <c r="O4" s="139"/>
      <c r="P4" s="133"/>
    </row>
    <row r="5" spans="1:16" s="104" customFormat="1" ht="24.75" customHeight="1" x14ac:dyDescent="0.25">
      <c r="A5" s="133"/>
      <c r="B5" s="140"/>
      <c r="C5" s="492"/>
      <c r="D5" s="492"/>
      <c r="E5" s="492"/>
      <c r="F5" s="492"/>
      <c r="G5" s="492"/>
      <c r="H5" s="492"/>
      <c r="I5" s="492"/>
      <c r="J5" s="492"/>
      <c r="K5" s="492"/>
      <c r="L5" s="492"/>
      <c r="M5" s="492"/>
      <c r="N5" s="490"/>
      <c r="O5" s="139"/>
      <c r="P5" s="133"/>
    </row>
    <row r="6" spans="1:16" s="104" customFormat="1" ht="3" customHeight="1" x14ac:dyDescent="0.25">
      <c r="A6" s="133"/>
      <c r="B6" s="136"/>
      <c r="C6" s="4"/>
      <c r="D6" s="4"/>
      <c r="E6" s="4"/>
      <c r="F6" s="4"/>
      <c r="G6" s="4"/>
      <c r="H6" s="4"/>
      <c r="I6" s="4"/>
      <c r="J6" s="4"/>
      <c r="K6" s="4"/>
      <c r="L6" s="4"/>
      <c r="M6" s="4"/>
      <c r="N6" s="4"/>
      <c r="O6" s="137"/>
      <c r="P6" s="133"/>
    </row>
    <row r="7" spans="1:16" s="104" customFormat="1" ht="7.5" customHeight="1" x14ac:dyDescent="0.25">
      <c r="A7" s="133"/>
      <c r="B7" s="138"/>
      <c r="C7" s="488" t="s">
        <v>201</v>
      </c>
      <c r="D7" s="489"/>
      <c r="E7" s="489"/>
      <c r="F7" s="489"/>
      <c r="G7" s="489"/>
      <c r="H7" s="489"/>
      <c r="I7" s="489"/>
      <c r="J7" s="489"/>
      <c r="K7" s="489"/>
      <c r="L7" s="489"/>
      <c r="M7" s="489"/>
      <c r="N7" s="490"/>
      <c r="O7" s="141"/>
      <c r="P7" s="133"/>
    </row>
    <row r="8" spans="1:16" s="104" customFormat="1" ht="22.5" customHeight="1" x14ac:dyDescent="0.25">
      <c r="A8" s="133"/>
      <c r="B8" s="142"/>
      <c r="C8" s="489"/>
      <c r="D8" s="489"/>
      <c r="E8" s="489"/>
      <c r="F8" s="489"/>
      <c r="G8" s="489"/>
      <c r="H8" s="489"/>
      <c r="I8" s="489"/>
      <c r="J8" s="489"/>
      <c r="K8" s="489"/>
      <c r="L8" s="489"/>
      <c r="M8" s="489"/>
      <c r="N8" s="490"/>
      <c r="O8" s="141"/>
      <c r="P8" s="133"/>
    </row>
    <row r="9" spans="1:16" s="104" customFormat="1" ht="6" customHeight="1" x14ac:dyDescent="0.25">
      <c r="A9" s="133"/>
      <c r="B9" s="136"/>
      <c r="C9" s="4"/>
      <c r="D9" s="4"/>
      <c r="E9" s="4"/>
      <c r="F9" s="4"/>
      <c r="G9" s="4"/>
      <c r="H9" s="4"/>
      <c r="I9" s="4"/>
      <c r="J9" s="4"/>
      <c r="K9" s="4"/>
      <c r="L9" s="4"/>
      <c r="M9" s="4"/>
      <c r="N9" s="4"/>
      <c r="O9" s="137"/>
      <c r="P9" s="133"/>
    </row>
    <row r="10" spans="1:16" s="104" customFormat="1" x14ac:dyDescent="0.25">
      <c r="A10" s="133"/>
      <c r="B10" s="136"/>
      <c r="C10" s="143" t="s">
        <v>185</v>
      </c>
      <c r="D10" s="4"/>
      <c r="E10" s="4"/>
      <c r="F10" s="144"/>
      <c r="G10" s="4" t="s">
        <v>38</v>
      </c>
      <c r="H10" s="4"/>
      <c r="I10" s="4"/>
      <c r="J10" s="4"/>
      <c r="K10" s="4"/>
      <c r="L10" s="4"/>
      <c r="M10" s="4"/>
      <c r="N10" s="4"/>
      <c r="O10" s="137"/>
      <c r="P10" s="133"/>
    </row>
    <row r="11" spans="1:16" s="104" customFormat="1" ht="3" customHeight="1" x14ac:dyDescent="0.25">
      <c r="A11" s="133"/>
      <c r="B11" s="136"/>
      <c r="C11" s="145"/>
      <c r="D11" s="4"/>
      <c r="E11" s="4"/>
      <c r="F11" s="146"/>
      <c r="G11" s="4"/>
      <c r="H11" s="4"/>
      <c r="I11" s="4"/>
      <c r="J11" s="4"/>
      <c r="K11" s="4"/>
      <c r="L11" s="4"/>
      <c r="M11" s="4"/>
      <c r="N11" s="4"/>
      <c r="O11" s="137"/>
      <c r="P11" s="133"/>
    </row>
    <row r="12" spans="1:16" s="104" customFormat="1" x14ac:dyDescent="0.25">
      <c r="A12" s="133"/>
      <c r="B12" s="136"/>
      <c r="C12" s="4"/>
      <c r="D12" s="4"/>
      <c r="E12" s="4"/>
      <c r="F12" s="147"/>
      <c r="G12" s="4" t="s">
        <v>24</v>
      </c>
      <c r="H12" s="4"/>
      <c r="I12" s="4"/>
      <c r="J12" s="4"/>
      <c r="K12" s="4"/>
      <c r="L12" s="4"/>
      <c r="M12" s="4"/>
      <c r="N12" s="4"/>
      <c r="O12" s="137"/>
      <c r="P12" s="133"/>
    </row>
    <row r="13" spans="1:16" s="104" customFormat="1" ht="3" customHeight="1" x14ac:dyDescent="0.25">
      <c r="A13" s="133"/>
      <c r="B13" s="136"/>
      <c r="C13" s="4"/>
      <c r="D13" s="4"/>
      <c r="E13" s="4"/>
      <c r="F13" s="4"/>
      <c r="G13" s="4"/>
      <c r="H13" s="4"/>
      <c r="I13" s="4"/>
      <c r="J13" s="4"/>
      <c r="K13" s="4"/>
      <c r="L13" s="4"/>
      <c r="M13" s="4"/>
      <c r="N13" s="4"/>
      <c r="O13" s="137"/>
      <c r="P13" s="133"/>
    </row>
    <row r="14" spans="1:16" s="104" customFormat="1" ht="13.5" customHeight="1" x14ac:dyDescent="0.25">
      <c r="A14" s="133"/>
      <c r="B14" s="136"/>
      <c r="C14" s="4"/>
      <c r="D14" s="4"/>
      <c r="E14" s="4"/>
      <c r="F14" s="252"/>
      <c r="G14" s="4" t="s">
        <v>113</v>
      </c>
      <c r="H14" s="4"/>
      <c r="I14" s="4"/>
      <c r="J14" s="4"/>
      <c r="K14" s="4"/>
      <c r="L14" s="4"/>
      <c r="M14" s="4"/>
      <c r="N14" s="4"/>
      <c r="O14" s="137"/>
      <c r="P14" s="133"/>
    </row>
    <row r="15" spans="1:16" s="104" customFormat="1" ht="5.25" customHeight="1" x14ac:dyDescent="0.25">
      <c r="A15" s="133"/>
      <c r="B15" s="136"/>
      <c r="C15" s="4"/>
      <c r="D15" s="4"/>
      <c r="E15" s="4"/>
      <c r="F15" s="4"/>
      <c r="G15" s="4"/>
      <c r="H15" s="4"/>
      <c r="I15" s="4"/>
      <c r="J15" s="4"/>
      <c r="K15" s="4"/>
      <c r="L15" s="4"/>
      <c r="M15" s="4"/>
      <c r="N15" s="4"/>
      <c r="O15" s="137"/>
      <c r="P15" s="133"/>
    </row>
    <row r="16" spans="1:16" s="104" customFormat="1" ht="14.25" customHeight="1" x14ac:dyDescent="0.25">
      <c r="A16" s="133"/>
      <c r="B16" s="136"/>
      <c r="C16" s="148" t="s">
        <v>244</v>
      </c>
      <c r="D16" s="4"/>
      <c r="E16" s="4"/>
      <c r="F16" s="4"/>
      <c r="G16" s="4"/>
      <c r="H16" s="4"/>
      <c r="I16" s="4"/>
      <c r="J16" s="4"/>
      <c r="K16" s="4"/>
      <c r="L16" s="4"/>
      <c r="M16" s="4"/>
      <c r="N16" s="4"/>
      <c r="O16" s="137"/>
      <c r="P16" s="133"/>
    </row>
    <row r="17" spans="1:16" s="104" customFormat="1" ht="8.25" customHeight="1" x14ac:dyDescent="0.25">
      <c r="A17" s="133"/>
      <c r="B17" s="136"/>
      <c r="C17" s="4"/>
      <c r="D17" s="4"/>
      <c r="E17" s="4"/>
      <c r="F17" s="4"/>
      <c r="G17" s="4"/>
      <c r="H17" s="4"/>
      <c r="I17" s="4"/>
      <c r="J17" s="4"/>
      <c r="K17" s="4"/>
      <c r="L17" s="4"/>
      <c r="M17" s="4"/>
      <c r="N17" s="4"/>
      <c r="O17" s="137"/>
      <c r="P17" s="133"/>
    </row>
    <row r="18" spans="1:16" s="104" customFormat="1" ht="15.75" customHeight="1" x14ac:dyDescent="0.25">
      <c r="A18" s="133"/>
      <c r="B18" s="136"/>
      <c r="C18" s="149" t="s">
        <v>250</v>
      </c>
      <c r="D18" s="482" t="s">
        <v>14</v>
      </c>
      <c r="E18" s="483"/>
      <c r="F18" s="483"/>
      <c r="G18" s="484"/>
      <c r="H18" s="4"/>
      <c r="I18" s="150" t="s">
        <v>25</v>
      </c>
      <c r="J18" s="493" t="s">
        <v>15</v>
      </c>
      <c r="K18" s="494"/>
      <c r="L18" s="495"/>
      <c r="M18" s="496"/>
      <c r="N18" s="4"/>
      <c r="O18" s="137"/>
      <c r="P18" s="133"/>
    </row>
    <row r="19" spans="1:16" s="104" customFormat="1" ht="6" customHeight="1" x14ac:dyDescent="0.25">
      <c r="A19" s="133"/>
      <c r="B19" s="136"/>
      <c r="C19" s="151"/>
      <c r="D19" s="4"/>
      <c r="E19" s="4"/>
      <c r="F19" s="4"/>
      <c r="G19" s="4"/>
      <c r="H19" s="4"/>
      <c r="I19" s="150"/>
      <c r="J19" s="150"/>
      <c r="K19" s="4"/>
      <c r="L19" s="149"/>
      <c r="M19" s="152"/>
      <c r="N19" s="4"/>
      <c r="O19" s="137"/>
      <c r="P19" s="133"/>
    </row>
    <row r="20" spans="1:16" s="104" customFormat="1" ht="15.75" customHeight="1" x14ac:dyDescent="0.25">
      <c r="A20" s="133"/>
      <c r="B20" s="136"/>
      <c r="C20" s="149" t="s">
        <v>28</v>
      </c>
      <c r="D20" s="194">
        <v>2013</v>
      </c>
      <c r="E20" s="4"/>
      <c r="F20" s="149" t="s">
        <v>186</v>
      </c>
      <c r="G20" s="369">
        <v>41275</v>
      </c>
      <c r="H20" s="4"/>
      <c r="I20" s="150" t="s">
        <v>187</v>
      </c>
      <c r="J20" s="149"/>
      <c r="K20" s="369">
        <v>41609</v>
      </c>
      <c r="L20" s="149"/>
      <c r="M20" s="4"/>
      <c r="N20" s="4"/>
      <c r="O20" s="137"/>
      <c r="P20" s="133"/>
    </row>
    <row r="21" spans="1:16" s="104" customFormat="1" ht="6" customHeight="1" x14ac:dyDescent="0.25">
      <c r="A21" s="133"/>
      <c r="B21" s="136"/>
      <c r="C21" s="153"/>
      <c r="D21" s="4"/>
      <c r="E21" s="4"/>
      <c r="F21" s="4"/>
      <c r="G21" s="4"/>
      <c r="H21" s="4"/>
      <c r="I21" s="150"/>
      <c r="J21" s="150"/>
      <c r="K21" s="4"/>
      <c r="L21" s="150"/>
      <c r="M21" s="150"/>
      <c r="N21" s="4"/>
      <c r="O21" s="137"/>
      <c r="P21" s="133"/>
    </row>
    <row r="22" spans="1:16" s="104" customFormat="1" ht="15.75" customHeight="1" x14ac:dyDescent="0.25">
      <c r="A22" s="133"/>
      <c r="B22" s="136"/>
      <c r="C22" s="149" t="s">
        <v>245</v>
      </c>
      <c r="D22" s="482" t="s">
        <v>629</v>
      </c>
      <c r="E22" s="504"/>
      <c r="F22" s="154" t="s">
        <v>246</v>
      </c>
      <c r="G22" s="505" t="s">
        <v>16</v>
      </c>
      <c r="H22" s="494"/>
      <c r="I22" s="495"/>
      <c r="J22" s="496"/>
      <c r="K22" s="499" t="s">
        <v>248</v>
      </c>
      <c r="L22" s="500"/>
      <c r="M22" s="497">
        <v>6103771912</v>
      </c>
      <c r="N22" s="498"/>
      <c r="O22" s="137"/>
      <c r="P22" s="133"/>
    </row>
    <row r="23" spans="1:16" s="104" customFormat="1" ht="12.75" customHeight="1" x14ac:dyDescent="0.25">
      <c r="A23" s="133"/>
      <c r="B23" s="136"/>
      <c r="C23" s="151"/>
      <c r="D23" s="4"/>
      <c r="E23" s="4"/>
      <c r="F23" s="4"/>
      <c r="G23" s="4"/>
      <c r="H23" s="4"/>
      <c r="I23" s="150"/>
      <c r="J23" s="150"/>
      <c r="K23" s="4"/>
      <c r="L23" s="149" t="s">
        <v>247</v>
      </c>
      <c r="M23" s="375"/>
      <c r="N23" s="4"/>
      <c r="O23" s="137"/>
      <c r="P23" s="133"/>
    </row>
    <row r="24" spans="1:16" s="104" customFormat="1" ht="13.5" customHeight="1" x14ac:dyDescent="0.25">
      <c r="A24" s="133"/>
      <c r="B24" s="136"/>
      <c r="C24" s="145" t="s">
        <v>338</v>
      </c>
      <c r="D24" s="4"/>
      <c r="E24" s="4"/>
      <c r="F24" s="4"/>
      <c r="G24" s="501" t="s">
        <v>563</v>
      </c>
      <c r="H24" s="502"/>
      <c r="I24" s="502"/>
      <c r="J24" s="503"/>
      <c r="K24" s="4"/>
      <c r="L24" s="149"/>
      <c r="M24" s="152"/>
      <c r="N24" s="4"/>
      <c r="O24" s="137"/>
      <c r="P24" s="133"/>
    </row>
    <row r="25" spans="1:16" s="104" customFormat="1" ht="4.5" customHeight="1" x14ac:dyDescent="0.25">
      <c r="A25" s="133"/>
      <c r="B25" s="136"/>
      <c r="C25" s="151"/>
      <c r="D25" s="4"/>
      <c r="E25" s="4"/>
      <c r="F25" s="4"/>
      <c r="G25" s="4"/>
      <c r="H25" s="4"/>
      <c r="I25" s="150"/>
      <c r="J25" s="150"/>
      <c r="K25" s="4"/>
      <c r="L25" s="149"/>
      <c r="M25" s="152"/>
      <c r="N25" s="4"/>
      <c r="O25" s="137"/>
      <c r="P25" s="133"/>
    </row>
    <row r="26" spans="1:16" s="104" customFormat="1" ht="16.5" customHeight="1" x14ac:dyDescent="0.25">
      <c r="A26" s="133"/>
      <c r="B26" s="155"/>
      <c r="C26" s="156" t="s">
        <v>234</v>
      </c>
      <c r="D26" s="4"/>
      <c r="E26" s="4"/>
      <c r="F26" s="4"/>
      <c r="G26" s="244" t="s">
        <v>560</v>
      </c>
      <c r="H26" s="4"/>
      <c r="I26" s="4"/>
      <c r="J26" s="4"/>
      <c r="K26" s="4"/>
      <c r="L26" s="4"/>
      <c r="M26" s="4"/>
      <c r="N26" s="4"/>
      <c r="O26" s="137"/>
      <c r="P26" s="133"/>
    </row>
    <row r="27" spans="1:16" s="104" customFormat="1" ht="22.5" customHeight="1" x14ac:dyDescent="0.25">
      <c r="A27" s="133"/>
      <c r="B27" s="157"/>
      <c r="C27" s="158"/>
      <c r="D27" s="479" t="s">
        <v>20</v>
      </c>
      <c r="E27" s="480"/>
      <c r="F27" s="480"/>
      <c r="G27" s="480"/>
      <c r="H27" s="480"/>
      <c r="I27" s="480"/>
      <c r="J27" s="480"/>
      <c r="K27" s="480"/>
      <c r="L27" s="480"/>
      <c r="M27" s="480"/>
      <c r="N27" s="481"/>
      <c r="O27" s="137"/>
      <c r="P27" s="133"/>
    </row>
    <row r="28" spans="1:16" s="104" customFormat="1" ht="3.75" customHeight="1" x14ac:dyDescent="0.25">
      <c r="A28" s="133"/>
      <c r="B28" s="157"/>
      <c r="C28" s="158"/>
      <c r="D28" s="4"/>
      <c r="E28" s="4"/>
      <c r="F28" s="4"/>
      <c r="G28" s="4"/>
      <c r="H28" s="4"/>
      <c r="I28" s="4"/>
      <c r="J28" s="4"/>
      <c r="K28" s="4"/>
      <c r="L28" s="4"/>
      <c r="M28" s="4"/>
      <c r="N28" s="4"/>
      <c r="O28" s="137"/>
      <c r="P28" s="133"/>
    </row>
    <row r="29" spans="1:16" s="104" customFormat="1" ht="22.5" customHeight="1" x14ac:dyDescent="0.25">
      <c r="A29" s="133"/>
      <c r="B29" s="157"/>
      <c r="C29" s="158"/>
      <c r="D29" s="479" t="s">
        <v>21</v>
      </c>
      <c r="E29" s="480"/>
      <c r="F29" s="480"/>
      <c r="G29" s="480"/>
      <c r="H29" s="480"/>
      <c r="I29" s="480"/>
      <c r="J29" s="480"/>
      <c r="K29" s="480"/>
      <c r="L29" s="480"/>
      <c r="M29" s="480"/>
      <c r="N29" s="481"/>
      <c r="O29" s="137"/>
      <c r="P29" s="133"/>
    </row>
    <row r="30" spans="1:16" s="104" customFormat="1" ht="3.75" customHeight="1" x14ac:dyDescent="0.25">
      <c r="A30" s="133"/>
      <c r="B30" s="157"/>
      <c r="C30" s="158"/>
      <c r="D30" s="4"/>
      <c r="E30" s="4"/>
      <c r="F30" s="4"/>
      <c r="G30" s="4"/>
      <c r="H30" s="4"/>
      <c r="I30" s="4"/>
      <c r="J30" s="4"/>
      <c r="K30" s="4"/>
      <c r="L30" s="4"/>
      <c r="M30" s="4"/>
      <c r="N30" s="4"/>
      <c r="O30" s="137"/>
      <c r="P30" s="133"/>
    </row>
    <row r="31" spans="1:16" s="104" customFormat="1" ht="22.5" customHeight="1" x14ac:dyDescent="0.25">
      <c r="A31" s="133"/>
      <c r="B31" s="157"/>
      <c r="C31" s="158"/>
      <c r="D31" s="479" t="s">
        <v>22</v>
      </c>
      <c r="E31" s="480"/>
      <c r="F31" s="480"/>
      <c r="G31" s="480"/>
      <c r="H31" s="480"/>
      <c r="I31" s="480"/>
      <c r="J31" s="480"/>
      <c r="K31" s="480"/>
      <c r="L31" s="480"/>
      <c r="M31" s="480"/>
      <c r="N31" s="481"/>
      <c r="O31" s="137"/>
      <c r="P31" s="133"/>
    </row>
    <row r="32" spans="1:16" s="104" customFormat="1" ht="3.75" customHeight="1" x14ac:dyDescent="0.25">
      <c r="A32" s="133"/>
      <c r="B32" s="157"/>
      <c r="C32" s="158"/>
      <c r="D32" s="4"/>
      <c r="E32" s="4"/>
      <c r="F32" s="4"/>
      <c r="G32" s="4"/>
      <c r="H32" s="4"/>
      <c r="I32" s="4"/>
      <c r="J32" s="4"/>
      <c r="K32" s="4"/>
      <c r="L32" s="4"/>
      <c r="M32" s="4"/>
      <c r="N32" s="4"/>
      <c r="O32" s="137"/>
      <c r="P32" s="133"/>
    </row>
    <row r="33" spans="1:16" s="104" customFormat="1" ht="22.5" customHeight="1" x14ac:dyDescent="0.25">
      <c r="A33" s="133"/>
      <c r="B33" s="157"/>
      <c r="C33" s="158"/>
      <c r="D33" s="479" t="s">
        <v>86</v>
      </c>
      <c r="E33" s="480"/>
      <c r="F33" s="480"/>
      <c r="G33" s="480"/>
      <c r="H33" s="480"/>
      <c r="I33" s="480"/>
      <c r="J33" s="480"/>
      <c r="K33" s="480"/>
      <c r="L33" s="480"/>
      <c r="M33" s="480"/>
      <c r="N33" s="481"/>
      <c r="O33" s="137"/>
      <c r="P33" s="133"/>
    </row>
    <row r="34" spans="1:16" s="104" customFormat="1" ht="3.75" customHeight="1" x14ac:dyDescent="0.25">
      <c r="A34" s="133"/>
      <c r="B34" s="157"/>
      <c r="C34" s="158"/>
      <c r="D34" s="243"/>
      <c r="E34" s="243"/>
      <c r="F34" s="243"/>
      <c r="G34" s="243"/>
      <c r="H34" s="243"/>
      <c r="I34" s="243"/>
      <c r="J34" s="243"/>
      <c r="K34" s="243"/>
      <c r="L34" s="243"/>
      <c r="M34" s="243"/>
      <c r="N34" s="243"/>
      <c r="O34" s="137"/>
      <c r="P34" s="133"/>
    </row>
    <row r="35" spans="1:16" s="104" customFormat="1" ht="22.5" customHeight="1" x14ac:dyDescent="0.25">
      <c r="A35" s="133"/>
      <c r="B35" s="157"/>
      <c r="C35" s="158"/>
      <c r="D35" s="479" t="s">
        <v>239</v>
      </c>
      <c r="E35" s="480"/>
      <c r="F35" s="480"/>
      <c r="G35" s="480"/>
      <c r="H35" s="480"/>
      <c r="I35" s="480"/>
      <c r="J35" s="480"/>
      <c r="K35" s="480"/>
      <c r="L35" s="480"/>
      <c r="M35" s="480"/>
      <c r="N35" s="481"/>
      <c r="O35" s="137"/>
      <c r="P35" s="133"/>
    </row>
    <row r="36" spans="1:16" s="104" customFormat="1" ht="3.75" customHeight="1" x14ac:dyDescent="0.25">
      <c r="A36" s="133"/>
      <c r="B36" s="157"/>
      <c r="C36" s="158"/>
      <c r="D36" s="4"/>
      <c r="E36" s="4"/>
      <c r="F36" s="4"/>
      <c r="G36" s="4"/>
      <c r="H36" s="4"/>
      <c r="I36" s="4"/>
      <c r="J36" s="4"/>
      <c r="K36" s="4"/>
      <c r="L36" s="4"/>
      <c r="M36" s="4"/>
      <c r="N36" s="4"/>
      <c r="O36" s="137"/>
      <c r="P36" s="133"/>
    </row>
    <row r="37" spans="1:16" s="104" customFormat="1" ht="22.5" customHeight="1" x14ac:dyDescent="0.25">
      <c r="A37" s="133"/>
      <c r="B37" s="157"/>
      <c r="C37" s="158"/>
      <c r="D37" s="479" t="s">
        <v>23</v>
      </c>
      <c r="E37" s="480"/>
      <c r="F37" s="480"/>
      <c r="G37" s="480"/>
      <c r="H37" s="480"/>
      <c r="I37" s="480"/>
      <c r="J37" s="480"/>
      <c r="K37" s="480"/>
      <c r="L37" s="480"/>
      <c r="M37" s="480"/>
      <c r="N37" s="481"/>
      <c r="O37" s="137"/>
      <c r="P37" s="133"/>
    </row>
    <row r="38" spans="1:16" s="104" customFormat="1" ht="3.75" customHeight="1" x14ac:dyDescent="0.25">
      <c r="A38" s="133"/>
      <c r="B38" s="157"/>
      <c r="C38" s="158"/>
      <c r="D38" s="4"/>
      <c r="E38" s="4"/>
      <c r="F38" s="4"/>
      <c r="G38" s="4"/>
      <c r="H38" s="4"/>
      <c r="I38" s="4"/>
      <c r="J38" s="4"/>
      <c r="K38" s="4"/>
      <c r="L38" s="4"/>
      <c r="M38" s="4"/>
      <c r="N38" s="4"/>
      <c r="O38" s="137"/>
      <c r="P38" s="133"/>
    </row>
    <row r="39" spans="1:16" s="104" customFormat="1" ht="22.5" customHeight="1" x14ac:dyDescent="0.25">
      <c r="A39" s="133"/>
      <c r="B39" s="157"/>
      <c r="C39" s="158"/>
      <c r="D39" s="479" t="s">
        <v>413</v>
      </c>
      <c r="E39" s="480"/>
      <c r="F39" s="480"/>
      <c r="G39" s="480"/>
      <c r="H39" s="480"/>
      <c r="I39" s="480"/>
      <c r="J39" s="480"/>
      <c r="K39" s="480"/>
      <c r="L39" s="480"/>
      <c r="M39" s="480"/>
      <c r="N39" s="481"/>
      <c r="O39" s="137"/>
      <c r="P39" s="133"/>
    </row>
    <row r="40" spans="1:16" s="104" customFormat="1" ht="8.25" customHeight="1" x14ac:dyDescent="0.25">
      <c r="A40" s="133"/>
      <c r="B40" s="157"/>
      <c r="C40" s="158"/>
      <c r="D40" s="243"/>
      <c r="E40" s="243"/>
      <c r="F40" s="243"/>
      <c r="G40" s="243"/>
      <c r="H40" s="243"/>
      <c r="I40" s="243"/>
      <c r="J40" s="243"/>
      <c r="K40" s="243"/>
      <c r="L40" s="243"/>
      <c r="M40" s="243"/>
      <c r="N40" s="243"/>
      <c r="O40" s="137"/>
      <c r="P40" s="133"/>
    </row>
    <row r="41" spans="1:16" s="104" customFormat="1" ht="27" customHeight="1" x14ac:dyDescent="0.25">
      <c r="A41" s="133"/>
      <c r="B41" s="157"/>
      <c r="C41" s="373" t="s">
        <v>4</v>
      </c>
      <c r="D41" s="506" t="s">
        <v>630</v>
      </c>
      <c r="E41" s="507"/>
      <c r="F41" s="507"/>
      <c r="G41" s="507"/>
      <c r="H41" s="507"/>
      <c r="I41" s="507"/>
      <c r="J41" s="507"/>
      <c r="K41" s="507"/>
      <c r="L41" s="507"/>
      <c r="M41" s="507"/>
      <c r="N41" s="508"/>
      <c r="O41" s="137"/>
      <c r="P41" s="133"/>
    </row>
    <row r="42" spans="1:16" s="104" customFormat="1" ht="22.5" customHeight="1" x14ac:dyDescent="0.25">
      <c r="A42" s="133"/>
      <c r="B42" s="157"/>
      <c r="C42" s="158"/>
      <c r="D42" s="509"/>
      <c r="E42" s="510"/>
      <c r="F42" s="510"/>
      <c r="G42" s="510"/>
      <c r="H42" s="510"/>
      <c r="I42" s="510"/>
      <c r="J42" s="510"/>
      <c r="K42" s="510"/>
      <c r="L42" s="510"/>
      <c r="M42" s="510"/>
      <c r="N42" s="511"/>
      <c r="O42" s="137"/>
      <c r="P42" s="133"/>
    </row>
    <row r="43" spans="1:16" s="104" customFormat="1" ht="10.5" customHeight="1" x14ac:dyDescent="0.25">
      <c r="A43" s="133"/>
      <c r="B43" s="157"/>
      <c r="C43" s="158"/>
      <c r="D43" s="509"/>
      <c r="E43" s="510"/>
      <c r="F43" s="510"/>
      <c r="G43" s="510"/>
      <c r="H43" s="510"/>
      <c r="I43" s="510"/>
      <c r="J43" s="510"/>
      <c r="K43" s="510"/>
      <c r="L43" s="510"/>
      <c r="M43" s="510"/>
      <c r="N43" s="511"/>
      <c r="O43" s="137"/>
      <c r="P43" s="133"/>
    </row>
    <row r="44" spans="1:16" s="104" customFormat="1" ht="21" customHeight="1" x14ac:dyDescent="0.25">
      <c r="A44" s="133"/>
      <c r="B44" s="157"/>
      <c r="C44" s="158"/>
      <c r="D44" s="512"/>
      <c r="E44" s="513"/>
      <c r="F44" s="513"/>
      <c r="G44" s="513"/>
      <c r="H44" s="513"/>
      <c r="I44" s="513"/>
      <c r="J44" s="513"/>
      <c r="K44" s="513"/>
      <c r="L44" s="513"/>
      <c r="M44" s="513"/>
      <c r="N44" s="514"/>
      <c r="O44" s="137"/>
      <c r="P44" s="133"/>
    </row>
    <row r="45" spans="1:16" s="104" customFormat="1" ht="22.5" customHeight="1" x14ac:dyDescent="0.25">
      <c r="A45" s="133"/>
      <c r="B45" s="157"/>
      <c r="C45" s="242"/>
      <c r="D45" s="158"/>
      <c r="E45" s="243"/>
      <c r="F45" s="243"/>
      <c r="G45" s="243"/>
      <c r="H45" s="243"/>
      <c r="I45" s="243"/>
      <c r="J45" s="243"/>
      <c r="K45" s="242" t="s">
        <v>102</v>
      </c>
      <c r="L45" s="245" t="s">
        <v>101</v>
      </c>
      <c r="M45" s="243"/>
      <c r="N45" s="243"/>
      <c r="O45" s="137"/>
      <c r="P45" s="133"/>
    </row>
    <row r="46" spans="1:16" s="104" customFormat="1" ht="5.25" customHeight="1" thickBot="1" x14ac:dyDescent="0.3">
      <c r="A46" s="133"/>
      <c r="B46" s="159"/>
      <c r="C46" s="160"/>
      <c r="D46" s="160"/>
      <c r="E46" s="160"/>
      <c r="F46" s="160"/>
      <c r="G46" s="160"/>
      <c r="H46" s="160"/>
      <c r="I46" s="160"/>
      <c r="J46" s="160"/>
      <c r="K46" s="160"/>
      <c r="L46" s="160"/>
      <c r="M46" s="160"/>
      <c r="N46" s="160"/>
      <c r="O46" s="161"/>
      <c r="P46" s="133"/>
    </row>
    <row r="47" spans="1:16" ht="13.5" customHeight="1" thickTop="1" x14ac:dyDescent="0.25"/>
    <row r="52" x14ac:dyDescent="0.25"/>
  </sheetData>
  <sheetProtection password="E218" sheet="1" objects="1" scenarios="1"/>
  <mergeCells count="18">
    <mergeCell ref="D31:N31"/>
    <mergeCell ref="G24:J24"/>
    <mergeCell ref="D29:N29"/>
    <mergeCell ref="D22:E22"/>
    <mergeCell ref="G22:J22"/>
    <mergeCell ref="D41:N44"/>
    <mergeCell ref="D33:N33"/>
    <mergeCell ref="D37:N37"/>
    <mergeCell ref="D39:N39"/>
    <mergeCell ref="D35:N35"/>
    <mergeCell ref="D27:N27"/>
    <mergeCell ref="D18:G18"/>
    <mergeCell ref="B2:O2"/>
    <mergeCell ref="C7:N8"/>
    <mergeCell ref="C4:N5"/>
    <mergeCell ref="J18:M18"/>
    <mergeCell ref="M22:N22"/>
    <mergeCell ref="K22:L22"/>
  </mergeCells>
  <phoneticPr fontId="0" type="noConversion"/>
  <dataValidations count="1">
    <dataValidation type="list" allowBlank="1" showInputMessage="1" showErrorMessage="1" errorTitle="Water Balance Units" error="You have not entered a valid option" promptTitle="Water Balance Units" prompt="Please choose from the following units" sqref="G24:J24" xr:uid="{55E4E4B8-7BDE-48CC-ADEA-D6B670075B30}">
      <formula1>"Million gallons (US),Megalitres (thousand cubic metres),Acre-feet"</formula1>
    </dataValidation>
  </dataValidations>
  <hyperlinks>
    <hyperlink ref="L45" r:id="rId1" xr:uid="{0A968D18-FC13-4686-A5E1-172E4FC981B9}"/>
  </hyperlinks>
  <printOptions horizontalCentered="1" verticalCentered="1"/>
  <pageMargins left="0.41" right="0.47" top="0.76" bottom="0.75" header="0.5" footer="0.5"/>
  <pageSetup scale="86" orientation="landscape" r:id="rId2"/>
  <headerFooter alignWithMargins="0">
    <oddFooter>&amp;CAWWA Water Loss Control Committee&amp;R&amp;A   &amp;P</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8C825-D92B-48BA-84F8-43F93B393732}">
  <sheetPr codeName="Sheet5">
    <tabColor indexed="48"/>
    <pageSetUpPr fitToPage="1"/>
  </sheetPr>
  <dimension ref="A1:Q152"/>
  <sheetViews>
    <sheetView showGridLines="0" tabSelected="1" workbookViewId="0">
      <pane ySplit="6" topLeftCell="A7" activePane="bottomLeft" state="frozen"/>
      <selection activeCell="K26" sqref="K26"/>
      <selection pane="bottomLeft" activeCell="I63" sqref="I63"/>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5" t="s">
        <v>492</v>
      </c>
      <c r="C2" s="486"/>
      <c r="D2" s="486"/>
      <c r="E2" s="486"/>
      <c r="F2" s="486"/>
      <c r="G2" s="486"/>
      <c r="H2" s="486"/>
      <c r="I2" s="486"/>
      <c r="J2" s="486"/>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26</v>
      </c>
      <c r="D4" s="167" t="str">
        <f>IF(ISBLANK(Instructions!D18),"",Instructions!D18)</f>
        <v>Lehighton Water Authority</v>
      </c>
      <c r="E4" s="296"/>
      <c r="F4" s="168"/>
      <c r="G4" s="146"/>
      <c r="H4" s="146"/>
      <c r="I4" s="146"/>
      <c r="J4" s="146"/>
      <c r="K4" s="169"/>
      <c r="L4" s="4"/>
      <c r="M4" s="4"/>
      <c r="N4" s="137"/>
    </row>
    <row r="5" spans="1:16" s="104" customFormat="1" x14ac:dyDescent="0.25">
      <c r="A5" s="133"/>
      <c r="B5" s="136"/>
      <c r="C5" s="170" t="s">
        <v>27</v>
      </c>
      <c r="D5" s="521">
        <f>IF(ISBLANK(Instructions!D20),"",Instructions!D20)</f>
        <v>2013</v>
      </c>
      <c r="E5" s="522"/>
      <c r="F5" s="171"/>
      <c r="G5" s="525" t="str">
        <f>IF(OR(ISBLANK(Instructions!G20),ISBLANK(Instructions!K20)),"",MONTH(Instructions!G20)&amp;"/"&amp;YEAR(Instructions!G20)&amp;" - "&amp;MONTH(Instructions!K20)&amp;"/"&amp;YEAR(Instructions!K20))</f>
        <v>1/2013 - 12/2013</v>
      </c>
      <c r="H5" s="526"/>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20"/>
      <c r="D7" s="492"/>
      <c r="E7" s="492"/>
      <c r="F7" s="492"/>
      <c r="G7" s="492"/>
      <c r="H7" s="492"/>
      <c r="I7" s="492"/>
      <c r="J7" s="492"/>
      <c r="K7" s="492"/>
      <c r="L7" s="492"/>
      <c r="M7" s="492"/>
      <c r="N7" s="137"/>
    </row>
    <row r="8" spans="1:16" s="104" customFormat="1" ht="13.5" customHeight="1" x14ac:dyDescent="0.25">
      <c r="A8" s="133"/>
      <c r="B8" s="136"/>
      <c r="C8" s="492"/>
      <c r="D8" s="492"/>
      <c r="E8" s="492"/>
      <c r="F8" s="492"/>
      <c r="G8" s="492"/>
      <c r="H8" s="492"/>
      <c r="I8" s="492"/>
      <c r="J8" s="492"/>
      <c r="K8" s="492"/>
      <c r="L8" s="492"/>
      <c r="M8" s="492"/>
      <c r="N8" s="137"/>
    </row>
    <row r="9" spans="1:16" s="104" customFormat="1" ht="15" customHeight="1" x14ac:dyDescent="0.25">
      <c r="A9" s="133"/>
      <c r="B9" s="136"/>
      <c r="C9" s="173"/>
      <c r="D9" s="173"/>
      <c r="E9" s="297"/>
      <c r="F9" s="173"/>
      <c r="G9" s="174" t="str">
        <f>IF(ISBLANK(Instructions!G24),"PLEASE CHOOSE REPORTING UNITS FROM THE INSTRUCTIONS SHEET BEFORE ENTERING DATA","All volumes to be entered as: "&amp;UPPER(Instructions!$G$24)&amp;" PER YEAR")</f>
        <v>All volumes to be entered as: MILLION GALLONS (US) PER YEAR</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193</v>
      </c>
      <c r="D12" s="527" t="s">
        <v>166</v>
      </c>
      <c r="E12" s="517"/>
      <c r="F12" s="517"/>
      <c r="G12" s="517"/>
      <c r="H12" s="517"/>
      <c r="I12" s="517"/>
      <c r="J12" s="13"/>
      <c r="K12" s="13"/>
      <c r="L12" s="13"/>
      <c r="M12" s="13"/>
      <c r="N12" s="137"/>
      <c r="P12" s="370"/>
    </row>
    <row r="13" spans="1:16" s="104" customFormat="1" ht="2.25" customHeight="1" x14ac:dyDescent="0.25">
      <c r="A13" s="133"/>
      <c r="B13" s="136"/>
      <c r="C13" s="3"/>
      <c r="D13" s="3"/>
      <c r="E13" s="3"/>
      <c r="F13" s="3"/>
      <c r="G13" s="3"/>
      <c r="H13" s="3"/>
      <c r="I13" s="3"/>
      <c r="J13" s="13"/>
      <c r="K13" s="13"/>
      <c r="L13" s="13"/>
      <c r="M13" s="13"/>
      <c r="N13" s="137"/>
      <c r="P13" s="370"/>
    </row>
    <row r="14" spans="1:16" s="104" customFormat="1" x14ac:dyDescent="0.25">
      <c r="A14" s="133"/>
      <c r="B14" s="136"/>
      <c r="C14" s="151" t="s">
        <v>69</v>
      </c>
      <c r="D14" s="131"/>
      <c r="E14" s="383">
        <v>7</v>
      </c>
      <c r="F14" s="12"/>
      <c r="G14" s="248">
        <v>285.65600000000001</v>
      </c>
      <c r="H14" s="5"/>
      <c r="I14" s="208" t="str">
        <f>IF(Instructions!$G$24="Million gallons (US)","Million gallons (US)/yr (MG/Yr)",IF(Instructions!$G$24="Megalitres (thousand cubic metres)","Megalitres/yr (or ML/Yr)",IF(Instructions!$G$24="Acre-feet","acre-ft/yr","")))</f>
        <v>Million gallons (US)/yr (MG/Yr)</v>
      </c>
      <c r="J14" s="175"/>
      <c r="K14" s="176"/>
      <c r="L14" s="78"/>
      <c r="M14" s="78"/>
      <c r="N14" s="137"/>
    </row>
    <row r="15" spans="1:16" s="104" customFormat="1" x14ac:dyDescent="0.25">
      <c r="A15" s="133"/>
      <c r="B15" s="136"/>
      <c r="C15" s="151" t="s">
        <v>10</v>
      </c>
      <c r="D15" s="3"/>
      <c r="E15" s="383">
        <v>1</v>
      </c>
      <c r="F15" s="12"/>
      <c r="G15" s="248">
        <v>0</v>
      </c>
      <c r="H15" s="5"/>
      <c r="I15" s="523"/>
      <c r="J15" s="524"/>
      <c r="K15" s="528" t="str">
        <f>IF(AND(NOT(ISBLANK(G15)),G15&gt;0,ISBLANK(I15)),"&lt;---Enter adjustment type",IF(Instructions!$G$24="million gallons (US)","MG/Yr",IF(Instructions!$G$24="Megalitres (thousand cubic metres)","ML/Yr",IF(Instructions!$G$24="acre-feet","acre-ft/yr",""))))</f>
        <v>MG/Yr</v>
      </c>
      <c r="L15" s="529"/>
      <c r="M15" s="529"/>
      <c r="N15" s="137"/>
    </row>
    <row r="16" spans="1:16" s="104" customFormat="1" x14ac:dyDescent="0.25">
      <c r="A16" s="133"/>
      <c r="B16" s="136"/>
      <c r="C16" s="151" t="s">
        <v>468</v>
      </c>
      <c r="D16" s="3"/>
      <c r="E16" s="383" t="s">
        <v>613</v>
      </c>
      <c r="F16" s="12"/>
      <c r="G16" s="248">
        <v>0</v>
      </c>
      <c r="H16" s="5"/>
      <c r="I16" s="208" t="str">
        <f>IF(Instructions!$G$24="million gallons (US)","MG/Yr",IF(Instructions!$G$24="Megalitres (thousand cubic metres)","ML/Yr",IF(Instructions!$G$24="acre-feet","acre-ft/yr","")))</f>
        <v>MG/Yr</v>
      </c>
      <c r="J16" s="251" t="str">
        <f>IF(AND(G14=G16,G19&lt;&gt;0),"Volume identical to own sources","")</f>
        <v/>
      </c>
      <c r="K16" s="176"/>
      <c r="L16" s="78"/>
      <c r="M16" s="417"/>
      <c r="N16" s="137"/>
    </row>
    <row r="17" spans="1:17" s="104" customFormat="1" x14ac:dyDescent="0.25">
      <c r="A17" s="133"/>
      <c r="B17" s="136"/>
      <c r="C17" s="151" t="s">
        <v>469</v>
      </c>
      <c r="D17" s="3"/>
      <c r="E17" s="383" t="s">
        <v>613</v>
      </c>
      <c r="F17" s="12"/>
      <c r="G17" s="248">
        <v>0</v>
      </c>
      <c r="H17" s="5"/>
      <c r="I17" s="208" t="str">
        <f>IF(Instructions!$G$24="million gallons (US)","MG/Yr",IF(Instructions!$G$24="Megalitres (thousand cubic metres)","ML/Yr",IF(Instructions!$G$24="acre-feet","acre-ft/yr","")))</f>
        <v>MG/Yr</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192</v>
      </c>
      <c r="D19" s="81"/>
      <c r="E19" s="384"/>
      <c r="F19" s="12"/>
      <c r="G19" s="249">
        <f>G14+IF(I15="under-registered",+G15,IF(I15="over-registered",-G15,))+G16-G17</f>
        <v>285.65600000000001</v>
      </c>
      <c r="H19" s="77"/>
      <c r="I19" s="208" t="str">
        <f>IF(Instructions!$G$24="million gallons (US)","MG/Yr",IF(Instructions!$G$24="Megalitres (thousand cubic metres)","ML/Yr",IF(Instructions!$G$24="acre-feet","acre-ft/yr","")))</f>
        <v>MG/Yr</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502</v>
      </c>
      <c r="F21" s="12"/>
      <c r="G21" s="4"/>
      <c r="H21" s="4"/>
      <c r="I21" s="4"/>
      <c r="J21" s="13"/>
      <c r="K21" s="13"/>
      <c r="L21" s="13"/>
      <c r="M21" s="4"/>
      <c r="N21" s="137"/>
    </row>
    <row r="22" spans="1:17" s="104" customFormat="1" x14ac:dyDescent="0.25">
      <c r="A22" s="133"/>
      <c r="B22" s="136"/>
      <c r="C22" s="3" t="s">
        <v>194</v>
      </c>
      <c r="D22" s="3"/>
      <c r="E22" s="386"/>
      <c r="F22" s="3"/>
      <c r="G22" s="3"/>
      <c r="H22" s="3"/>
      <c r="I22" s="3"/>
      <c r="J22" s="3"/>
      <c r="K22" s="3"/>
      <c r="L22" s="3"/>
      <c r="M22" s="3"/>
      <c r="N22" s="137"/>
    </row>
    <row r="23" spans="1:17" s="104" customFormat="1" x14ac:dyDescent="0.25">
      <c r="A23" s="133"/>
      <c r="B23" s="136"/>
      <c r="C23" s="151" t="s">
        <v>70</v>
      </c>
      <c r="D23" s="9"/>
      <c r="E23" s="383">
        <v>6</v>
      </c>
      <c r="F23" s="12"/>
      <c r="G23" s="248">
        <v>161.19999999999999</v>
      </c>
      <c r="H23" s="5"/>
      <c r="I23" s="208" t="str">
        <f>IF(Instructions!$G$24="million gallons (US)","MG/Yr",IF(Instructions!$G$24="Megalitres (thousand cubic metres)","ML/Yr",IF(Instructions!$G$24="acre-feet","acre-ft/yr","")))</f>
        <v>MG/Yr</v>
      </c>
      <c r="J23" s="175"/>
      <c r="K23" s="176"/>
      <c r="L23" s="4"/>
      <c r="M23" s="4"/>
      <c r="N23" s="137"/>
      <c r="P23" s="17"/>
      <c r="Q23" s="17"/>
    </row>
    <row r="24" spans="1:17" s="104" customFormat="1" x14ac:dyDescent="0.25">
      <c r="A24" s="133"/>
      <c r="B24" s="136"/>
      <c r="C24" s="151" t="s">
        <v>71</v>
      </c>
      <c r="D24" s="9"/>
      <c r="E24" s="383" t="s">
        <v>613</v>
      </c>
      <c r="F24" s="12"/>
      <c r="G24" s="248">
        <v>0</v>
      </c>
      <c r="H24" s="5"/>
      <c r="I24" s="208" t="str">
        <f>IF(Instructions!$G$24="million gallons (US)","MG/Yr",IF(Instructions!$G$24="Megalitres (thousand cubic metres)","ML/Yr",IF(Instructions!$G$24="acre-feet","acre-ft/yr","")))</f>
        <v>MG/Yr</v>
      </c>
      <c r="J24" s="175"/>
      <c r="K24" s="176"/>
      <c r="L24" s="151"/>
      <c r="M24" s="151"/>
      <c r="N24" s="137"/>
      <c r="P24" s="17"/>
      <c r="Q24" s="17"/>
    </row>
    <row r="25" spans="1:17" s="104" customFormat="1" x14ac:dyDescent="0.25">
      <c r="A25" s="133"/>
      <c r="B25" s="136"/>
      <c r="C25" s="151" t="s">
        <v>72</v>
      </c>
      <c r="D25" s="9"/>
      <c r="E25" s="383">
        <v>9</v>
      </c>
      <c r="F25" s="12"/>
      <c r="G25" s="248">
        <v>1.4670000000000001</v>
      </c>
      <c r="H25" s="5"/>
      <c r="I25" s="208" t="str">
        <f>IF(Instructions!$G$24="million gallons (US)","MG/Yr",IF(Instructions!$G$24="Megalitres (thousand cubic metres)","ML/Yr",IF(Instructions!$G$24="acre-feet","acre-ft/yr","")))</f>
        <v>MG/Yr</v>
      </c>
      <c r="J25" s="241" t="s">
        <v>104</v>
      </c>
      <c r="K25" s="246"/>
      <c r="L25" s="4" t="s">
        <v>103</v>
      </c>
      <c r="M25" s="4"/>
      <c r="N25" s="137"/>
      <c r="P25" s="17"/>
      <c r="Q25" s="17"/>
    </row>
    <row r="26" spans="1:17" s="104" customFormat="1" ht="15" customHeight="1" x14ac:dyDescent="0.25">
      <c r="A26" s="133"/>
      <c r="B26" s="136"/>
      <c r="C26" s="151" t="s">
        <v>73</v>
      </c>
      <c r="D26" s="9"/>
      <c r="E26" s="383"/>
      <c r="F26" s="12"/>
      <c r="G26" s="249">
        <f>IF(OR(P26=1,AND(P26=2,L26=0)),J26*$G$19,L26)</f>
        <v>3.5707000000000004</v>
      </c>
      <c r="H26" s="5"/>
      <c r="I26" s="208" t="str">
        <f>IF(Instructions!$G$24="million gallons (US)","MG/Yr",IF(Instructions!$G$24="Megalitres (thousand cubic metres)","ML/Yr",IF(Instructions!$G$24="acre-feet","acre-ft/yr","")))</f>
        <v>MG/Yr</v>
      </c>
      <c r="J26" s="254">
        <v>1.2500000000000001E-2</v>
      </c>
      <c r="K26" s="133"/>
      <c r="L26" s="515"/>
      <c r="M26" s="519"/>
      <c r="N26" s="137"/>
      <c r="P26" s="374">
        <v>1</v>
      </c>
      <c r="Q26" s="17"/>
    </row>
    <row r="27" spans="1:17" s="104" customFormat="1" ht="2.25" customHeight="1" x14ac:dyDescent="0.25">
      <c r="A27" s="133"/>
      <c r="B27" s="136"/>
      <c r="C27" s="151"/>
      <c r="D27" s="151"/>
      <c r="E27" s="9"/>
      <c r="F27" s="9"/>
      <c r="G27" s="9"/>
      <c r="H27" s="9"/>
      <c r="I27" s="208"/>
      <c r="J27" s="208"/>
      <c r="K27" s="208"/>
      <c r="L27" s="208">
        <v>24061</v>
      </c>
      <c r="M27" s="208"/>
      <c r="N27" s="137"/>
      <c r="P27" s="39"/>
      <c r="Q27" s="17"/>
    </row>
    <row r="28" spans="1:17" s="104" customFormat="1" ht="15" customHeight="1" x14ac:dyDescent="0.25">
      <c r="A28" s="133"/>
      <c r="B28" s="136"/>
      <c r="C28" s="517" t="str">
        <f>IF(P26=1,"       Default option selected for Unbilled unmetered - a grading of 5 is applied but not displayed",IF(P26=2,IF(L26&gt;0.125*G19,"               Unbilled Unmetered volume entered is greater than the recommended default value",IF(L26=0,"Enter a positive value, otherwise a default percentage of 1.25% and a grading of 5 is applied",""))))</f>
        <v xml:space="preserve">       Default option selected for Unbilled unmetered - a grading of 5 is applied but not displayed</v>
      </c>
      <c r="D28" s="517"/>
      <c r="E28" s="517"/>
      <c r="F28" s="517"/>
      <c r="G28" s="517"/>
      <c r="H28" s="517"/>
      <c r="I28" s="517"/>
      <c r="J28" s="517"/>
      <c r="K28" s="208"/>
      <c r="L28" s="208"/>
      <c r="M28" s="208"/>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191</v>
      </c>
      <c r="D30" s="81"/>
      <c r="E30" s="300"/>
      <c r="F30" s="12"/>
      <c r="G30" s="249">
        <f>SUM(G23:G26)</f>
        <v>166.23769999999999</v>
      </c>
      <c r="H30" s="77"/>
      <c r="I30" s="208" t="str">
        <f>IF(Instructions!$G$24="million gallons (US)","MG/Yr",IF(Instructions!$G$24="Megalitres (thousand cubic metres)","ML/Yr",IF(Instructions!$G$24="acre-feet","acre-ft/yr","")))</f>
        <v>MG/Yr</v>
      </c>
      <c r="J30" s="176"/>
      <c r="K30" s="176"/>
      <c r="L30" s="175"/>
      <c r="M30" s="175"/>
      <c r="N30" s="137"/>
      <c r="P30" s="39"/>
      <c r="Q30" s="17"/>
    </row>
    <row r="31" spans="1:17" s="104" customFormat="1" ht="2.25" customHeight="1" x14ac:dyDescent="0.25">
      <c r="A31" s="133"/>
      <c r="B31" s="136"/>
      <c r="C31" s="9"/>
      <c r="D31" s="9"/>
      <c r="E31" s="207"/>
      <c r="F31" s="77"/>
      <c r="G31" s="176"/>
      <c r="H31" s="77"/>
      <c r="I31" s="209"/>
      <c r="J31" s="176"/>
      <c r="K31" s="176"/>
      <c r="L31" s="181"/>
      <c r="M31" s="175"/>
      <c r="N31" s="137"/>
      <c r="P31" s="39"/>
      <c r="Q31" s="17"/>
    </row>
    <row r="32" spans="1:17" s="104" customFormat="1" ht="15" customHeight="1" x14ac:dyDescent="0.25">
      <c r="A32" s="133"/>
      <c r="B32" s="136"/>
      <c r="C32" s="372" t="str">
        <f>IF(AND(G30&gt;=G19,(G30&lt;&gt;0)),"               Check input values; WATER SUPPLIED should be greater than AUTHORIZED CONSUMPTION","")</f>
        <v/>
      </c>
      <c r="D32" s="371"/>
      <c r="E32" s="371"/>
      <c r="F32" s="371"/>
      <c r="G32" s="371"/>
      <c r="H32" s="371"/>
      <c r="I32" s="371"/>
      <c r="J32" s="371"/>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195</v>
      </c>
      <c r="D35" s="3"/>
      <c r="E35" s="300"/>
      <c r="F35" s="3"/>
      <c r="G35" s="249">
        <f>G19-G30</f>
        <v>119.41830000000002</v>
      </c>
      <c r="H35" s="4"/>
      <c r="I35" s="208" t="str">
        <f>IF(Instructions!$G$24="million gallons (US)","MG/Yr",IF(Instructions!$G$24="Megalitres (thousand cubic metres)","ML/Yr",IF(Instructions!$G$24="acre-feet","acre-ft/yr","")))</f>
        <v>MG/Yr</v>
      </c>
      <c r="J35" s="4"/>
      <c r="K35" s="518"/>
      <c r="L35" s="4"/>
      <c r="M35" s="4"/>
      <c r="N35" s="137"/>
      <c r="P35" s="39"/>
      <c r="Q35" s="17"/>
    </row>
    <row r="36" spans="1:17" s="104" customFormat="1" ht="5.25" customHeight="1" x14ac:dyDescent="0.25">
      <c r="A36" s="133"/>
      <c r="B36" s="136"/>
      <c r="C36" s="3"/>
      <c r="D36" s="3"/>
      <c r="E36" s="300"/>
      <c r="F36" s="3"/>
      <c r="G36" s="4"/>
      <c r="H36" s="4"/>
      <c r="I36" s="4"/>
      <c r="J36" s="4"/>
      <c r="K36" s="518"/>
      <c r="L36" s="4"/>
      <c r="M36" s="4"/>
      <c r="N36" s="137"/>
      <c r="P36" s="39"/>
      <c r="Q36" s="17"/>
    </row>
    <row r="37" spans="1:17" s="104" customFormat="1" x14ac:dyDescent="0.25">
      <c r="A37" s="133"/>
      <c r="B37" s="136"/>
      <c r="C37" s="182" t="s">
        <v>347</v>
      </c>
      <c r="D37" s="9"/>
      <c r="E37" s="300"/>
      <c r="F37" s="9"/>
      <c r="G37" s="4"/>
      <c r="H37" s="4"/>
      <c r="I37" s="210"/>
      <c r="J37" s="241" t="s">
        <v>104</v>
      </c>
      <c r="K37" s="246"/>
      <c r="L37" s="4" t="s">
        <v>103</v>
      </c>
      <c r="M37" s="4"/>
      <c r="N37" s="137"/>
      <c r="P37" s="39"/>
      <c r="Q37" s="17"/>
    </row>
    <row r="38" spans="1:17" s="104" customFormat="1" ht="15" customHeight="1" x14ac:dyDescent="0.25">
      <c r="A38" s="133"/>
      <c r="B38" s="136"/>
      <c r="C38" s="151" t="s">
        <v>74</v>
      </c>
      <c r="D38" s="9"/>
      <c r="E38" s="383"/>
      <c r="F38" s="9"/>
      <c r="G38" s="249">
        <f>IF(P38=1,J38*$G$19,L38)</f>
        <v>0.71414</v>
      </c>
      <c r="H38" s="183"/>
      <c r="I38" s="208" t="str">
        <f>IF(Instructions!$G$24="million gallons (US)","MG/Yr",IF(Instructions!$G$24="Megalitres (thousand cubic metres)","ML/Yr",IF(Instructions!$G$24="acre-feet","acre-ft/yr","")))</f>
        <v>MG/Yr</v>
      </c>
      <c r="J38" s="254">
        <v>2.5000000000000001E-3</v>
      </c>
      <c r="K38" s="229"/>
      <c r="L38" s="515"/>
      <c r="M38" s="516"/>
      <c r="N38" s="137"/>
      <c r="P38" s="374">
        <v>1</v>
      </c>
      <c r="Q38" s="17"/>
    </row>
    <row r="39" spans="1:17" s="104" customFormat="1" ht="2.25" customHeight="1" x14ac:dyDescent="0.25">
      <c r="A39" s="133"/>
      <c r="B39" s="136"/>
      <c r="C39" s="176"/>
      <c r="D39" s="176"/>
      <c r="E39" s="176"/>
      <c r="F39" s="176"/>
      <c r="G39" s="176"/>
      <c r="H39" s="176"/>
      <c r="I39" s="176"/>
      <c r="J39" s="176"/>
      <c r="K39" s="5"/>
      <c r="L39" s="5"/>
      <c r="M39" s="4"/>
      <c r="N39" s="137"/>
      <c r="P39" s="374"/>
      <c r="Q39" s="17"/>
    </row>
    <row r="40" spans="1:17" s="104" customFormat="1" ht="15" customHeight="1" x14ac:dyDescent="0.25">
      <c r="A40" s="133"/>
      <c r="B40" s="136"/>
      <c r="C40" s="527" t="str">
        <f>IF(P38=1,"                Default option selected for unauthorized consumption - a grading of 5 is applied but not displayed                ",IF(P38=2,IF(L38&gt;0.025*G19,"Unauthorized consumption volume entered is greater than the recommended default value",IF(L38=0,"Enter a positive value, otherwise a default percentage of 0.25% and a grading of 5 is applied",""))))</f>
        <v xml:space="preserve">                Default option selected for unauthorized consumption - a grading of 5 is applied but not displayed                </v>
      </c>
      <c r="D40" s="517"/>
      <c r="E40" s="517"/>
      <c r="F40" s="517"/>
      <c r="G40" s="517"/>
      <c r="H40" s="517"/>
      <c r="I40" s="517"/>
      <c r="J40" s="517"/>
      <c r="K40" s="5"/>
      <c r="L40" s="5"/>
      <c r="M40" s="4"/>
      <c r="N40" s="137"/>
      <c r="P40" s="374"/>
      <c r="Q40" s="17"/>
    </row>
    <row r="41" spans="1:17" s="104" customFormat="1" ht="2.25" customHeight="1" x14ac:dyDescent="0.25">
      <c r="A41" s="133"/>
      <c r="B41" s="136"/>
      <c r="C41" s="151"/>
      <c r="D41" s="9"/>
      <c r="E41" s="9"/>
      <c r="F41" s="9"/>
      <c r="G41" s="368"/>
      <c r="H41" s="9"/>
      <c r="I41" s="208"/>
      <c r="J41" s="4"/>
      <c r="K41" s="5"/>
      <c r="L41" s="5"/>
      <c r="M41" s="4"/>
      <c r="N41" s="137"/>
      <c r="P41" s="374"/>
      <c r="Q41" s="17"/>
    </row>
    <row r="42" spans="1:17" s="104" customFormat="1" ht="15" customHeight="1" x14ac:dyDescent="0.25">
      <c r="A42" s="133"/>
      <c r="B42" s="136"/>
      <c r="C42" s="151" t="s">
        <v>75</v>
      </c>
      <c r="D42" s="9"/>
      <c r="E42" s="383">
        <v>3</v>
      </c>
      <c r="F42" s="9"/>
      <c r="G42" s="249">
        <f>IF(P42=1,((G23+G25)/(1-J42))-(G23+G25),L42)</f>
        <v>8.561421052631573</v>
      </c>
      <c r="H42" s="183"/>
      <c r="I42" s="208" t="str">
        <f>IF(Instructions!$G$24="million gallons (US)","MG/Yr",IF(Instructions!$G$24="Megalitres (thousand cubic metres)","ML/Yr",IF(Instructions!$G$24="acre-feet","acre-ft/yr","")))</f>
        <v>MG/Yr</v>
      </c>
      <c r="J42" s="255">
        <v>0.05</v>
      </c>
      <c r="K42" s="229"/>
      <c r="L42" s="515"/>
      <c r="M42" s="516"/>
      <c r="N42" s="137"/>
      <c r="P42" s="374">
        <v>1</v>
      </c>
      <c r="Q42" s="17"/>
    </row>
    <row r="43" spans="1:17" s="104" customFormat="1" x14ac:dyDescent="0.25">
      <c r="A43" s="133"/>
      <c r="B43" s="136"/>
      <c r="C43" s="151" t="s">
        <v>467</v>
      </c>
      <c r="D43" s="9"/>
      <c r="E43" s="383">
        <v>4</v>
      </c>
      <c r="F43" s="9"/>
      <c r="G43" s="250">
        <v>0</v>
      </c>
      <c r="H43" s="183"/>
      <c r="I43" s="208" t="str">
        <f>IF(Instructions!$G$24="million gallons (US)","MG/Yr",IF(Instructions!$G$24="Megalitres (thousand cubic metres)","ML/Yr",IF(Instructions!$G$24="acre-feet","acre-ft/yr","")))</f>
        <v>MG/Yr</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35" t="str">
        <f>IF(AND($P$42=1,ISBLANK($J$42)),"Enter a percentage less than 10% in the red cell (J42), or select 'Value' option","Choose this option to enter a percentage of billed metered consumption. This is NOT a default value")</f>
        <v>Choose this option to enter a percentage of billed metered consumption. This is NOT a default value</v>
      </c>
      <c r="M44" s="535"/>
      <c r="N44" s="137"/>
      <c r="P44" s="39"/>
      <c r="Q44" s="17"/>
    </row>
    <row r="45" spans="1:17" s="104" customFormat="1" x14ac:dyDescent="0.25">
      <c r="A45" s="133"/>
      <c r="B45" s="136"/>
      <c r="C45" s="534" t="str">
        <f>IF(OR(G19=0,E43="n/a"),"",IF(OR(ISBLANK(G43),G43=0),"Systematic data handling errors are likely, please enter a non-zero value; otherwise grade = 5",""))</f>
        <v>Systematic data handling errors are likely, please enter a non-zero value; otherwise grade = 5</v>
      </c>
      <c r="D45" s="534"/>
      <c r="E45" s="534"/>
      <c r="F45" s="534"/>
      <c r="G45" s="534"/>
      <c r="H45" s="534"/>
      <c r="I45" s="534"/>
      <c r="J45" s="534"/>
      <c r="K45" s="5"/>
      <c r="L45" s="535"/>
      <c r="M45" s="535"/>
      <c r="N45" s="137"/>
      <c r="P45" s="39"/>
      <c r="Q45" s="17"/>
    </row>
    <row r="46" spans="1:17" s="104" customFormat="1" ht="2.25" customHeight="1" x14ac:dyDescent="0.25">
      <c r="A46" s="133"/>
      <c r="B46" s="136"/>
      <c r="C46" s="151"/>
      <c r="D46" s="9"/>
      <c r="E46" s="9"/>
      <c r="F46" s="9"/>
      <c r="G46" s="9"/>
      <c r="H46" s="9"/>
      <c r="I46" s="9"/>
      <c r="J46" s="4"/>
      <c r="K46" s="5"/>
      <c r="L46" s="535"/>
      <c r="M46" s="535"/>
      <c r="N46" s="137"/>
      <c r="P46" s="39"/>
      <c r="Q46" s="17"/>
    </row>
    <row r="47" spans="1:17" s="104" customFormat="1" x14ac:dyDescent="0.25">
      <c r="A47" s="133"/>
      <c r="B47" s="136"/>
      <c r="C47" s="151" t="s">
        <v>314</v>
      </c>
      <c r="D47" s="9"/>
      <c r="E47" s="303"/>
      <c r="F47" s="9"/>
      <c r="G47" s="249">
        <f>G38+G42+G43</f>
        <v>9.2755610526315735</v>
      </c>
      <c r="H47" s="9"/>
      <c r="I47" s="208" t="s">
        <v>114</v>
      </c>
      <c r="J47" s="4"/>
      <c r="K47" s="176"/>
      <c r="L47" s="535"/>
      <c r="M47" s="535"/>
      <c r="N47" s="137"/>
    </row>
    <row r="48" spans="1:17" s="104" customFormat="1" ht="2.25" customHeight="1" x14ac:dyDescent="0.25">
      <c r="A48" s="133"/>
      <c r="B48" s="136"/>
      <c r="C48" s="9"/>
      <c r="D48" s="14"/>
      <c r="E48" s="14"/>
      <c r="F48" s="14"/>
      <c r="G48" s="176"/>
      <c r="H48" s="14"/>
      <c r="I48" s="77"/>
      <c r="J48" s="5"/>
      <c r="K48" s="176"/>
      <c r="L48" s="535"/>
      <c r="M48" s="535"/>
      <c r="N48" s="137"/>
    </row>
    <row r="49" spans="1:14" s="104" customFormat="1" ht="15" customHeight="1" x14ac:dyDescent="0.25">
      <c r="A49" s="133"/>
      <c r="B49" s="136"/>
      <c r="C49" s="530" t="str">
        <f>IF(AND(G47&gt;=G35,(G47&lt;&gt;0)),"Check input values; APPARENT LOSSES should be less than WATER LOSSES","")</f>
        <v/>
      </c>
      <c r="D49" s="530"/>
      <c r="E49" s="530"/>
      <c r="F49" s="530"/>
      <c r="G49" s="530"/>
      <c r="H49" s="530"/>
      <c r="I49" s="530"/>
      <c r="J49" s="530"/>
      <c r="K49" s="176"/>
      <c r="L49" s="535"/>
      <c r="M49" s="535"/>
      <c r="N49" s="137"/>
    </row>
    <row r="50" spans="1:14" s="104" customFormat="1" ht="2.25" customHeight="1" x14ac:dyDescent="0.25">
      <c r="A50" s="133"/>
      <c r="B50" s="136"/>
      <c r="C50" s="9"/>
      <c r="D50" s="14"/>
      <c r="E50" s="364"/>
      <c r="F50" s="14"/>
      <c r="G50" s="176"/>
      <c r="H50" s="14"/>
      <c r="I50" s="77"/>
      <c r="J50" s="5"/>
      <c r="K50" s="176"/>
      <c r="L50" s="535"/>
      <c r="M50" s="535"/>
      <c r="N50" s="137"/>
    </row>
    <row r="51" spans="1:14" s="104" customFormat="1" ht="10.5" customHeight="1" x14ac:dyDescent="0.25">
      <c r="A51" s="133"/>
      <c r="B51" s="136"/>
      <c r="C51" s="182" t="s">
        <v>615</v>
      </c>
      <c r="D51" s="14"/>
      <c r="E51" s="303"/>
      <c r="F51" s="14"/>
      <c r="G51" s="209"/>
      <c r="H51" s="176"/>
      <c r="I51" s="209"/>
      <c r="J51" s="176"/>
      <c r="K51" s="176"/>
      <c r="L51" s="535"/>
      <c r="M51" s="535"/>
      <c r="N51" s="137"/>
    </row>
    <row r="52" spans="1:14" s="104" customFormat="1" x14ac:dyDescent="0.25">
      <c r="A52" s="133"/>
      <c r="B52" s="136"/>
      <c r="C52" s="151" t="s">
        <v>372</v>
      </c>
      <c r="D52" s="14"/>
      <c r="E52" s="303"/>
      <c r="F52" s="14"/>
      <c r="G52" s="249">
        <f>G19-(G30+G47)</f>
        <v>110.14273894736846</v>
      </c>
      <c r="H52" s="14"/>
      <c r="I52" s="208" t="str">
        <f>IF(Instructions!$G$24="million gallons (US)","MG/Yr",IF(Instructions!$G$24="Megalitres (thousand cubic metres)","ML/Yr",IF(Instructions!$G$24="acre-feet","acre-ft/yr","")))</f>
        <v>MG/Yr</v>
      </c>
      <c r="J52" s="176"/>
      <c r="K52" s="176"/>
      <c r="L52" s="5"/>
      <c r="M52" s="4"/>
      <c r="N52" s="137"/>
    </row>
    <row r="53" spans="1:14" s="104" customFormat="1" ht="6.75" customHeight="1" x14ac:dyDescent="0.25">
      <c r="A53" s="133"/>
      <c r="B53" s="136"/>
      <c r="C53" s="9"/>
      <c r="D53" s="14"/>
      <c r="E53" s="303"/>
      <c r="F53" s="14"/>
      <c r="G53" s="129"/>
      <c r="H53" s="14"/>
      <c r="I53" s="13"/>
      <c r="J53" s="176"/>
      <c r="K53" s="176"/>
      <c r="L53" s="5"/>
      <c r="M53" s="4"/>
      <c r="N53" s="137"/>
    </row>
    <row r="54" spans="1:14" s="104" customFormat="1" x14ac:dyDescent="0.25">
      <c r="A54" s="133"/>
      <c r="B54" s="136"/>
      <c r="C54" s="178" t="s">
        <v>188</v>
      </c>
      <c r="D54" s="82"/>
      <c r="E54" s="303"/>
      <c r="F54" s="16"/>
      <c r="G54" s="249">
        <f>G47+G52</f>
        <v>119.41830000000003</v>
      </c>
      <c r="H54" s="5"/>
      <c r="I54" s="208" t="str">
        <f>IF(Instructions!$G$24="million gallons (US)","MG/Yr",IF(Instructions!$G$24="Megalitres (thousand cubic metres)","ML/Yr",IF(Instructions!$G$24="acre-feet","acre-ft/yr","")))</f>
        <v>MG/Yr</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487</v>
      </c>
      <c r="D57" s="14"/>
      <c r="E57" s="303"/>
      <c r="F57" s="14"/>
      <c r="G57" s="129"/>
      <c r="H57" s="14"/>
      <c r="I57" s="13"/>
      <c r="J57" s="176"/>
      <c r="K57" s="176"/>
      <c r="L57" s="5"/>
      <c r="M57" s="4"/>
      <c r="N57" s="137"/>
    </row>
    <row r="58" spans="1:14" s="104" customFormat="1" ht="13.5" customHeight="1" x14ac:dyDescent="0.25">
      <c r="A58" s="133"/>
      <c r="B58" s="136"/>
      <c r="C58" s="9" t="s">
        <v>81</v>
      </c>
      <c r="D58" s="14"/>
      <c r="E58" s="303"/>
      <c r="F58" s="14"/>
      <c r="G58" s="249">
        <f>G47+G52+G25+G26</f>
        <v>124.45600000000003</v>
      </c>
      <c r="H58" s="14"/>
      <c r="I58" s="208" t="str">
        <f>IF(Instructions!$G$24="million gallons (US)","MG/Yr",IF(Instructions!$G$24="Megalitres (thousand cubic metres)","ML/Yr",IF(Instructions!$G$24="acre-feet","acre-ft/yr","")))</f>
        <v>MG/Yr</v>
      </c>
      <c r="J58" s="176"/>
      <c r="K58" s="176"/>
      <c r="L58" s="5"/>
      <c r="M58" s="4"/>
      <c r="N58" s="137"/>
    </row>
    <row r="59" spans="1:14" s="104" customFormat="1" ht="13.5" customHeight="1" x14ac:dyDescent="0.25">
      <c r="A59" s="133"/>
      <c r="B59" s="136"/>
      <c r="C59" s="404" t="s">
        <v>226</v>
      </c>
      <c r="D59" s="405"/>
      <c r="E59" s="405"/>
      <c r="F59" s="405"/>
      <c r="G59" s="405"/>
      <c r="H59" s="405"/>
      <c r="I59" s="405"/>
      <c r="J59" s="405"/>
      <c r="K59" s="405"/>
      <c r="L59" s="405"/>
      <c r="M59" s="405"/>
      <c r="N59" s="137"/>
    </row>
    <row r="60" spans="1:14" s="104" customFormat="1" ht="16.5" customHeight="1" x14ac:dyDescent="0.25">
      <c r="A60" s="133"/>
      <c r="B60" s="136"/>
      <c r="C60" s="3" t="s">
        <v>29</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76</v>
      </c>
      <c r="D62" s="3"/>
      <c r="E62" s="383">
        <v>3</v>
      </c>
      <c r="F62" s="3"/>
      <c r="G62" s="223">
        <v>43</v>
      </c>
      <c r="H62" s="186"/>
      <c r="I62" s="211" t="str">
        <f>IF(ISBLANK(Instructions!$G$24),"",IF(Instructions!$G$24="Megalitres (thousand cubic metres)","kilometers","miles"))</f>
        <v>miles</v>
      </c>
      <c r="J62" s="4"/>
      <c r="K62" s="4"/>
      <c r="L62" s="4"/>
      <c r="M62" s="4"/>
      <c r="N62" s="137"/>
    </row>
    <row r="63" spans="1:14" s="104" customFormat="1" x14ac:dyDescent="0.25">
      <c r="A63" s="133"/>
      <c r="B63" s="136"/>
      <c r="C63" s="151" t="s">
        <v>66</v>
      </c>
      <c r="D63" s="3"/>
      <c r="E63" s="383">
        <v>3</v>
      </c>
      <c r="F63" s="3"/>
      <c r="G63" s="100">
        <v>3700</v>
      </c>
      <c r="H63" s="186"/>
      <c r="I63" s="210"/>
      <c r="J63" s="4"/>
      <c r="K63" s="4"/>
      <c r="L63" s="4"/>
      <c r="M63" s="4"/>
      <c r="N63" s="137"/>
    </row>
    <row r="64" spans="1:14" s="104" customFormat="1" x14ac:dyDescent="0.25">
      <c r="A64" s="133"/>
      <c r="B64" s="136"/>
      <c r="C64" s="151" t="s">
        <v>30</v>
      </c>
      <c r="D64" s="3"/>
      <c r="E64" s="386"/>
      <c r="F64" s="3"/>
      <c r="G64" s="117">
        <f>IF(ISERROR(G63/G62),"",G63/G62)</f>
        <v>86.04651162790698</v>
      </c>
      <c r="H64" s="4"/>
      <c r="I64" s="211" t="str">
        <f>IF(ISBLANK(Instructions!$G$24),"",IF(Instructions!$G$24="Megalitres (thousand cubic metres)","conn./km","conn./mile")&amp; " main")</f>
        <v>conn./mile main</v>
      </c>
      <c r="J64" s="176"/>
      <c r="K64" s="176"/>
      <c r="L64" s="4"/>
      <c r="M64" s="4"/>
      <c r="N64" s="137"/>
    </row>
    <row r="65" spans="1:16" s="104" customFormat="1" ht="13.5" customHeight="1" x14ac:dyDescent="0.25">
      <c r="A65" s="133"/>
      <c r="B65" s="136"/>
      <c r="C65" s="407" t="s">
        <v>373</v>
      </c>
      <c r="D65" s="3"/>
      <c r="E65" s="383">
        <v>3</v>
      </c>
      <c r="F65" s="3"/>
      <c r="G65" s="223">
        <v>100</v>
      </c>
      <c r="H65" s="3"/>
      <c r="I65" s="211" t="str">
        <f>IF(ISBLANK(Instructions!$G$24),"",IF(Instructions!G24="Megalitres (thousand cubic metres)","metres","ft"))</f>
        <v>ft</v>
      </c>
      <c r="J65" s="532"/>
      <c r="K65" s="533"/>
      <c r="L65" s="533"/>
      <c r="M65" s="533"/>
      <c r="N65" s="137"/>
    </row>
    <row r="66" spans="1:16" s="104" customFormat="1" x14ac:dyDescent="0.25">
      <c r="A66" s="133"/>
      <c r="B66" s="136"/>
      <c r="C66" s="4"/>
      <c r="D66" s="3"/>
      <c r="E66" s="386"/>
      <c r="F66" s="3"/>
      <c r="G66" s="38"/>
      <c r="H66" s="3"/>
      <c r="I66" s="4"/>
      <c r="J66" s="533"/>
      <c r="K66" s="533"/>
      <c r="L66" s="533"/>
      <c r="M66" s="533"/>
      <c r="N66" s="137"/>
    </row>
    <row r="67" spans="1:16" s="104" customFormat="1" x14ac:dyDescent="0.25">
      <c r="A67" s="133"/>
      <c r="B67" s="136"/>
      <c r="C67" s="151" t="s">
        <v>77</v>
      </c>
      <c r="D67" s="3"/>
      <c r="E67" s="383">
        <v>2</v>
      </c>
      <c r="F67" s="3"/>
      <c r="G67" s="223">
        <v>65</v>
      </c>
      <c r="H67" s="187"/>
      <c r="I67" s="211" t="str">
        <f>IF(ISBLANK(Instructions!$G$24),"",IF(Instructions!G24="Megalitres (thousand cubic metres)","metres (head)","psi"))</f>
        <v>psi</v>
      </c>
      <c r="J67" s="4"/>
      <c r="K67" s="180"/>
      <c r="L67" s="4"/>
      <c r="M67" s="4"/>
      <c r="N67" s="137"/>
    </row>
    <row r="68" spans="1:16" s="104" customFormat="1" ht="3" customHeight="1" x14ac:dyDescent="0.25">
      <c r="A68" s="133"/>
      <c r="B68" s="136"/>
      <c r="C68" s="151"/>
      <c r="D68" s="3"/>
      <c r="E68" s="3"/>
      <c r="F68" s="3"/>
      <c r="G68" s="3"/>
      <c r="H68" s="3"/>
      <c r="I68" s="211"/>
      <c r="J68" s="4"/>
      <c r="K68" s="180"/>
      <c r="L68" s="4"/>
      <c r="M68" s="4"/>
      <c r="N68" s="137"/>
    </row>
    <row r="69" spans="1:16" s="104" customFormat="1" x14ac:dyDescent="0.25">
      <c r="A69" s="133"/>
      <c r="B69" s="136"/>
      <c r="C69" s="517" t="str">
        <f>IF(ISBLANK(G67),"",IF(OR(AND(P69=1,G67&lt;=25),AND(P69&lt;&gt;1,G67&lt;=40)),"Note: Average pressure this low will not allow for calculation of UARL",""))</f>
        <v/>
      </c>
      <c r="D69" s="517"/>
      <c r="E69" s="517"/>
      <c r="F69" s="517"/>
      <c r="G69" s="517"/>
      <c r="H69" s="517"/>
      <c r="I69" s="517"/>
      <c r="J69" s="517"/>
      <c r="K69" s="327"/>
      <c r="L69" s="4"/>
      <c r="M69" s="4"/>
      <c r="N69" s="137"/>
      <c r="P69" s="104">
        <f>IF(Instructions!G24="Megalitres (thousand cubic metres)",1,0)</f>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249</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78</v>
      </c>
      <c r="D74" s="9"/>
      <c r="E74" s="383">
        <v>8</v>
      </c>
      <c r="F74" s="4"/>
      <c r="G74" s="365">
        <v>1240000</v>
      </c>
      <c r="H74" s="4"/>
      <c r="I74" s="211" t="s">
        <v>257</v>
      </c>
      <c r="J74" s="4"/>
      <c r="K74" s="4"/>
      <c r="L74" s="4"/>
      <c r="M74" s="4"/>
      <c r="N74" s="137"/>
    </row>
    <row r="75" spans="1:16" s="104" customFormat="1" ht="14.25" customHeight="1" x14ac:dyDescent="0.25">
      <c r="A75" s="133"/>
      <c r="B75" s="136"/>
      <c r="C75" s="188" t="s">
        <v>225</v>
      </c>
      <c r="D75" s="9"/>
      <c r="E75" s="383">
        <v>8</v>
      </c>
      <c r="F75" s="4"/>
      <c r="G75" s="366">
        <v>14.31</v>
      </c>
      <c r="H75" s="4"/>
      <c r="I75" s="538" t="s">
        <v>80</v>
      </c>
      <c r="J75" s="539"/>
      <c r="K75" s="540"/>
      <c r="L75" s="536" t="str">
        <f>IF(AND(NOT(ISBLANK(G75)),ISBLANK(I75)),"&lt;--Enter units","")</f>
        <v/>
      </c>
      <c r="M75" s="537"/>
      <c r="N75" s="137"/>
    </row>
    <row r="76" spans="1:16" s="104" customFormat="1" ht="13.5" customHeight="1" x14ac:dyDescent="0.25">
      <c r="A76" s="133"/>
      <c r="B76" s="136"/>
      <c r="C76" s="188" t="s">
        <v>34</v>
      </c>
      <c r="D76" s="9"/>
      <c r="E76" s="383">
        <v>8</v>
      </c>
      <c r="F76" s="4"/>
      <c r="G76" s="366">
        <v>334.02</v>
      </c>
      <c r="H76" s="4"/>
      <c r="I76" s="208" t="str">
        <f>"$/"&amp;IF(Instructions!$G$24="million gallons (US)","Million gallons",IF(Instructions!$G$24="Megalitres (thousand cubic metres)","Megalitre",IF(Instructions!$G$24="acre-feet","acre-ft","")))</f>
        <v>$/Million gallons</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1" t="str">
        <f>IF(OR(ISBLANK(I75),ISBLANK(I76),ISBLANK(G76)),"",IF(G75*INDEX(Sheet1!B2:D4,MATCH(Instructions!G24,Sheet1!A2:A4,0),MATCH(I75,Sheet1!B1:D1,0))/G76&gt;1,"","Retail costs are less than (or equal to) production costs; please review and correct if necessary"))</f>
        <v/>
      </c>
      <c r="D78" s="531"/>
      <c r="E78" s="531"/>
      <c r="F78" s="531"/>
      <c r="G78" s="531"/>
      <c r="H78" s="531"/>
      <c r="I78" s="531"/>
      <c r="J78" s="531"/>
      <c r="K78" s="531"/>
      <c r="L78" s="531"/>
      <c r="M78" s="4"/>
      <c r="N78" s="137"/>
      <c r="P78" s="104">
        <f>IF(OR(ISBLANK(I75),ISBLANK(I76),ISBLANK(G76)),"",IF(G75*INDEX(Sheet1!B2:D4,MATCH(Instructions!G24,Sheet1!A2:A4,0),MATCH(I75,Sheet1!B1:D1,0))/G76&gt;1,0,1))</f>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253</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254</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599</v>
      </c>
      <c r="H84" s="4"/>
      <c r="I84" s="79">
        <f>IF(ISERROR(1/G19),"",(G25+G26+G47+G52)/G19)</f>
        <v>0.43568487971546205</v>
      </c>
      <c r="J84" s="210"/>
      <c r="K84" s="210"/>
      <c r="L84" s="4"/>
      <c r="M84" s="4"/>
      <c r="N84" s="137"/>
    </row>
    <row r="85" spans="1:14" s="104" customFormat="1" ht="13.5" customHeight="1" x14ac:dyDescent="0.25">
      <c r="A85" s="133"/>
      <c r="B85" s="136"/>
      <c r="C85" s="176"/>
      <c r="D85" s="3"/>
      <c r="E85" s="295"/>
      <c r="F85" s="3"/>
      <c r="G85" s="151" t="s">
        <v>598</v>
      </c>
      <c r="H85" s="4"/>
      <c r="I85" s="79">
        <f>IF(ISERROR(1/G74),"",(((G25+G26+G52)*G76)+(G47*G75*INDEX(Sheet1!B2:D4,MATCH(Instructions!G24,Sheet1!A2:A4,0),MATCH(I75,Sheet1!B1:D1,0))))/G74)</f>
        <v>0.1380692329680305</v>
      </c>
      <c r="J85" s="210"/>
      <c r="K85" s="210"/>
      <c r="L85" s="4"/>
      <c r="M85" s="4"/>
      <c r="N85" s="137"/>
    </row>
    <row r="86" spans="1:14" s="104" customFormat="1" ht="13.5" customHeight="1" x14ac:dyDescent="0.25">
      <c r="A86" s="133"/>
      <c r="B86" s="136"/>
      <c r="C86" s="176"/>
      <c r="D86" s="3"/>
      <c r="E86" s="295"/>
      <c r="F86" s="3"/>
      <c r="G86" s="151" t="s">
        <v>35</v>
      </c>
      <c r="H86" s="4"/>
      <c r="I86" s="119">
        <f>IF(ISBLANK(I75),"",(G47*G75)*INDEX(Sheet1!B2:D4,MATCH(Instructions!G24,Sheet1!A2:A4,0),MATCH('Reporting Worksheet'!I75:J75,Sheet1!B1:D1,0)))</f>
        <v>132733.27866315781</v>
      </c>
      <c r="J86" s="210"/>
      <c r="K86" s="210"/>
      <c r="L86" s="4"/>
      <c r="M86" s="4"/>
      <c r="N86" s="137"/>
    </row>
    <row r="87" spans="1:14" s="104" customFormat="1" ht="13.5" customHeight="1" x14ac:dyDescent="0.25">
      <c r="A87" s="133"/>
      <c r="B87" s="136"/>
      <c r="C87" s="176"/>
      <c r="D87" s="3"/>
      <c r="E87" s="295"/>
      <c r="F87" s="3"/>
      <c r="G87" s="151" t="s">
        <v>196</v>
      </c>
      <c r="H87" s="4"/>
      <c r="I87" s="119">
        <f>IF(ISBLANK(G76),"",G52*G76)</f>
        <v>36789.877663200008</v>
      </c>
      <c r="J87" s="210"/>
      <c r="K87" s="210"/>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255</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311</v>
      </c>
      <c r="H91" s="4"/>
      <c r="I91" s="37">
        <f>IF(ISERROR(1/G63),"",IF(Instructions!$G$24="Acre-feet",G47*325851/1000000,G47)*1000000/365/G63)</f>
        <v>6.8682421715154192</v>
      </c>
      <c r="J91" s="211" t="str">
        <f>IF(ISBLANK(Instructions!$G$24),"",IF(Instructions!$G$24="Megalitres (thousand cubic metres)","litres","gallons")&amp;"/connection/day")</f>
        <v>gallons/connection/day</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312</v>
      </c>
      <c r="H93" s="4"/>
      <c r="I93" s="406">
        <f>IF(ISERROR(1/G63),"",IF(Instructions!$G$24="Megalitres (thousand cubic metres)",IF(G64&gt;20,G52*1000000/365/G63,"N/A"),IF(G64&gt;32,IF(Instructions!$G$24="Million gallons (US)",G52*1000000,G52*325851)/365/G63,"N/A")))</f>
        <v>81.557007735926291</v>
      </c>
      <c r="J93" s="211" t="str">
        <f>IF(ISBLANK(Instructions!$G$24),"",IF(Instructions!$G$24="Megalitres (thousand cubic metres)","litres","gallons")&amp;"/connection/day")</f>
        <v>gallons/connection/day</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313</v>
      </c>
      <c r="H95" s="4"/>
      <c r="I95" s="406" t="str">
        <f>IF(ISERROR(1/G62),"",IF(I93="N/A",IF(Instructions!$G$24="Acre-feet",G52*325851/1000000,G52)*1000000/365/G62,"N/A"))</f>
        <v>N/A</v>
      </c>
      <c r="J95" s="211" t="str">
        <f>IF(ISBLANK(Instructions!$G$24),"",IF(I95="N/A","",IF(Instructions!$G$24="Megalitres (thousand cubic metres)","litres/km","gallons/mile")&amp;"/day"))</f>
        <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tr">
        <f>"Real Losses per service connection per day per "&amp; IF(I67="psi","psi pressure","meter (head) pressure")&amp;":"</f>
        <v>Real Losses per service connection per day per psi pressure:</v>
      </c>
      <c r="H97" s="4"/>
      <c r="I97" s="116">
        <f>IF(ISERROR(I93/G67),"",I93/G67)</f>
        <v>1.2547231959373275</v>
      </c>
      <c r="J97" s="211" t="str">
        <f>IF(ISBLANK(Instructions!$G$24),"",IF(Instructions!$G$24="Megalitres (thousand cubic metres)","litres/connection/day/m","gallons/connection/day/psi"))</f>
        <v>gallons/connection/day/psi</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256</v>
      </c>
      <c r="H99" s="4"/>
      <c r="I99" s="477">
        <f>IF(ISBLANK(Instructions!$G$24),"",IF(Instructions!$G$24="Megalitres (thousand cubic metres)",IF(AND(G67&gt;=25,G62*20+G63&gt;3000),(((18*G62)+(0.8*G63)+(25*(G63*G65/1000)))*G67/1000000)*365,"Not valid"),IF(AND(G67&gt;=35,G62*32+G63&gt;3000),(((5.41*G62)+(0.15*G63)+(7.5*(G63*G65/5280)))*G67)/IF(Instructions!$G$24="Million gallons (US)",1000000,325851.427242)*365,"Not Valid")))</f>
        <v>31.155626863636368</v>
      </c>
      <c r="J99" s="211" t="str">
        <f>IF(OR(ISBLANK(Instructions!$G$24),I99="Not Valid"),"",IF(Instructions!$G$24="Megalitres (thousand cubic metres)","ML",IF(Instructions!$G$24="Acre-feet", "acre-feet","million gallons"))&amp;"/year")</f>
        <v>million gallons/year</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541" t="str">
        <f>IF(I99="Not Valid","*** UARL cannot be calculated as either average pressure, number of connecions or length of mains is too small: SEE UARL DEFINITION ***","")</f>
        <v/>
      </c>
      <c r="D101" s="542"/>
      <c r="E101" s="542"/>
      <c r="F101" s="542"/>
      <c r="G101" s="542"/>
      <c r="H101" s="542"/>
      <c r="I101" s="542"/>
      <c r="J101" s="542"/>
      <c r="K101" s="542"/>
      <c r="L101" s="542"/>
      <c r="M101" s="542"/>
      <c r="N101" s="137"/>
    </row>
    <row r="102" spans="1:16" s="104" customFormat="1" ht="2.25" customHeight="1" x14ac:dyDescent="0.25">
      <c r="A102" s="133"/>
      <c r="B102" s="136"/>
      <c r="C102" s="387"/>
      <c r="D102" s="387"/>
      <c r="E102" s="387"/>
      <c r="F102" s="387"/>
      <c r="G102" s="387"/>
      <c r="H102" s="387"/>
      <c r="I102" s="387"/>
      <c r="J102" s="387"/>
      <c r="K102" s="387"/>
      <c r="L102" s="387"/>
      <c r="M102" s="387"/>
      <c r="N102" s="137"/>
    </row>
    <row r="103" spans="1:16" s="104" customFormat="1" ht="13.5" customHeight="1" x14ac:dyDescent="0.25">
      <c r="A103" s="133"/>
      <c r="B103" s="136"/>
      <c r="C103" s="455"/>
      <c r="D103" s="455"/>
      <c r="E103" s="455"/>
      <c r="F103" s="455"/>
      <c r="G103" s="456" t="s">
        <v>617</v>
      </c>
      <c r="H103" s="454"/>
      <c r="I103" s="116">
        <f>IF(ISBLANK(Instructions!$G$24),"",G52)</f>
        <v>110.14273894736846</v>
      </c>
      <c r="J103" s="455" t="str">
        <f>IF(OR(ISBLANK(Instructions!$G$24),I99="Not Valid"),"",IF(Instructions!$G$24="Megalitres (thousand cubic metres)","ML",IF(Instructions!$G$24="Acre-feet", "acre-feet","million gallons"))&amp;"/year")</f>
        <v>million gallons/year</v>
      </c>
      <c r="K103" s="454"/>
      <c r="L103" s="454"/>
      <c r="M103" s="454"/>
      <c r="N103" s="137"/>
    </row>
    <row r="104" spans="1:16" s="104" customFormat="1" ht="8.25" customHeight="1" x14ac:dyDescent="0.25">
      <c r="A104" s="133"/>
      <c r="B104" s="136"/>
      <c r="C104" s="387"/>
      <c r="D104" s="387"/>
      <c r="E104" s="387"/>
      <c r="F104" s="387"/>
      <c r="G104" s="387"/>
      <c r="H104" s="387"/>
      <c r="I104" s="387"/>
      <c r="J104" s="387"/>
      <c r="K104" s="387"/>
      <c r="L104" s="387"/>
      <c r="M104" s="387"/>
      <c r="N104" s="137"/>
    </row>
    <row r="105" spans="1:16" s="104" customFormat="1" ht="13.5" customHeight="1" x14ac:dyDescent="0.25">
      <c r="A105" s="133"/>
      <c r="B105" s="136"/>
      <c r="C105" s="551" t="s">
        <v>616</v>
      </c>
      <c r="D105" s="551"/>
      <c r="E105" s="551"/>
      <c r="F105" s="551"/>
      <c r="G105" s="551"/>
      <c r="H105" s="80"/>
      <c r="I105" s="247">
        <f>IF(ISERROR(1/I99),"",I103/I99)</f>
        <v>3.5352438719800809</v>
      </c>
      <c r="J105" s="210"/>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64</v>
      </c>
      <c r="D107" s="206"/>
      <c r="E107" s="306"/>
      <c r="F107" s="206"/>
      <c r="G107" s="206"/>
      <c r="H107" s="4"/>
      <c r="I107" s="4"/>
      <c r="J107" s="4"/>
      <c r="K107" s="192"/>
      <c r="L107" s="4"/>
      <c r="M107" s="4"/>
      <c r="N107" s="137"/>
    </row>
    <row r="108" spans="1:16" s="338" customFormat="1" ht="21" customHeight="1" x14ac:dyDescent="0.25">
      <c r="A108" s="334"/>
      <c r="B108" s="136"/>
      <c r="C108" s="335" t="s">
        <v>162</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48" t="str">
        <f>IF(GradingAssessment!M22&lt;=0,"*** YOUR SCORE IS: "&amp;ROUND(GradingAssessment!G22,0)&amp;" out of 100 ***",IF(GradingAssessment!M22&gt;0,"Add a grading value for "&amp;GradingAssessment!M22&amp;" parameter(s) to enable an audit score to be calculated"))</f>
        <v>*** YOUR SCORE IS: 65 out of 100 ***</v>
      </c>
      <c r="D110" s="549"/>
      <c r="E110" s="549"/>
      <c r="F110" s="549"/>
      <c r="G110" s="549"/>
      <c r="H110" s="549"/>
      <c r="I110" s="549"/>
      <c r="J110" s="549"/>
      <c r="K110" s="549"/>
      <c r="L110" s="549"/>
      <c r="M110" s="550"/>
      <c r="N110" s="328"/>
      <c r="P110" s="377">
        <f>GradingAssessment!M22</f>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45" t="str">
        <f>IF(GradingAssessment!M22&lt;=0,"A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112" s="545"/>
      <c r="E112" s="545"/>
      <c r="F112" s="545"/>
      <c r="G112" s="545"/>
      <c r="H112" s="545"/>
      <c r="I112" s="545"/>
      <c r="J112" s="545"/>
      <c r="K112" s="545"/>
      <c r="L112" s="545"/>
      <c r="M112" s="545"/>
      <c r="N112" s="328"/>
      <c r="P112" s="377"/>
    </row>
    <row r="113" spans="1:14" s="104" customFormat="1" ht="21.75" customHeight="1" x14ac:dyDescent="0.25">
      <c r="A113" s="133"/>
      <c r="B113" s="136"/>
      <c r="C113" s="408" t="s">
        <v>85</v>
      </c>
      <c r="D113" s="543"/>
      <c r="E113" s="544"/>
      <c r="F113" s="544"/>
      <c r="G113" s="544"/>
      <c r="H113" s="544"/>
      <c r="I113" s="544"/>
      <c r="J113" s="544"/>
      <c r="K113" s="544"/>
      <c r="L113" s="544"/>
      <c r="M113" s="544"/>
      <c r="N113" s="137"/>
    </row>
    <row r="114" spans="1:14" s="104" customFormat="1" ht="19.5" customHeight="1" x14ac:dyDescent="0.25">
      <c r="A114" s="133"/>
      <c r="B114" s="136"/>
      <c r="C114" s="546" t="s">
        <v>161</v>
      </c>
      <c r="D114" s="547"/>
      <c r="E114" s="547"/>
      <c r="F114" s="547"/>
      <c r="G114" s="547"/>
      <c r="H114" s="547"/>
      <c r="I114" s="547"/>
      <c r="J114" s="547"/>
      <c r="K114" s="547"/>
      <c r="L114" s="547"/>
      <c r="M114" s="547"/>
      <c r="N114" s="137"/>
    </row>
    <row r="115" spans="1:14" s="104" customFormat="1" ht="15" customHeight="1" x14ac:dyDescent="0.25">
      <c r="A115" s="133"/>
      <c r="B115" s="136"/>
      <c r="C115" s="409" t="str">
        <f ca="1">"     1: "&amp;VLOOKUP(1,GradingAssessment!$I$4:$J$21,2,FALSE)</f>
        <v xml:space="preserve">     1: Volume from own sources</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09" t="str">
        <f ca="1">"     2: "&amp;VLOOKUP(2,GradingAssessment!$I$4:$J$21,2,FALSE)</f>
        <v xml:space="preserve">     2: Customer metering inaccuracies</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09" t="str">
        <f ca="1">"     3: "&amp;VLOOKUP(3,GradingAssessment!$I$4:$J$21,2,FALSE)</f>
        <v xml:space="preserve">     3: Billed metered</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156" priority="1" stopIfTrue="1">
      <formula>E14=""=TRUE</formula>
    </cfRule>
  </conditionalFormatting>
  <conditionalFormatting sqref="C32">
    <cfRule type="expression" dxfId="155" priority="2" stopIfTrue="1">
      <formula>AND(G30&gt;=G19,(G30&lt;&gt;0))</formula>
    </cfRule>
  </conditionalFormatting>
  <conditionalFormatting sqref="D32">
    <cfRule type="expression" dxfId="154" priority="3" stopIfTrue="1">
      <formula>AND(G30&gt;=G19,(G30&lt;&gt;0))</formula>
    </cfRule>
  </conditionalFormatting>
  <conditionalFormatting sqref="F32">
    <cfRule type="expression" dxfId="153" priority="4" stopIfTrue="1">
      <formula>AND(G30&gt;=G19,(G30&lt;&gt;0))</formula>
    </cfRule>
  </conditionalFormatting>
  <conditionalFormatting sqref="G32">
    <cfRule type="expression" dxfId="152" priority="5" stopIfTrue="1">
      <formula>AND(G30&gt;=G19,(G30&lt;&gt;0))</formula>
    </cfRule>
  </conditionalFormatting>
  <conditionalFormatting sqref="H32">
    <cfRule type="expression" dxfId="151" priority="6" stopIfTrue="1">
      <formula>AND(G30&gt;=G19,(G30&lt;&gt;0))</formula>
    </cfRule>
  </conditionalFormatting>
  <conditionalFormatting sqref="J32">
    <cfRule type="expression" dxfId="150" priority="7" stopIfTrue="1">
      <formula>AND(G30&gt;=G19,(G30&lt;&gt;0))</formula>
    </cfRule>
  </conditionalFormatting>
  <conditionalFormatting sqref="I32">
    <cfRule type="expression" dxfId="149" priority="8" stopIfTrue="1">
      <formula>AND(G30&gt;=G19,(G30&lt;&gt;0))</formula>
    </cfRule>
  </conditionalFormatting>
  <conditionalFormatting sqref="E32">
    <cfRule type="expression" dxfId="148" priority="9" stopIfTrue="1">
      <formula>AND(G30&gt;=G19,(G30&lt;&gt;0))</formula>
    </cfRule>
  </conditionalFormatting>
  <conditionalFormatting sqref="F111">
    <cfRule type="expression" dxfId="147" priority="10" stopIfTrue="1">
      <formula>"B106=0"</formula>
    </cfRule>
  </conditionalFormatting>
  <conditionalFormatting sqref="A110:A112 N110:IV112 D111 G111:M111">
    <cfRule type="expression" dxfId="146" priority="11" stopIfTrue="1">
      <formula>"M22=0"</formula>
    </cfRule>
  </conditionalFormatting>
  <conditionalFormatting sqref="G35 G42 G38 G30 G23:G26">
    <cfRule type="cellIs" dxfId="145" priority="12" stopIfTrue="1" operator="greaterThan">
      <formula>$G$19</formula>
    </cfRule>
  </conditionalFormatting>
  <conditionalFormatting sqref="G47">
    <cfRule type="cellIs" dxfId="144" priority="13" stopIfTrue="1" operator="greaterThan">
      <formula>$G$35</formula>
    </cfRule>
  </conditionalFormatting>
  <conditionalFormatting sqref="L38">
    <cfRule type="expression" dxfId="143" priority="14" stopIfTrue="1">
      <formula>$P$38=1</formula>
    </cfRule>
  </conditionalFormatting>
  <conditionalFormatting sqref="L42:M42">
    <cfRule type="expression" dxfId="142" priority="15" stopIfTrue="1">
      <formula>$P$42=1</formula>
    </cfRule>
  </conditionalFormatting>
  <conditionalFormatting sqref="J38">
    <cfRule type="expression" dxfId="141" priority="16" stopIfTrue="1">
      <formula>$P$38=2</formula>
    </cfRule>
  </conditionalFormatting>
  <conditionalFormatting sqref="G41">
    <cfRule type="expression" dxfId="140" priority="17" stopIfTrue="1">
      <formula>$P$38=2</formula>
    </cfRule>
  </conditionalFormatting>
  <conditionalFormatting sqref="F29">
    <cfRule type="expression" dxfId="139" priority="18" stopIfTrue="1">
      <formula>$P$26=2</formula>
    </cfRule>
  </conditionalFormatting>
  <conditionalFormatting sqref="L26">
    <cfRule type="expression" dxfId="138" priority="19" stopIfTrue="1">
      <formula>$P$26=1</formula>
    </cfRule>
  </conditionalFormatting>
  <conditionalFormatting sqref="J26">
    <cfRule type="expression" dxfId="137" priority="20" stopIfTrue="1">
      <formula>$P$26=2</formula>
    </cfRule>
  </conditionalFormatting>
  <conditionalFormatting sqref="C49:J49">
    <cfRule type="expression" dxfId="136" priority="21" stopIfTrue="1">
      <formula>AND($G$47&gt;=$G$35,($G$47&lt;&gt;0))</formula>
    </cfRule>
  </conditionalFormatting>
  <conditionalFormatting sqref="C69:J69">
    <cfRule type="expression" dxfId="135" priority="22" stopIfTrue="1">
      <formula>OR(AND(NOT(ISBLANK($G$67)),$P$69=1,$G$67&lt;=25),AND(NOT(ISBLANK($G$67)),$P$69&lt;&gt;1,$G$67&lt;=40))</formula>
    </cfRule>
  </conditionalFormatting>
  <conditionalFormatting sqref="C78:L78">
    <cfRule type="expression" dxfId="134" priority="23" stopIfTrue="1">
      <formula>$P$78=1</formula>
    </cfRule>
  </conditionalFormatting>
  <conditionalFormatting sqref="C28:J28">
    <cfRule type="expression" dxfId="133" priority="24" stopIfTrue="1">
      <formula>AND($P$26=2,$L$26&gt;0.125*$G$19)</formula>
    </cfRule>
    <cfRule type="expression" dxfId="132" priority="25" stopIfTrue="1">
      <formula>$P$26=1</formula>
    </cfRule>
    <cfRule type="expression" dxfId="131" priority="26" stopIfTrue="1">
      <formula>AND($P$26=2,$L$26=0)</formula>
    </cfRule>
  </conditionalFormatting>
  <conditionalFormatting sqref="C40:J40">
    <cfRule type="expression" dxfId="130" priority="27" stopIfTrue="1">
      <formula>AND($P$38=2,$L$38&gt;0.025*$G$19)</formula>
    </cfRule>
    <cfRule type="expression" dxfId="129" priority="28" stopIfTrue="1">
      <formula>$P$38=1</formula>
    </cfRule>
    <cfRule type="expression" dxfId="128" priority="29" stopIfTrue="1">
      <formula>AND($P$38=2,$L$38=0)</formula>
    </cfRule>
  </conditionalFormatting>
  <conditionalFormatting sqref="L75:M75">
    <cfRule type="expression" dxfId="127" priority="30" stopIfTrue="1">
      <formula>AND(NOT(ISBLANK($G$75)),ISBLANK($I$75))</formula>
    </cfRule>
  </conditionalFormatting>
  <conditionalFormatting sqref="C101:M101">
    <cfRule type="expression" dxfId="126" priority="31" stopIfTrue="1">
      <formula>$I$99="Not Valid"</formula>
    </cfRule>
  </conditionalFormatting>
  <conditionalFormatting sqref="E26">
    <cfRule type="expression" dxfId="125" priority="32" stopIfTrue="1">
      <formula>P26=1</formula>
    </cfRule>
    <cfRule type="expression" dxfId="124" priority="33" stopIfTrue="1">
      <formula>AND(P26=2,ISBLANK(L26))</formula>
    </cfRule>
  </conditionalFormatting>
  <conditionalFormatting sqref="J42">
    <cfRule type="expression" dxfId="123" priority="34" stopIfTrue="1">
      <formula>$P$42=2</formula>
    </cfRule>
    <cfRule type="expression" dxfId="122" priority="35" stopIfTrue="1">
      <formula>AND($P$42=1,ISBLANK(J42))</formula>
    </cfRule>
  </conditionalFormatting>
  <conditionalFormatting sqref="L44:M51">
    <cfRule type="expression" dxfId="121" priority="36" stopIfTrue="1">
      <formula>AND($P$42=1,ISBLANK($J$42))</formula>
    </cfRule>
  </conditionalFormatting>
  <conditionalFormatting sqref="K15:M15">
    <cfRule type="expression" dxfId="120" priority="37" stopIfTrue="1">
      <formula>AND(NOT(ISBLANK($G$15)),$G$15&gt;0,ISBLANK($I$15))</formula>
    </cfRule>
  </conditionalFormatting>
  <conditionalFormatting sqref="I15:J15">
    <cfRule type="expression" dxfId="119" priority="38" stopIfTrue="1">
      <formula>AND(NOT(ISBLANK(G15)),G15&gt;0,ISBLANK(I15))</formula>
    </cfRule>
  </conditionalFormatting>
  <conditionalFormatting sqref="E38">
    <cfRule type="expression" dxfId="118" priority="39" stopIfTrue="1">
      <formula>P38=1</formula>
    </cfRule>
    <cfRule type="expression" dxfId="117" priority="40" stopIfTrue="1">
      <formula>AND($P$38=2,$L$38=0)</formula>
    </cfRule>
  </conditionalFormatting>
  <conditionalFormatting sqref="E43">
    <cfRule type="expression" dxfId="116" priority="41" stopIfTrue="1">
      <formula>AND($G$43=0,$G$43&lt;&gt;"")</formula>
    </cfRule>
  </conditionalFormatting>
  <conditionalFormatting sqref="C45:J45">
    <cfRule type="expression" dxfId="115"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B78C5DA0-2119-4A16-A2F0-AFD47BB99B30}">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0ED332A1-3A18-4768-B209-ADECA44FF462}">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58B81A73-1237-4D24-9D82-628F87425408}">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8A91D329-C088-4BE8-B912-584F3902B986}">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2780D393-9198-4251-8DF6-8EEB0BAF60C3}">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3560B39E-4625-42D4-A6B5-E9FBA135399E}">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4D81A69E-0524-494C-96DF-142DDB9608E8}">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8DB7ADAA-68DA-429A-BEE5-3EA0D355367F}">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C9FB905A-ECE8-4605-BB2E-E4206DE154F9}">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8D0CE94F-7540-41CB-A88F-7D3AC2694979}">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C9C28975-F40D-4C1D-874B-F0B4498AAE54}">
      <formula1>0</formula1>
    </dataValidation>
    <dataValidation type="decimal" operator="greaterThan" allowBlank="1" showErrorMessage="1" errorTitle="Data Validation" error="Enter a numerical value" promptTitle="Data Validation" prompt="Enter a numerical value greater than or equal to zero" sqref="G43" xr:uid="{F194BE8D-F692-4457-B05F-EFFFD1E12681}">
      <formula1>-1E+25</formula1>
    </dataValidation>
    <dataValidation type="decimal" errorStyle="warning" operator="lessThanOrEqual" allowBlank="1" showErrorMessage="1" errorTitle="Customer Service Lines" error="The value you entered is greater than an assumed maximum reasonable value." sqref="G65" xr:uid="{D2BCB4D3-EE32-4466-8763-26A078B0FCE2}">
      <formula1>100</formula1>
    </dataValidation>
    <dataValidation type="decimal" errorStyle="warning" operator="lessThanOrEqual" allowBlank="1" showErrorMessage="1" errorTitle="Average Operating Pressure" error="The value you entered is greater than an assumed maximum reasonable value." sqref="G67" xr:uid="{2F596EBD-F114-4426-BF2B-90232F3BFDE2}">
      <formula1>200</formula1>
    </dataValidation>
  </dataValidations>
  <printOptions horizontalCentered="1" verticalCentered="1" gridLines="1"/>
  <pageMargins left="0.36" right="0.37" top="0.49" bottom="0.42" header="0.22" footer="0.22"/>
  <pageSetup scale="60" orientation="portrait"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416" r:id="rId4" name="Group Box 200">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9417" r:id="rId5" name="Option Button 201">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9418" r:id="rId6" name="Option Button 202">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9411" r:id="rId7" name="Group Box 195">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9412" r:id="rId8" name="Option Button 196">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9413" r:id="rId9" name="Option Button 197">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9399" r:id="rId10" name="Group Box 183">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9401" r:id="rId11" name="Option Button 185">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9402" r:id="rId12" name="Option Button 186">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892AB-96B9-4CB4-83A7-90AA61626A54}">
  <sheetPr codeName="Sheet6">
    <tabColor indexed="48"/>
  </sheetPr>
  <dimension ref="B1:H1005"/>
  <sheetViews>
    <sheetView showGridLines="0" showRowColHeaders="0" zoomScaleNormal="100" workbookViewId="0">
      <selection activeCell="B2" sqref="B2:E3"/>
    </sheetView>
  </sheetViews>
  <sheetFormatPr defaultRowHeight="13.5" x14ac:dyDescent="0.25"/>
  <cols>
    <col min="1" max="1" width="0.85546875" style="104" customWidth="1"/>
    <col min="2" max="2" width="18.5703125" style="104" customWidth="1"/>
    <col min="3" max="3" width="17.140625" style="104" customWidth="1"/>
    <col min="4" max="4" width="17.42578125" style="104" customWidth="1"/>
    <col min="5" max="5" width="33.28515625" style="104" customWidth="1"/>
    <col min="6" max="6" width="39.140625" style="104" customWidth="1"/>
    <col min="7" max="7" width="18.42578125" style="104" customWidth="1"/>
    <col min="8" max="8" width="3.140625" style="104" customWidth="1"/>
    <col min="9" max="16384" width="9.140625" style="104"/>
  </cols>
  <sheetData>
    <row r="1" spans="2:8" ht="3.75" customHeight="1" thickBot="1" x14ac:dyDescent="0.3"/>
    <row r="2" spans="2:8" ht="15" customHeight="1" thickTop="1" x14ac:dyDescent="0.3">
      <c r="B2" s="554" t="s">
        <v>493</v>
      </c>
      <c r="C2" s="555"/>
      <c r="D2" s="556"/>
      <c r="E2" s="557"/>
      <c r="F2" s="105" t="s">
        <v>31</v>
      </c>
      <c r="G2" s="106" t="s">
        <v>32</v>
      </c>
      <c r="H2" s="107"/>
    </row>
    <row r="3" spans="2:8" ht="21" customHeight="1" thickBot="1" x14ac:dyDescent="0.35">
      <c r="B3" s="558"/>
      <c r="C3" s="559"/>
      <c r="D3" s="559"/>
      <c r="E3" s="560"/>
      <c r="F3" s="212" t="str">
        <f>IF(ISBLANK(Instructions!D18),"",Instructions!D18)</f>
        <v>Lehighton Water Authority</v>
      </c>
      <c r="G3" s="213">
        <f>IF(ISBLANK(Instructions!D20),"",Instructions!D20)</f>
        <v>2013</v>
      </c>
      <c r="H3" s="107"/>
    </row>
    <row r="4" spans="2:8" s="113" customFormat="1" ht="6" customHeight="1" thickTop="1" thickBot="1" x14ac:dyDescent="0.35">
      <c r="B4" s="108"/>
      <c r="C4" s="121"/>
      <c r="D4" s="109"/>
      <c r="E4" s="115" t="str">
        <f>IF(ISBLANK(Instructions!H24),"","All Units in "&amp;Instructions!H24)</f>
        <v/>
      </c>
      <c r="F4" s="110"/>
      <c r="G4" s="111"/>
      <c r="H4" s="112"/>
    </row>
    <row r="5" spans="2:8" ht="16.5" customHeight="1" x14ac:dyDescent="0.3">
      <c r="B5" s="205"/>
      <c r="C5" s="215" t="s">
        <v>505</v>
      </c>
      <c r="D5" s="216"/>
      <c r="E5" s="217"/>
      <c r="F5" s="565" t="s">
        <v>82</v>
      </c>
      <c r="G5" s="218"/>
      <c r="H5" s="107"/>
    </row>
    <row r="6" spans="2:8" ht="16.5" customHeight="1" x14ac:dyDescent="0.3">
      <c r="B6" s="214"/>
      <c r="C6" s="265">
        <f>'Reporting Worksheet'!G17</f>
        <v>0</v>
      </c>
      <c r="D6" s="219"/>
      <c r="E6" s="220"/>
      <c r="F6" s="566"/>
      <c r="G6" s="221"/>
      <c r="H6" s="107"/>
    </row>
    <row r="7" spans="2:8" ht="23.25" customHeight="1" x14ac:dyDescent="0.25">
      <c r="B7" s="203"/>
      <c r="C7" s="204"/>
      <c r="D7" s="24"/>
      <c r="E7" s="561" t="s">
        <v>471</v>
      </c>
      <c r="F7" s="72" t="s">
        <v>472</v>
      </c>
      <c r="G7" s="42" t="s">
        <v>473</v>
      </c>
      <c r="H7" s="107"/>
    </row>
    <row r="8" spans="2:8" ht="15.75" customHeight="1" x14ac:dyDescent="0.3">
      <c r="B8" s="41"/>
      <c r="C8" s="125"/>
      <c r="D8" s="22"/>
      <c r="E8" s="562"/>
      <c r="F8" s="268">
        <f>'Reporting Worksheet'!G23</f>
        <v>161.19999999999999</v>
      </c>
      <c r="G8" s="42"/>
      <c r="H8" s="107"/>
    </row>
    <row r="9" spans="2:8" ht="22.5" customHeight="1" x14ac:dyDescent="0.25">
      <c r="B9" s="44" t="s">
        <v>202</v>
      </c>
      <c r="C9" s="125"/>
      <c r="D9" s="76" t="s">
        <v>470</v>
      </c>
      <c r="E9" s="267">
        <f>'Reporting Worksheet'!G23+'Reporting Worksheet'!G24</f>
        <v>161.19999999999999</v>
      </c>
      <c r="F9" s="73" t="s">
        <v>474</v>
      </c>
      <c r="G9" s="253">
        <f>SUM(F8+F10)</f>
        <v>161.19999999999999</v>
      </c>
      <c r="H9" s="107"/>
    </row>
    <row r="10" spans="2:8" ht="15.75" customHeight="1" x14ac:dyDescent="0.3">
      <c r="B10" s="564" t="s">
        <v>203</v>
      </c>
      <c r="C10" s="125"/>
      <c r="D10" s="23"/>
      <c r="E10" s="19"/>
      <c r="F10" s="269">
        <f>'Reporting Worksheet'!G24</f>
        <v>0</v>
      </c>
      <c r="G10" s="43"/>
      <c r="H10" s="107"/>
    </row>
    <row r="11" spans="2:8" ht="15.75" customHeight="1" x14ac:dyDescent="0.3">
      <c r="B11" s="564"/>
      <c r="C11" s="125"/>
      <c r="D11" s="266">
        <f>'Reporting Worksheet'!G30</f>
        <v>166.23769999999999</v>
      </c>
      <c r="E11" s="563" t="s">
        <v>475</v>
      </c>
      <c r="F11" s="222" t="s">
        <v>476</v>
      </c>
      <c r="G11" s="552" t="s">
        <v>477</v>
      </c>
      <c r="H11" s="107"/>
    </row>
    <row r="12" spans="2:8" ht="15.75" customHeight="1" x14ac:dyDescent="0.3">
      <c r="B12" s="41"/>
      <c r="C12" s="125"/>
      <c r="D12" s="22"/>
      <c r="E12" s="562"/>
      <c r="F12" s="258">
        <f>'Reporting Worksheet'!G25</f>
        <v>1.4670000000000001</v>
      </c>
      <c r="G12" s="553"/>
      <c r="H12" s="107"/>
    </row>
    <row r="13" spans="2:8" ht="22.5" customHeight="1" x14ac:dyDescent="0.3">
      <c r="B13" s="263">
        <f>'Reporting Worksheet'!G14+IF('Reporting Worksheet'!I15="under-registered",+'Reporting Worksheet'!G15,IF('Reporting Worksheet'!I15="over-registered",-'Reporting Worksheet'!G15,))</f>
        <v>285.65600000000001</v>
      </c>
      <c r="C13" s="126"/>
      <c r="D13" s="22"/>
      <c r="E13" s="256">
        <f>'Reporting Worksheet'!G25+'Reporting Worksheet'!G26</f>
        <v>5.037700000000001</v>
      </c>
      <c r="F13" s="72" t="s">
        <v>478</v>
      </c>
      <c r="G13" s="42"/>
      <c r="H13" s="107"/>
    </row>
    <row r="14" spans="2:8" ht="15.75" customHeight="1" x14ac:dyDescent="0.3">
      <c r="B14" s="41"/>
      <c r="C14" s="125"/>
      <c r="D14" s="123"/>
      <c r="E14" s="19"/>
      <c r="F14" s="292">
        <f>'Reporting Worksheet'!G26</f>
        <v>3.5707000000000004</v>
      </c>
      <c r="G14" s="42"/>
      <c r="H14" s="107"/>
    </row>
    <row r="15" spans="2:8" ht="22.5" customHeight="1" x14ac:dyDescent="0.25">
      <c r="B15" s="41"/>
      <c r="C15" s="127" t="s">
        <v>204</v>
      </c>
      <c r="D15" s="24"/>
      <c r="E15" s="20"/>
      <c r="F15" s="73" t="s">
        <v>479</v>
      </c>
      <c r="G15" s="293">
        <f>'Reporting Worksheet'!G25+'Reporting Worksheet'!G26+'Reporting Worksheet'!G47+'Reporting Worksheet'!G52</f>
        <v>124.45600000000003</v>
      </c>
      <c r="H15" s="107"/>
    </row>
    <row r="16" spans="2:8" ht="15.75" customHeight="1" x14ac:dyDescent="0.3">
      <c r="B16" s="41"/>
      <c r="C16" s="125"/>
      <c r="D16" s="22"/>
      <c r="E16" s="74" t="s">
        <v>347</v>
      </c>
      <c r="F16" s="258">
        <f>'Reporting Worksheet'!G38</f>
        <v>0.71414</v>
      </c>
      <c r="G16" s="42"/>
      <c r="H16" s="107"/>
    </row>
    <row r="17" spans="2:8" ht="14.25" customHeight="1" x14ac:dyDescent="0.25">
      <c r="B17" s="44"/>
      <c r="C17" s="264">
        <f>'Reporting Worksheet'!G19</f>
        <v>285.65600000000001</v>
      </c>
      <c r="D17" s="21"/>
      <c r="E17" s="256">
        <f>'Reporting Worksheet'!G47</f>
        <v>9.2755610526315735</v>
      </c>
      <c r="F17" s="72" t="s">
        <v>480</v>
      </c>
      <c r="G17" s="42"/>
      <c r="H17" s="107"/>
    </row>
    <row r="18" spans="2:8" ht="15.75" customHeight="1" x14ac:dyDescent="0.25">
      <c r="B18" s="41"/>
      <c r="C18" s="125"/>
      <c r="D18" s="22"/>
      <c r="E18" s="21"/>
      <c r="F18" s="259">
        <f>'Reporting Worksheet'!G42</f>
        <v>8.561421052631573</v>
      </c>
      <c r="G18" s="42"/>
      <c r="H18" s="107"/>
    </row>
    <row r="19" spans="2:8" ht="23.25" customHeight="1" x14ac:dyDescent="0.25">
      <c r="B19" s="41"/>
      <c r="C19" s="125"/>
      <c r="D19" s="22"/>
      <c r="E19" s="21"/>
      <c r="F19" s="72" t="s">
        <v>45</v>
      </c>
      <c r="G19" s="42"/>
      <c r="H19" s="107"/>
    </row>
    <row r="20" spans="2:8" ht="15.75" customHeight="1" x14ac:dyDescent="0.3">
      <c r="B20" s="41"/>
      <c r="C20" s="125"/>
      <c r="D20" s="75" t="s">
        <v>346</v>
      </c>
      <c r="E20" s="19"/>
      <c r="F20" s="258">
        <f>'Reporting Worksheet'!G43</f>
        <v>0</v>
      </c>
      <c r="G20" s="42"/>
      <c r="H20" s="107"/>
    </row>
    <row r="21" spans="2:8" ht="26.25" customHeight="1" x14ac:dyDescent="0.25">
      <c r="B21" s="122" t="s">
        <v>504</v>
      </c>
      <c r="C21" s="125"/>
      <c r="D21" s="257">
        <f>'Reporting Worksheet'!G54</f>
        <v>119.41830000000003</v>
      </c>
      <c r="E21" s="21"/>
      <c r="F21" s="72" t="s">
        <v>481</v>
      </c>
      <c r="G21" s="42"/>
      <c r="H21" s="107"/>
    </row>
    <row r="22" spans="2:8" ht="15.75" customHeight="1" x14ac:dyDescent="0.3">
      <c r="B22" s="41"/>
      <c r="C22" s="125"/>
      <c r="D22" s="22"/>
      <c r="E22" s="74" t="s">
        <v>348</v>
      </c>
      <c r="F22" s="260" t="s">
        <v>233</v>
      </c>
      <c r="G22" s="42"/>
      <c r="H22" s="107"/>
    </row>
    <row r="23" spans="2:8" ht="24.75" customHeight="1" x14ac:dyDescent="0.3">
      <c r="B23" s="263">
        <f>'Reporting Worksheet'!G16</f>
        <v>0</v>
      </c>
      <c r="C23" s="125"/>
      <c r="D23" s="22"/>
      <c r="E23" s="256">
        <f>'Reporting Worksheet'!G52</f>
        <v>110.14273894736846</v>
      </c>
      <c r="F23" s="73" t="s">
        <v>482</v>
      </c>
      <c r="G23" s="42"/>
      <c r="H23" s="107"/>
    </row>
    <row r="24" spans="2:8" ht="16.5" customHeight="1" x14ac:dyDescent="0.3">
      <c r="B24" s="41"/>
      <c r="C24" s="125"/>
      <c r="D24" s="22"/>
      <c r="E24" s="21"/>
      <c r="F24" s="261" t="s">
        <v>233</v>
      </c>
      <c r="G24" s="42"/>
      <c r="H24" s="107"/>
    </row>
    <row r="25" spans="2:8" ht="12.75" customHeight="1" x14ac:dyDescent="0.25">
      <c r="B25" s="41"/>
      <c r="C25" s="125"/>
      <c r="D25" s="22"/>
      <c r="E25" s="21"/>
      <c r="F25" s="72" t="s">
        <v>232</v>
      </c>
      <c r="G25" s="42"/>
      <c r="H25" s="107"/>
    </row>
    <row r="26" spans="2:8" ht="18" thickBot="1" x14ac:dyDescent="0.35">
      <c r="B26" s="45"/>
      <c r="C26" s="128"/>
      <c r="D26" s="124"/>
      <c r="E26" s="46"/>
      <c r="F26" s="262" t="s">
        <v>233</v>
      </c>
      <c r="G26" s="47"/>
      <c r="H26" s="107"/>
    </row>
    <row r="27" spans="2:8" ht="14.25" thickTop="1" x14ac:dyDescent="0.25">
      <c r="B27" s="114"/>
      <c r="C27" s="114"/>
      <c r="D27" s="114"/>
      <c r="E27" s="107"/>
      <c r="F27" s="107"/>
      <c r="G27" s="107"/>
      <c r="H27" s="107"/>
    </row>
    <row r="28" spans="2:8" x14ac:dyDescent="0.25">
      <c r="B28" s="107"/>
      <c r="C28" s="107"/>
      <c r="D28" s="107"/>
      <c r="E28" s="107"/>
      <c r="F28" s="107"/>
      <c r="G28" s="107"/>
      <c r="H28" s="107"/>
    </row>
    <row r="29" spans="2:8" x14ac:dyDescent="0.25">
      <c r="B29" s="107"/>
      <c r="C29" s="107"/>
      <c r="D29" s="107"/>
      <c r="E29" s="107"/>
      <c r="F29" s="107"/>
      <c r="G29" s="107"/>
      <c r="H29" s="107"/>
    </row>
    <row r="30" spans="2:8" ht="12.75" customHeight="1" x14ac:dyDescent="0.25">
      <c r="B30" s="107"/>
      <c r="C30" s="107"/>
      <c r="D30" s="107"/>
      <c r="E30" s="107"/>
      <c r="F30" s="107"/>
      <c r="G30" s="107"/>
      <c r="H30" s="107"/>
    </row>
    <row r="31" spans="2:8" x14ac:dyDescent="0.25">
      <c r="B31" s="107"/>
      <c r="C31" s="107"/>
      <c r="D31" s="107"/>
      <c r="E31" s="107"/>
      <c r="F31" s="107"/>
      <c r="G31" s="107"/>
      <c r="H31" s="107"/>
    </row>
    <row r="32" spans="2:8" x14ac:dyDescent="0.25">
      <c r="B32" s="107"/>
      <c r="C32" s="107"/>
      <c r="D32" s="107"/>
      <c r="E32" s="107"/>
      <c r="F32" s="107"/>
      <c r="G32" s="107"/>
      <c r="H32" s="107"/>
    </row>
    <row r="33" spans="2:8" x14ac:dyDescent="0.25">
      <c r="B33" s="107"/>
      <c r="C33" s="107"/>
      <c r="D33" s="107"/>
      <c r="E33" s="107"/>
      <c r="F33" s="107"/>
      <c r="G33" s="107"/>
      <c r="H33" s="107"/>
    </row>
    <row r="34" spans="2:8" x14ac:dyDescent="0.25">
      <c r="B34" s="107"/>
      <c r="C34" s="107"/>
      <c r="D34" s="107"/>
      <c r="E34" s="107"/>
      <c r="F34" s="107"/>
      <c r="G34" s="107"/>
      <c r="H34" s="107"/>
    </row>
    <row r="35" spans="2:8" x14ac:dyDescent="0.25">
      <c r="B35" s="107"/>
      <c r="C35" s="107"/>
      <c r="D35" s="107"/>
      <c r="E35" s="107"/>
      <c r="F35" s="107"/>
      <c r="G35" s="107"/>
      <c r="H35" s="107"/>
    </row>
    <row r="36" spans="2:8" x14ac:dyDescent="0.25">
      <c r="B36" s="107"/>
      <c r="C36" s="107"/>
      <c r="D36" s="107"/>
      <c r="E36" s="107"/>
      <c r="F36" s="107"/>
      <c r="G36" s="107"/>
      <c r="H36" s="107"/>
    </row>
    <row r="37" spans="2:8" x14ac:dyDescent="0.25">
      <c r="B37" s="107"/>
      <c r="C37" s="107"/>
      <c r="D37" s="107"/>
      <c r="E37" s="107"/>
      <c r="F37" s="107"/>
      <c r="G37" s="107"/>
      <c r="H37" s="107"/>
    </row>
    <row r="38" spans="2:8" x14ac:dyDescent="0.25">
      <c r="B38" s="107"/>
      <c r="C38" s="107"/>
      <c r="D38" s="107"/>
      <c r="E38" s="107"/>
      <c r="F38" s="107"/>
      <c r="G38" s="107"/>
      <c r="H38" s="107"/>
    </row>
    <row r="39" spans="2:8" x14ac:dyDescent="0.25">
      <c r="B39" s="107"/>
      <c r="C39" s="107"/>
      <c r="D39" s="107"/>
      <c r="E39" s="107"/>
      <c r="F39" s="107"/>
      <c r="G39" s="107"/>
      <c r="H39" s="107"/>
    </row>
    <row r="40" spans="2:8" x14ac:dyDescent="0.25">
      <c r="B40" s="107"/>
      <c r="C40" s="107"/>
      <c r="D40" s="107"/>
      <c r="E40" s="107"/>
      <c r="F40" s="107"/>
      <c r="G40" s="107"/>
      <c r="H40" s="107"/>
    </row>
    <row r="41" spans="2:8" x14ac:dyDescent="0.25">
      <c r="B41" s="107"/>
      <c r="C41" s="107"/>
      <c r="D41" s="107"/>
      <c r="E41" s="107"/>
      <c r="F41" s="107"/>
      <c r="G41" s="107"/>
      <c r="H41" s="107"/>
    </row>
    <row r="42" spans="2:8" x14ac:dyDescent="0.25">
      <c r="B42" s="107"/>
      <c r="C42" s="107"/>
      <c r="D42" s="107"/>
      <c r="E42" s="107"/>
      <c r="F42" s="107"/>
      <c r="G42" s="107"/>
      <c r="H42" s="107"/>
    </row>
    <row r="43" spans="2:8" x14ac:dyDescent="0.25">
      <c r="B43" s="107"/>
      <c r="C43" s="107"/>
      <c r="D43" s="107"/>
      <c r="E43" s="107"/>
      <c r="F43" s="107"/>
      <c r="G43" s="107"/>
      <c r="H43" s="107"/>
    </row>
    <row r="44" spans="2:8" x14ac:dyDescent="0.25">
      <c r="B44" s="107"/>
      <c r="C44" s="107"/>
      <c r="D44" s="107"/>
      <c r="E44" s="107"/>
      <c r="F44" s="107"/>
      <c r="G44" s="107"/>
      <c r="H44" s="107"/>
    </row>
    <row r="45" spans="2:8" x14ac:dyDescent="0.25">
      <c r="B45" s="107"/>
      <c r="C45" s="107"/>
      <c r="D45" s="107"/>
      <c r="E45" s="107"/>
      <c r="F45" s="107"/>
      <c r="G45" s="107"/>
      <c r="H45" s="107"/>
    </row>
    <row r="46" spans="2:8" ht="12.75" customHeight="1" x14ac:dyDescent="0.25">
      <c r="B46" s="107"/>
      <c r="C46" s="107"/>
      <c r="D46" s="107"/>
      <c r="E46" s="107"/>
      <c r="F46" s="107"/>
      <c r="G46" s="107"/>
      <c r="H46" s="107"/>
    </row>
    <row r="47" spans="2:8" x14ac:dyDescent="0.25">
      <c r="B47" s="107"/>
      <c r="C47" s="107"/>
      <c r="D47" s="107"/>
      <c r="E47" s="107"/>
      <c r="F47" s="107"/>
      <c r="G47" s="107"/>
      <c r="H47" s="107"/>
    </row>
    <row r="48" spans="2:8" x14ac:dyDescent="0.25">
      <c r="B48" s="107"/>
      <c r="C48" s="107"/>
      <c r="D48" s="107"/>
      <c r="E48" s="107"/>
      <c r="F48" s="107"/>
      <c r="G48" s="107"/>
      <c r="H48" s="107"/>
    </row>
    <row r="49" spans="2:8" x14ac:dyDescent="0.25">
      <c r="B49" s="107"/>
      <c r="C49" s="107"/>
      <c r="D49" s="107"/>
      <c r="E49" s="107"/>
      <c r="F49" s="107"/>
      <c r="G49" s="107"/>
      <c r="H49" s="107"/>
    </row>
    <row r="50" spans="2:8" x14ac:dyDescent="0.25">
      <c r="B50" s="107"/>
      <c r="C50" s="107"/>
      <c r="D50" s="107"/>
      <c r="E50" s="107"/>
      <c r="F50" s="107"/>
      <c r="G50" s="107"/>
      <c r="H50" s="107"/>
    </row>
    <row r="51" spans="2:8" x14ac:dyDescent="0.25">
      <c r="B51" s="107"/>
      <c r="C51" s="107"/>
      <c r="D51" s="107"/>
      <c r="E51" s="107"/>
      <c r="F51" s="107"/>
      <c r="G51" s="107"/>
      <c r="H51" s="107"/>
    </row>
    <row r="52" spans="2:8" x14ac:dyDescent="0.25">
      <c r="B52" s="107"/>
      <c r="C52" s="107"/>
      <c r="D52" s="107"/>
      <c r="E52" s="107"/>
      <c r="F52" s="107"/>
      <c r="G52" s="107"/>
      <c r="H52" s="107"/>
    </row>
    <row r="53" spans="2:8" x14ac:dyDescent="0.25">
      <c r="B53" s="107"/>
      <c r="C53" s="107"/>
      <c r="D53" s="107"/>
      <c r="E53" s="107"/>
      <c r="F53" s="107"/>
      <c r="G53" s="107"/>
      <c r="H53" s="107"/>
    </row>
    <row r="54" spans="2:8" x14ac:dyDescent="0.25">
      <c r="B54" s="107"/>
      <c r="C54" s="107"/>
      <c r="D54" s="107"/>
      <c r="E54" s="107"/>
      <c r="F54" s="107"/>
      <c r="G54" s="107"/>
      <c r="H54" s="107"/>
    </row>
    <row r="55" spans="2:8" x14ac:dyDescent="0.25">
      <c r="B55" s="107"/>
      <c r="C55" s="107"/>
      <c r="D55" s="107"/>
      <c r="E55" s="107"/>
      <c r="F55" s="107"/>
      <c r="G55" s="107"/>
      <c r="H55" s="107"/>
    </row>
    <row r="56" spans="2:8" x14ac:dyDescent="0.25">
      <c r="B56" s="107"/>
      <c r="C56" s="107"/>
      <c r="D56" s="107"/>
      <c r="E56" s="107"/>
      <c r="F56" s="107"/>
      <c r="G56" s="107"/>
      <c r="H56" s="107"/>
    </row>
    <row r="57" spans="2:8" x14ac:dyDescent="0.25">
      <c r="B57" s="107"/>
      <c r="C57" s="107"/>
      <c r="D57" s="107"/>
      <c r="E57" s="107"/>
      <c r="F57" s="107"/>
      <c r="G57" s="107"/>
      <c r="H57" s="107"/>
    </row>
    <row r="58" spans="2:8" x14ac:dyDescent="0.25">
      <c r="B58" s="107"/>
      <c r="C58" s="107"/>
      <c r="D58" s="107"/>
      <c r="E58" s="107"/>
      <c r="F58" s="107"/>
      <c r="G58" s="107"/>
      <c r="H58" s="107"/>
    </row>
    <row r="59" spans="2:8" x14ac:dyDescent="0.25">
      <c r="B59" s="107"/>
      <c r="C59" s="107"/>
      <c r="D59" s="107"/>
      <c r="E59" s="107"/>
      <c r="F59" s="107"/>
      <c r="G59" s="107"/>
      <c r="H59" s="107"/>
    </row>
    <row r="60" spans="2:8" x14ac:dyDescent="0.25">
      <c r="B60" s="107"/>
      <c r="C60" s="107"/>
      <c r="D60" s="107"/>
      <c r="E60" s="107"/>
      <c r="F60" s="107"/>
      <c r="G60" s="107"/>
      <c r="H60" s="107"/>
    </row>
    <row r="61" spans="2:8" x14ac:dyDescent="0.25">
      <c r="B61" s="107"/>
      <c r="C61" s="107"/>
      <c r="D61" s="107"/>
      <c r="E61" s="107"/>
      <c r="F61" s="107"/>
      <c r="G61" s="107"/>
      <c r="H61" s="107"/>
    </row>
    <row r="62" spans="2:8" x14ac:dyDescent="0.25">
      <c r="B62" s="107"/>
      <c r="C62" s="107"/>
      <c r="D62" s="107"/>
      <c r="E62" s="107"/>
      <c r="F62" s="107"/>
      <c r="G62" s="107"/>
      <c r="H62" s="107"/>
    </row>
    <row r="63" spans="2:8" x14ac:dyDescent="0.25">
      <c r="B63" s="107"/>
      <c r="C63" s="107"/>
      <c r="D63" s="107"/>
      <c r="E63" s="107"/>
      <c r="F63" s="107"/>
      <c r="G63" s="107"/>
      <c r="H63" s="107"/>
    </row>
    <row r="64" spans="2:8" x14ac:dyDescent="0.25">
      <c r="B64" s="107"/>
      <c r="C64" s="107"/>
      <c r="D64" s="107"/>
      <c r="E64" s="107"/>
      <c r="F64" s="107"/>
      <c r="G64" s="107"/>
      <c r="H64" s="107"/>
    </row>
    <row r="65" spans="2:8" x14ac:dyDescent="0.25">
      <c r="B65" s="107"/>
      <c r="C65" s="107"/>
      <c r="D65" s="107"/>
      <c r="E65" s="107"/>
      <c r="F65" s="107"/>
      <c r="G65" s="107"/>
      <c r="H65" s="107"/>
    </row>
    <row r="66" spans="2:8" x14ac:dyDescent="0.25">
      <c r="B66" s="107"/>
      <c r="C66" s="107"/>
      <c r="D66" s="107"/>
      <c r="E66" s="107"/>
      <c r="F66" s="107"/>
      <c r="G66" s="107"/>
      <c r="H66" s="107"/>
    </row>
    <row r="67" spans="2:8" x14ac:dyDescent="0.25">
      <c r="B67" s="107"/>
      <c r="C67" s="107"/>
      <c r="D67" s="107"/>
      <c r="E67" s="107"/>
      <c r="F67" s="107"/>
      <c r="G67" s="107"/>
      <c r="H67" s="107"/>
    </row>
    <row r="68" spans="2:8" x14ac:dyDescent="0.25">
      <c r="B68" s="107"/>
      <c r="C68" s="107"/>
      <c r="D68" s="107"/>
      <c r="E68" s="107"/>
      <c r="F68" s="107"/>
      <c r="G68" s="107"/>
      <c r="H68" s="107"/>
    </row>
    <row r="69" spans="2:8" x14ac:dyDescent="0.25">
      <c r="B69" s="107"/>
      <c r="C69" s="107"/>
      <c r="D69" s="107"/>
      <c r="E69" s="107"/>
      <c r="F69" s="107"/>
      <c r="G69" s="107"/>
      <c r="H69" s="107"/>
    </row>
    <row r="70" spans="2:8" x14ac:dyDescent="0.25">
      <c r="B70" s="107"/>
      <c r="C70" s="107"/>
      <c r="D70" s="107"/>
      <c r="E70" s="107"/>
      <c r="F70" s="107"/>
      <c r="G70" s="107"/>
      <c r="H70" s="107"/>
    </row>
    <row r="71" spans="2:8" x14ac:dyDescent="0.25">
      <c r="B71" s="107"/>
      <c r="C71" s="107"/>
      <c r="D71" s="107"/>
      <c r="E71" s="107"/>
      <c r="F71" s="107"/>
      <c r="G71" s="107"/>
      <c r="H71" s="107"/>
    </row>
    <row r="72" spans="2:8" x14ac:dyDescent="0.25">
      <c r="B72" s="107"/>
      <c r="C72" s="107"/>
      <c r="D72" s="107"/>
      <c r="E72" s="107"/>
      <c r="F72" s="107"/>
      <c r="G72" s="107"/>
      <c r="H72" s="107"/>
    </row>
    <row r="73" spans="2:8" x14ac:dyDescent="0.25">
      <c r="B73" s="107"/>
      <c r="C73" s="107"/>
      <c r="D73" s="107"/>
      <c r="E73" s="107"/>
      <c r="F73" s="107"/>
      <c r="G73" s="107"/>
      <c r="H73" s="107"/>
    </row>
    <row r="74" spans="2:8" x14ac:dyDescent="0.25">
      <c r="B74" s="107"/>
      <c r="C74" s="107"/>
      <c r="D74" s="107"/>
      <c r="E74" s="107"/>
      <c r="F74" s="107"/>
      <c r="G74" s="107"/>
      <c r="H74" s="107"/>
    </row>
    <row r="75" spans="2:8" x14ac:dyDescent="0.25">
      <c r="B75" s="107"/>
      <c r="C75" s="107"/>
      <c r="D75" s="107"/>
      <c r="E75" s="107"/>
      <c r="F75" s="107"/>
      <c r="G75" s="107"/>
      <c r="H75" s="107"/>
    </row>
    <row r="76" spans="2:8" x14ac:dyDescent="0.25">
      <c r="B76" s="107"/>
      <c r="C76" s="107"/>
      <c r="D76" s="107"/>
      <c r="E76" s="107"/>
      <c r="F76" s="107"/>
      <c r="G76" s="107"/>
      <c r="H76" s="107"/>
    </row>
    <row r="77" spans="2:8" x14ac:dyDescent="0.25">
      <c r="B77" s="107"/>
      <c r="C77" s="107"/>
      <c r="D77" s="107"/>
      <c r="E77" s="107"/>
      <c r="F77" s="107"/>
      <c r="G77" s="107"/>
      <c r="H77" s="107"/>
    </row>
    <row r="78" spans="2:8" x14ac:dyDescent="0.25">
      <c r="B78" s="107"/>
      <c r="C78" s="107"/>
      <c r="D78" s="107"/>
      <c r="E78" s="107"/>
      <c r="F78" s="107"/>
      <c r="G78" s="107"/>
      <c r="H78" s="107"/>
    </row>
    <row r="79" spans="2:8" x14ac:dyDescent="0.25">
      <c r="B79" s="107"/>
      <c r="C79" s="107"/>
      <c r="D79" s="107"/>
      <c r="E79" s="107"/>
      <c r="F79" s="107"/>
      <c r="G79" s="107"/>
      <c r="H79" s="107"/>
    </row>
    <row r="80" spans="2:8" x14ac:dyDescent="0.25">
      <c r="B80" s="107"/>
      <c r="C80" s="107"/>
      <c r="D80" s="107"/>
      <c r="E80" s="107"/>
      <c r="F80" s="107"/>
      <c r="G80" s="107"/>
      <c r="H80" s="107"/>
    </row>
    <row r="81" spans="2:8" x14ac:dyDescent="0.25">
      <c r="B81" s="107"/>
      <c r="C81" s="107"/>
      <c r="D81" s="107"/>
      <c r="E81" s="107"/>
      <c r="F81" s="107"/>
      <c r="G81" s="107"/>
      <c r="H81" s="107"/>
    </row>
    <row r="82" spans="2:8" x14ac:dyDescent="0.25">
      <c r="B82" s="107"/>
      <c r="C82" s="107"/>
      <c r="D82" s="107"/>
      <c r="E82" s="107"/>
      <c r="F82" s="107"/>
      <c r="G82" s="107"/>
      <c r="H82" s="107"/>
    </row>
    <row r="83" spans="2:8" x14ac:dyDescent="0.25">
      <c r="B83" s="107"/>
      <c r="C83" s="107"/>
      <c r="D83" s="107"/>
      <c r="E83" s="107"/>
      <c r="F83" s="107"/>
      <c r="G83" s="107"/>
      <c r="H83" s="107"/>
    </row>
    <row r="84" spans="2:8" x14ac:dyDescent="0.25">
      <c r="B84" s="107"/>
      <c r="C84" s="107"/>
      <c r="D84" s="107"/>
      <c r="E84" s="107"/>
      <c r="F84" s="107"/>
      <c r="G84" s="107"/>
      <c r="H84" s="107"/>
    </row>
    <row r="85" spans="2:8" x14ac:dyDescent="0.25">
      <c r="B85" s="107"/>
      <c r="C85" s="107"/>
      <c r="D85" s="107"/>
      <c r="E85" s="107"/>
      <c r="F85" s="107"/>
      <c r="G85" s="107"/>
      <c r="H85" s="107"/>
    </row>
    <row r="86" spans="2:8" x14ac:dyDescent="0.25">
      <c r="B86" s="107"/>
      <c r="C86" s="107"/>
      <c r="D86" s="107"/>
      <c r="E86" s="107"/>
      <c r="F86" s="107"/>
      <c r="G86" s="107"/>
      <c r="H86" s="107"/>
    </row>
    <row r="87" spans="2:8" x14ac:dyDescent="0.25">
      <c r="B87" s="107"/>
      <c r="C87" s="107"/>
      <c r="D87" s="107"/>
      <c r="E87" s="107"/>
      <c r="F87" s="107"/>
      <c r="G87" s="107"/>
      <c r="H87" s="107"/>
    </row>
    <row r="88" spans="2:8" x14ac:dyDescent="0.25">
      <c r="B88" s="107"/>
      <c r="C88" s="107"/>
      <c r="D88" s="107"/>
      <c r="E88" s="107"/>
      <c r="F88" s="107"/>
      <c r="G88" s="107"/>
      <c r="H88" s="107"/>
    </row>
    <row r="89" spans="2:8" x14ac:dyDescent="0.25">
      <c r="B89" s="107"/>
      <c r="C89" s="107"/>
      <c r="D89" s="107"/>
      <c r="E89" s="107"/>
      <c r="F89" s="107"/>
      <c r="G89" s="107"/>
      <c r="H89" s="107"/>
    </row>
    <row r="90" spans="2:8" x14ac:dyDescent="0.25">
      <c r="B90" s="107"/>
      <c r="C90" s="107"/>
      <c r="D90" s="107"/>
      <c r="E90" s="107"/>
      <c r="F90" s="107"/>
      <c r="G90" s="107"/>
      <c r="H90" s="107"/>
    </row>
    <row r="91" spans="2:8" x14ac:dyDescent="0.25">
      <c r="B91" s="107"/>
      <c r="C91" s="107"/>
      <c r="D91" s="107"/>
      <c r="E91" s="107"/>
      <c r="F91" s="107"/>
      <c r="G91" s="107"/>
      <c r="H91" s="107"/>
    </row>
    <row r="92" spans="2:8" x14ac:dyDescent="0.25">
      <c r="B92" s="107"/>
      <c r="C92" s="107"/>
      <c r="D92" s="107"/>
      <c r="E92" s="107"/>
      <c r="F92" s="107"/>
      <c r="G92" s="107"/>
      <c r="H92" s="107"/>
    </row>
    <row r="93" spans="2:8" x14ac:dyDescent="0.25">
      <c r="B93" s="107"/>
      <c r="C93" s="107"/>
      <c r="D93" s="107"/>
      <c r="E93" s="107"/>
      <c r="F93" s="107"/>
      <c r="G93" s="107"/>
      <c r="H93" s="107"/>
    </row>
    <row r="94" spans="2:8" x14ac:dyDescent="0.25">
      <c r="B94" s="107"/>
      <c r="C94" s="107"/>
      <c r="D94" s="107"/>
      <c r="E94" s="107"/>
      <c r="F94" s="107"/>
      <c r="G94" s="107"/>
      <c r="H94" s="107"/>
    </row>
    <row r="95" spans="2:8" x14ac:dyDescent="0.25">
      <c r="B95" s="107"/>
      <c r="C95" s="107"/>
      <c r="D95" s="107"/>
      <c r="E95" s="107"/>
      <c r="F95" s="107"/>
      <c r="G95" s="107"/>
      <c r="H95" s="107"/>
    </row>
    <row r="96" spans="2:8" x14ac:dyDescent="0.25">
      <c r="B96" s="107"/>
      <c r="C96" s="107"/>
      <c r="D96" s="107"/>
      <c r="E96" s="107"/>
      <c r="F96" s="107"/>
      <c r="G96" s="107"/>
      <c r="H96" s="107"/>
    </row>
    <row r="97" spans="2:8" x14ac:dyDescent="0.25">
      <c r="B97" s="107"/>
      <c r="C97" s="107"/>
      <c r="D97" s="107"/>
      <c r="E97" s="107"/>
      <c r="F97" s="107"/>
      <c r="G97" s="107"/>
      <c r="H97" s="107"/>
    </row>
    <row r="98" spans="2:8" x14ac:dyDescent="0.25">
      <c r="B98" s="107"/>
      <c r="C98" s="107"/>
      <c r="D98" s="107"/>
      <c r="E98" s="107"/>
      <c r="F98" s="107"/>
      <c r="G98" s="107"/>
      <c r="H98" s="107"/>
    </row>
    <row r="99" spans="2:8" x14ac:dyDescent="0.25">
      <c r="B99" s="107"/>
      <c r="C99" s="107"/>
      <c r="D99" s="107"/>
      <c r="E99" s="107"/>
      <c r="F99" s="107"/>
      <c r="G99" s="107"/>
      <c r="H99" s="107"/>
    </row>
    <row r="100" spans="2:8" x14ac:dyDescent="0.25">
      <c r="B100" s="107"/>
      <c r="C100" s="107"/>
      <c r="D100" s="107"/>
      <c r="E100" s="107"/>
      <c r="F100" s="107"/>
      <c r="G100" s="107"/>
      <c r="H100" s="107"/>
    </row>
    <row r="101" spans="2:8" x14ac:dyDescent="0.25">
      <c r="B101" s="107"/>
      <c r="C101" s="107"/>
      <c r="D101" s="107"/>
      <c r="E101" s="107"/>
      <c r="F101" s="107"/>
      <c r="G101" s="107"/>
      <c r="H101" s="107"/>
    </row>
    <row r="102" spans="2:8" x14ac:dyDescent="0.25">
      <c r="B102" s="107"/>
      <c r="C102" s="107"/>
      <c r="D102" s="107"/>
      <c r="E102" s="107"/>
      <c r="F102" s="107"/>
      <c r="G102" s="107"/>
      <c r="H102" s="107"/>
    </row>
    <row r="103" spans="2:8" x14ac:dyDescent="0.25">
      <c r="B103" s="107"/>
      <c r="C103" s="107"/>
      <c r="D103" s="107"/>
      <c r="E103" s="107"/>
      <c r="F103" s="107"/>
      <c r="G103" s="107"/>
      <c r="H103" s="107"/>
    </row>
    <row r="104" spans="2:8" x14ac:dyDescent="0.25">
      <c r="B104" s="107"/>
      <c r="C104" s="107"/>
      <c r="D104" s="107"/>
      <c r="E104" s="107"/>
      <c r="F104" s="107"/>
      <c r="G104" s="107"/>
      <c r="H104" s="107"/>
    </row>
    <row r="105" spans="2:8" x14ac:dyDescent="0.25">
      <c r="B105" s="107"/>
      <c r="C105" s="107"/>
      <c r="D105" s="107"/>
      <c r="E105" s="107"/>
      <c r="F105" s="107"/>
      <c r="G105" s="107"/>
      <c r="H105" s="107"/>
    </row>
    <row r="106" spans="2:8" x14ac:dyDescent="0.25">
      <c r="B106" s="107"/>
      <c r="C106" s="107"/>
      <c r="D106" s="107"/>
      <c r="E106" s="107"/>
      <c r="F106" s="107"/>
      <c r="G106" s="107"/>
      <c r="H106" s="107"/>
    </row>
    <row r="107" spans="2:8" x14ac:dyDescent="0.25">
      <c r="B107" s="107"/>
      <c r="C107" s="107"/>
      <c r="D107" s="107"/>
      <c r="E107" s="107"/>
      <c r="F107" s="107"/>
      <c r="G107" s="107"/>
      <c r="H107" s="107"/>
    </row>
    <row r="108" spans="2:8" x14ac:dyDescent="0.25">
      <c r="B108" s="107"/>
      <c r="C108" s="107"/>
      <c r="D108" s="107"/>
      <c r="E108" s="107"/>
      <c r="F108" s="107"/>
      <c r="G108" s="107"/>
      <c r="H108" s="107"/>
    </row>
    <row r="109" spans="2:8" x14ac:dyDescent="0.25">
      <c r="B109" s="107"/>
      <c r="C109" s="107"/>
      <c r="D109" s="107"/>
      <c r="E109" s="107"/>
      <c r="F109" s="107"/>
      <c r="G109" s="107"/>
      <c r="H109" s="107"/>
    </row>
    <row r="110" spans="2:8" x14ac:dyDescent="0.25">
      <c r="B110" s="107"/>
      <c r="C110" s="107"/>
      <c r="D110" s="107"/>
      <c r="E110" s="107"/>
      <c r="F110" s="107"/>
      <c r="G110" s="107"/>
      <c r="H110" s="107"/>
    </row>
    <row r="111" spans="2:8" x14ac:dyDescent="0.25">
      <c r="B111" s="107"/>
      <c r="C111" s="107"/>
      <c r="D111" s="107"/>
      <c r="E111" s="107"/>
      <c r="F111" s="107"/>
      <c r="G111" s="107"/>
      <c r="H111" s="107"/>
    </row>
    <row r="112" spans="2:8" x14ac:dyDescent="0.25">
      <c r="B112" s="107"/>
      <c r="C112" s="107"/>
      <c r="D112" s="107"/>
      <c r="E112" s="107"/>
      <c r="F112" s="107"/>
      <c r="G112" s="107"/>
      <c r="H112" s="107"/>
    </row>
    <row r="113" spans="2:8" x14ac:dyDescent="0.25">
      <c r="B113" s="107"/>
      <c r="C113" s="107"/>
      <c r="D113" s="107"/>
      <c r="E113" s="107"/>
      <c r="F113" s="107"/>
      <c r="G113" s="107"/>
      <c r="H113" s="107"/>
    </row>
    <row r="114" spans="2:8" x14ac:dyDescent="0.25">
      <c r="B114" s="107"/>
      <c r="C114" s="107"/>
      <c r="D114" s="107"/>
      <c r="E114" s="107"/>
      <c r="F114" s="107"/>
      <c r="G114" s="107"/>
      <c r="H114" s="107"/>
    </row>
    <row r="115" spans="2:8" x14ac:dyDescent="0.25">
      <c r="B115" s="107"/>
      <c r="C115" s="107"/>
      <c r="D115" s="107"/>
      <c r="E115" s="107"/>
      <c r="F115" s="107"/>
      <c r="G115" s="107"/>
      <c r="H115" s="107"/>
    </row>
    <row r="116" spans="2:8" x14ac:dyDescent="0.25">
      <c r="B116" s="107"/>
      <c r="C116" s="107"/>
      <c r="D116" s="107"/>
      <c r="E116" s="107"/>
      <c r="F116" s="107"/>
      <c r="G116" s="107"/>
      <c r="H116" s="107"/>
    </row>
    <row r="117" spans="2:8" x14ac:dyDescent="0.25">
      <c r="B117" s="107"/>
      <c r="C117" s="107"/>
      <c r="D117" s="107"/>
      <c r="E117" s="107"/>
      <c r="F117" s="107"/>
      <c r="G117" s="107"/>
      <c r="H117" s="107"/>
    </row>
    <row r="118" spans="2:8" x14ac:dyDescent="0.25">
      <c r="B118" s="107"/>
      <c r="C118" s="107"/>
      <c r="D118" s="107"/>
      <c r="E118" s="107"/>
      <c r="F118" s="107"/>
      <c r="G118" s="107"/>
      <c r="H118" s="107"/>
    </row>
    <row r="119" spans="2:8" x14ac:dyDescent="0.25">
      <c r="B119" s="107"/>
      <c r="C119" s="107"/>
      <c r="D119" s="107"/>
      <c r="E119" s="107"/>
      <c r="F119" s="107"/>
      <c r="G119" s="107"/>
      <c r="H119" s="107"/>
    </row>
    <row r="120" spans="2:8" x14ac:dyDescent="0.25">
      <c r="B120" s="107"/>
      <c r="C120" s="107"/>
      <c r="D120" s="107"/>
      <c r="E120" s="107"/>
      <c r="F120" s="107"/>
      <c r="G120" s="107"/>
      <c r="H120" s="107"/>
    </row>
    <row r="121" spans="2:8" x14ac:dyDescent="0.25">
      <c r="B121" s="107"/>
      <c r="C121" s="107"/>
      <c r="D121" s="107"/>
      <c r="E121" s="107"/>
      <c r="F121" s="107"/>
      <c r="G121" s="107"/>
      <c r="H121" s="107"/>
    </row>
    <row r="122" spans="2:8" x14ac:dyDescent="0.25">
      <c r="B122" s="107"/>
      <c r="C122" s="107"/>
      <c r="D122" s="107"/>
      <c r="E122" s="107"/>
      <c r="F122" s="107"/>
      <c r="G122" s="107"/>
      <c r="H122" s="107"/>
    </row>
    <row r="123" spans="2:8" x14ac:dyDescent="0.25">
      <c r="B123" s="107"/>
      <c r="C123" s="107"/>
      <c r="D123" s="107"/>
      <c r="E123" s="107"/>
      <c r="F123" s="107"/>
      <c r="G123" s="107"/>
      <c r="H123" s="107"/>
    </row>
    <row r="124" spans="2:8" x14ac:dyDescent="0.25">
      <c r="B124" s="107"/>
      <c r="C124" s="107"/>
      <c r="D124" s="107"/>
      <c r="E124" s="107"/>
      <c r="F124" s="107"/>
      <c r="G124" s="107"/>
      <c r="H124" s="107"/>
    </row>
    <row r="125" spans="2:8" x14ac:dyDescent="0.25">
      <c r="B125" s="107"/>
      <c r="C125" s="107"/>
      <c r="D125" s="107"/>
      <c r="E125" s="107"/>
      <c r="F125" s="107"/>
      <c r="G125" s="107"/>
      <c r="H125" s="107"/>
    </row>
    <row r="126" spans="2:8" x14ac:dyDescent="0.25">
      <c r="B126" s="107"/>
      <c r="C126" s="107"/>
      <c r="D126" s="107"/>
      <c r="E126" s="107"/>
      <c r="F126" s="107"/>
      <c r="G126" s="107"/>
      <c r="H126" s="107"/>
    </row>
    <row r="127" spans="2:8" x14ac:dyDescent="0.25">
      <c r="B127" s="107"/>
      <c r="C127" s="107"/>
      <c r="D127" s="107"/>
      <c r="E127" s="107"/>
      <c r="F127" s="107"/>
      <c r="G127" s="107"/>
      <c r="H127" s="107"/>
    </row>
    <row r="128" spans="2:8" x14ac:dyDescent="0.25">
      <c r="B128" s="107"/>
      <c r="C128" s="107"/>
      <c r="D128" s="107"/>
      <c r="E128" s="107"/>
      <c r="F128" s="107"/>
      <c r="G128" s="107"/>
      <c r="H128" s="107"/>
    </row>
    <row r="129" spans="2:8" x14ac:dyDescent="0.25">
      <c r="B129" s="107"/>
      <c r="C129" s="107"/>
      <c r="D129" s="107"/>
      <c r="E129" s="107"/>
      <c r="F129" s="107"/>
      <c r="G129" s="107"/>
      <c r="H129" s="107"/>
    </row>
    <row r="130" spans="2:8" x14ac:dyDescent="0.25">
      <c r="B130" s="107"/>
      <c r="C130" s="107"/>
      <c r="D130" s="107"/>
      <c r="E130" s="107"/>
      <c r="F130" s="107"/>
      <c r="G130" s="107"/>
      <c r="H130" s="107"/>
    </row>
    <row r="131" spans="2:8" x14ac:dyDescent="0.25">
      <c r="B131" s="107"/>
      <c r="C131" s="107"/>
      <c r="D131" s="107"/>
      <c r="E131" s="107"/>
      <c r="F131" s="107"/>
      <c r="G131" s="107"/>
      <c r="H131" s="107"/>
    </row>
    <row r="132" spans="2:8" x14ac:dyDescent="0.25">
      <c r="B132" s="107"/>
      <c r="C132" s="107"/>
      <c r="D132" s="107"/>
      <c r="E132" s="107"/>
      <c r="F132" s="107"/>
      <c r="G132" s="107"/>
      <c r="H132" s="107"/>
    </row>
    <row r="133" spans="2:8" x14ac:dyDescent="0.25">
      <c r="B133" s="107"/>
      <c r="C133" s="107"/>
      <c r="D133" s="107"/>
      <c r="E133" s="107"/>
      <c r="F133" s="107"/>
      <c r="G133" s="107"/>
      <c r="H133" s="107"/>
    </row>
    <row r="134" spans="2:8" x14ac:dyDescent="0.25">
      <c r="B134" s="107"/>
      <c r="C134" s="107"/>
      <c r="D134" s="107"/>
      <c r="E134" s="107"/>
      <c r="F134" s="107"/>
      <c r="G134" s="107"/>
      <c r="H134" s="107"/>
    </row>
    <row r="135" spans="2:8" x14ac:dyDescent="0.25">
      <c r="B135" s="107"/>
      <c r="C135" s="107"/>
      <c r="D135" s="107"/>
      <c r="E135" s="107"/>
      <c r="F135" s="107"/>
      <c r="G135" s="107"/>
      <c r="H135" s="107"/>
    </row>
    <row r="136" spans="2:8" x14ac:dyDescent="0.25">
      <c r="B136" s="107"/>
      <c r="C136" s="107"/>
      <c r="D136" s="107"/>
      <c r="E136" s="107"/>
      <c r="F136" s="107"/>
      <c r="G136" s="107"/>
      <c r="H136" s="107"/>
    </row>
    <row r="137" spans="2:8" x14ac:dyDescent="0.25">
      <c r="B137" s="107"/>
      <c r="C137" s="107"/>
      <c r="D137" s="107"/>
      <c r="E137" s="107"/>
      <c r="F137" s="107"/>
      <c r="G137" s="107"/>
      <c r="H137" s="107"/>
    </row>
    <row r="138" spans="2:8" x14ac:dyDescent="0.25">
      <c r="B138" s="107"/>
      <c r="C138" s="107"/>
      <c r="D138" s="107"/>
      <c r="E138" s="107"/>
      <c r="F138" s="107"/>
      <c r="G138" s="107"/>
      <c r="H138" s="107"/>
    </row>
    <row r="139" spans="2:8" x14ac:dyDescent="0.25">
      <c r="B139" s="107"/>
      <c r="C139" s="107"/>
      <c r="D139" s="107"/>
      <c r="E139" s="107"/>
      <c r="F139" s="107"/>
      <c r="G139" s="107"/>
      <c r="H139" s="107"/>
    </row>
    <row r="140" spans="2:8" x14ac:dyDescent="0.25">
      <c r="B140" s="107"/>
      <c r="C140" s="107"/>
      <c r="D140" s="107"/>
      <c r="E140" s="107"/>
      <c r="F140" s="107"/>
      <c r="G140" s="107"/>
      <c r="H140" s="107"/>
    </row>
    <row r="141" spans="2:8" x14ac:dyDescent="0.25">
      <c r="B141" s="107"/>
      <c r="C141" s="107"/>
      <c r="D141" s="107"/>
      <c r="E141" s="107"/>
      <c r="F141" s="107"/>
      <c r="G141" s="107"/>
      <c r="H141" s="107"/>
    </row>
    <row r="142" spans="2:8" x14ac:dyDescent="0.25">
      <c r="B142" s="107"/>
      <c r="C142" s="107"/>
      <c r="D142" s="107"/>
      <c r="E142" s="107"/>
      <c r="F142" s="107"/>
      <c r="G142" s="107"/>
      <c r="H142" s="107"/>
    </row>
    <row r="143" spans="2:8" x14ac:dyDescent="0.25">
      <c r="B143" s="107"/>
      <c r="C143" s="107"/>
      <c r="D143" s="107"/>
      <c r="E143" s="107"/>
      <c r="F143" s="107"/>
      <c r="G143" s="107"/>
      <c r="H143" s="107"/>
    </row>
    <row r="144" spans="2:8" x14ac:dyDescent="0.25">
      <c r="B144" s="107"/>
      <c r="C144" s="107"/>
      <c r="D144" s="107"/>
      <c r="E144" s="107"/>
      <c r="F144" s="107"/>
      <c r="G144" s="107"/>
      <c r="H144" s="107"/>
    </row>
    <row r="145" spans="2:8" x14ac:dyDescent="0.25">
      <c r="B145" s="107"/>
      <c r="C145" s="107"/>
      <c r="D145" s="107"/>
      <c r="E145" s="107"/>
      <c r="F145" s="107"/>
      <c r="G145" s="107"/>
      <c r="H145" s="107"/>
    </row>
    <row r="146" spans="2:8" x14ac:dyDescent="0.25">
      <c r="B146" s="107"/>
      <c r="C146" s="107"/>
      <c r="D146" s="107"/>
      <c r="E146" s="107"/>
      <c r="F146" s="107"/>
      <c r="G146" s="107"/>
      <c r="H146" s="107"/>
    </row>
    <row r="147" spans="2:8" x14ac:dyDescent="0.25">
      <c r="B147" s="107"/>
      <c r="C147" s="107"/>
      <c r="D147" s="107"/>
      <c r="E147" s="107"/>
      <c r="F147" s="107"/>
      <c r="G147" s="107"/>
      <c r="H147" s="107"/>
    </row>
    <row r="148" spans="2:8" x14ac:dyDescent="0.25">
      <c r="B148" s="107"/>
      <c r="C148" s="107"/>
      <c r="D148" s="107"/>
      <c r="E148" s="107"/>
      <c r="F148" s="107"/>
      <c r="G148" s="107"/>
      <c r="H148" s="107"/>
    </row>
    <row r="149" spans="2:8" x14ac:dyDescent="0.25">
      <c r="B149" s="107"/>
      <c r="C149" s="107"/>
      <c r="D149" s="107"/>
      <c r="E149" s="107"/>
      <c r="F149" s="107"/>
      <c r="G149" s="107"/>
      <c r="H149" s="107"/>
    </row>
    <row r="150" spans="2:8" x14ac:dyDescent="0.25">
      <c r="B150" s="107"/>
      <c r="C150" s="107"/>
      <c r="D150" s="107"/>
      <c r="E150" s="107"/>
      <c r="F150" s="107"/>
      <c r="G150" s="107"/>
      <c r="H150" s="107"/>
    </row>
    <row r="151" spans="2:8" x14ac:dyDescent="0.25">
      <c r="B151" s="107"/>
      <c r="C151" s="107"/>
      <c r="D151" s="107"/>
      <c r="E151" s="107"/>
      <c r="F151" s="107"/>
      <c r="G151" s="107"/>
      <c r="H151" s="107"/>
    </row>
    <row r="152" spans="2:8" x14ac:dyDescent="0.25">
      <c r="B152" s="107"/>
      <c r="C152" s="107"/>
      <c r="D152" s="107"/>
      <c r="E152" s="107"/>
      <c r="F152" s="107"/>
      <c r="G152" s="107"/>
      <c r="H152" s="107"/>
    </row>
    <row r="153" spans="2:8" x14ac:dyDescent="0.25">
      <c r="B153" s="107"/>
      <c r="C153" s="107"/>
      <c r="D153" s="107"/>
      <c r="E153" s="107"/>
      <c r="F153" s="107"/>
      <c r="G153" s="107"/>
      <c r="H153" s="107"/>
    </row>
    <row r="154" spans="2:8" x14ac:dyDescent="0.25">
      <c r="B154" s="107"/>
      <c r="C154" s="107"/>
      <c r="D154" s="107"/>
      <c r="E154" s="107"/>
      <c r="F154" s="107"/>
      <c r="G154" s="107"/>
      <c r="H154" s="107"/>
    </row>
    <row r="155" spans="2:8" x14ac:dyDescent="0.25">
      <c r="B155" s="107"/>
      <c r="C155" s="107"/>
      <c r="D155" s="107"/>
      <c r="E155" s="107"/>
      <c r="F155" s="107"/>
      <c r="G155" s="107"/>
      <c r="H155" s="107"/>
    </row>
    <row r="156" spans="2:8" x14ac:dyDescent="0.25">
      <c r="B156" s="107"/>
      <c r="C156" s="107"/>
      <c r="D156" s="107"/>
      <c r="E156" s="107"/>
      <c r="F156" s="107"/>
      <c r="G156" s="107"/>
      <c r="H156" s="107"/>
    </row>
    <row r="157" spans="2:8" x14ac:dyDescent="0.25">
      <c r="B157" s="107"/>
      <c r="C157" s="107"/>
      <c r="D157" s="107"/>
      <c r="E157" s="107"/>
      <c r="F157" s="107"/>
      <c r="G157" s="107"/>
      <c r="H157" s="107"/>
    </row>
    <row r="158" spans="2:8" x14ac:dyDescent="0.25">
      <c r="B158" s="107"/>
      <c r="C158" s="107"/>
      <c r="D158" s="107"/>
      <c r="E158" s="107"/>
      <c r="F158" s="107"/>
      <c r="G158" s="107"/>
      <c r="H158" s="107"/>
    </row>
    <row r="159" spans="2:8" x14ac:dyDescent="0.25">
      <c r="B159" s="107"/>
      <c r="C159" s="107"/>
      <c r="D159" s="107"/>
      <c r="E159" s="107"/>
      <c r="F159" s="107"/>
      <c r="G159" s="107"/>
      <c r="H159" s="107"/>
    </row>
    <row r="160" spans="2:8" x14ac:dyDescent="0.25">
      <c r="B160" s="107"/>
      <c r="C160" s="107"/>
      <c r="D160" s="107"/>
      <c r="E160" s="107"/>
      <c r="F160" s="107"/>
      <c r="G160" s="107"/>
      <c r="H160" s="107"/>
    </row>
    <row r="161" spans="2:8" x14ac:dyDescent="0.25">
      <c r="B161" s="107"/>
      <c r="C161" s="107"/>
      <c r="D161" s="107"/>
      <c r="E161" s="107"/>
      <c r="F161" s="107"/>
      <c r="G161" s="107"/>
      <c r="H161" s="107"/>
    </row>
    <row r="162" spans="2:8" x14ac:dyDescent="0.25">
      <c r="B162" s="107"/>
      <c r="C162" s="107"/>
      <c r="D162" s="107"/>
      <c r="E162" s="107"/>
      <c r="F162" s="107"/>
      <c r="G162" s="107"/>
      <c r="H162" s="107"/>
    </row>
    <row r="163" spans="2:8" x14ac:dyDescent="0.25">
      <c r="B163" s="107"/>
      <c r="C163" s="107"/>
      <c r="D163" s="107"/>
      <c r="E163" s="107"/>
      <c r="F163" s="107"/>
      <c r="G163" s="107"/>
      <c r="H163" s="107"/>
    </row>
    <row r="164" spans="2:8" x14ac:dyDescent="0.25">
      <c r="B164" s="107"/>
      <c r="C164" s="107"/>
      <c r="D164" s="107"/>
      <c r="E164" s="107"/>
      <c r="F164" s="107"/>
      <c r="G164" s="107"/>
      <c r="H164" s="107"/>
    </row>
    <row r="165" spans="2:8" x14ac:dyDescent="0.25">
      <c r="B165" s="107"/>
      <c r="C165" s="107"/>
      <c r="D165" s="107"/>
      <c r="E165" s="107"/>
      <c r="F165" s="107"/>
      <c r="G165" s="107"/>
      <c r="H165" s="107"/>
    </row>
    <row r="166" spans="2:8" x14ac:dyDescent="0.25">
      <c r="B166" s="107"/>
      <c r="C166" s="107"/>
      <c r="D166" s="107"/>
      <c r="E166" s="107"/>
      <c r="F166" s="107"/>
      <c r="G166" s="107"/>
      <c r="H166" s="107"/>
    </row>
    <row r="167" spans="2:8" x14ac:dyDescent="0.25">
      <c r="B167" s="107"/>
      <c r="C167" s="107"/>
      <c r="D167" s="107"/>
      <c r="E167" s="107"/>
      <c r="F167" s="107"/>
      <c r="G167" s="107"/>
      <c r="H167" s="107"/>
    </row>
    <row r="168" spans="2:8" x14ac:dyDescent="0.25">
      <c r="B168" s="107"/>
      <c r="C168" s="107"/>
      <c r="D168" s="107"/>
      <c r="E168" s="107"/>
      <c r="F168" s="107"/>
      <c r="G168" s="107"/>
      <c r="H168" s="107"/>
    </row>
    <row r="169" spans="2:8" x14ac:dyDescent="0.25">
      <c r="B169" s="107"/>
      <c r="C169" s="107"/>
      <c r="D169" s="107"/>
      <c r="E169" s="107"/>
      <c r="F169" s="107"/>
      <c r="G169" s="107"/>
      <c r="H169" s="107"/>
    </row>
    <row r="170" spans="2:8" x14ac:dyDescent="0.25">
      <c r="B170" s="107"/>
      <c r="C170" s="107"/>
      <c r="D170" s="107"/>
      <c r="E170" s="107"/>
      <c r="F170" s="107"/>
      <c r="G170" s="107"/>
      <c r="H170" s="107"/>
    </row>
    <row r="171" spans="2:8" x14ac:dyDescent="0.25">
      <c r="B171" s="107"/>
      <c r="C171" s="107"/>
      <c r="D171" s="107"/>
      <c r="E171" s="107"/>
      <c r="F171" s="107"/>
      <c r="G171" s="107"/>
      <c r="H171" s="107"/>
    </row>
    <row r="172" spans="2:8" x14ac:dyDescent="0.25">
      <c r="B172" s="107"/>
      <c r="C172" s="107"/>
      <c r="D172" s="107"/>
      <c r="E172" s="107"/>
      <c r="F172" s="107"/>
      <c r="G172" s="107"/>
      <c r="H172" s="107"/>
    </row>
    <row r="173" spans="2:8" x14ac:dyDescent="0.25">
      <c r="B173" s="107"/>
      <c r="C173" s="107"/>
      <c r="D173" s="107"/>
      <c r="E173" s="107"/>
      <c r="F173" s="107"/>
      <c r="G173" s="107"/>
      <c r="H173" s="107"/>
    </row>
    <row r="174" spans="2:8" x14ac:dyDescent="0.25">
      <c r="B174" s="107"/>
      <c r="C174" s="107"/>
      <c r="D174" s="107"/>
      <c r="E174" s="107"/>
      <c r="F174" s="107"/>
      <c r="G174" s="107"/>
      <c r="H174" s="107"/>
    </row>
    <row r="175" spans="2:8" x14ac:dyDescent="0.25">
      <c r="B175" s="107"/>
      <c r="C175" s="107"/>
      <c r="D175" s="107"/>
      <c r="E175" s="107"/>
      <c r="F175" s="107"/>
      <c r="G175" s="107"/>
      <c r="H175" s="107"/>
    </row>
    <row r="176" spans="2:8" x14ac:dyDescent="0.25">
      <c r="B176" s="107"/>
      <c r="C176" s="107"/>
      <c r="D176" s="107"/>
      <c r="E176" s="107"/>
      <c r="F176" s="107"/>
      <c r="G176" s="107"/>
      <c r="H176" s="107"/>
    </row>
    <row r="177" spans="2:8" x14ac:dyDescent="0.25">
      <c r="B177" s="107"/>
      <c r="C177" s="107"/>
      <c r="D177" s="107"/>
      <c r="E177" s="107"/>
      <c r="F177" s="107"/>
      <c r="G177" s="107"/>
      <c r="H177" s="107"/>
    </row>
    <row r="178" spans="2:8" x14ac:dyDescent="0.25">
      <c r="B178" s="107"/>
      <c r="C178" s="107"/>
      <c r="D178" s="107"/>
      <c r="E178" s="107"/>
      <c r="F178" s="107"/>
      <c r="G178" s="107"/>
      <c r="H178" s="107"/>
    </row>
    <row r="179" spans="2:8" x14ac:dyDescent="0.25">
      <c r="B179" s="107"/>
      <c r="C179" s="107"/>
      <c r="D179" s="107"/>
      <c r="E179" s="107"/>
      <c r="F179" s="107"/>
      <c r="G179" s="107"/>
      <c r="H179" s="107"/>
    </row>
    <row r="180" spans="2:8" x14ac:dyDescent="0.25">
      <c r="B180" s="107"/>
      <c r="C180" s="107"/>
      <c r="D180" s="107"/>
      <c r="E180" s="107"/>
      <c r="F180" s="107"/>
      <c r="G180" s="107"/>
      <c r="H180" s="107"/>
    </row>
    <row r="181" spans="2:8" x14ac:dyDescent="0.25">
      <c r="B181" s="107"/>
      <c r="C181" s="107"/>
      <c r="D181" s="107"/>
      <c r="E181" s="107"/>
      <c r="F181" s="107"/>
      <c r="G181" s="107"/>
      <c r="H181" s="107"/>
    </row>
    <row r="182" spans="2:8" x14ac:dyDescent="0.25">
      <c r="B182" s="107"/>
      <c r="C182" s="107"/>
      <c r="D182" s="107"/>
      <c r="E182" s="107"/>
      <c r="F182" s="107"/>
      <c r="G182" s="107"/>
      <c r="H182" s="107"/>
    </row>
    <row r="183" spans="2:8" x14ac:dyDescent="0.25">
      <c r="B183" s="107"/>
      <c r="C183" s="107"/>
      <c r="D183" s="107"/>
      <c r="E183" s="107"/>
      <c r="F183" s="107"/>
      <c r="G183" s="107"/>
      <c r="H183" s="107"/>
    </row>
    <row r="184" spans="2:8" x14ac:dyDescent="0.25">
      <c r="B184" s="107"/>
      <c r="C184" s="107"/>
      <c r="D184" s="107"/>
      <c r="E184" s="107"/>
      <c r="F184" s="107"/>
      <c r="G184" s="107"/>
      <c r="H184" s="107"/>
    </row>
    <row r="185" spans="2:8" x14ac:dyDescent="0.25">
      <c r="B185" s="107"/>
      <c r="C185" s="107"/>
      <c r="D185" s="107"/>
      <c r="E185" s="107"/>
      <c r="F185" s="107"/>
      <c r="G185" s="107"/>
      <c r="H185" s="107"/>
    </row>
    <row r="186" spans="2:8" x14ac:dyDescent="0.25">
      <c r="B186" s="107"/>
      <c r="C186" s="107"/>
      <c r="D186" s="107"/>
      <c r="E186" s="107"/>
      <c r="F186" s="107"/>
      <c r="G186" s="107"/>
      <c r="H186" s="107"/>
    </row>
    <row r="187" spans="2:8" x14ac:dyDescent="0.25">
      <c r="B187" s="107"/>
      <c r="C187" s="107"/>
      <c r="D187" s="107"/>
      <c r="E187" s="107"/>
      <c r="F187" s="107"/>
      <c r="G187" s="107"/>
      <c r="H187" s="107"/>
    </row>
    <row r="188" spans="2:8" x14ac:dyDescent="0.25">
      <c r="B188" s="107"/>
      <c r="C188" s="107"/>
      <c r="D188" s="107"/>
      <c r="E188" s="107"/>
      <c r="F188" s="107"/>
      <c r="G188" s="107"/>
      <c r="H188" s="107"/>
    </row>
    <row r="189" spans="2:8" x14ac:dyDescent="0.25">
      <c r="B189" s="107"/>
      <c r="C189" s="107"/>
      <c r="D189" s="107"/>
      <c r="E189" s="107"/>
      <c r="F189" s="107"/>
      <c r="G189" s="107"/>
      <c r="H189" s="107"/>
    </row>
    <row r="190" spans="2:8" x14ac:dyDescent="0.25">
      <c r="B190" s="107"/>
      <c r="C190" s="107"/>
      <c r="D190" s="107"/>
      <c r="E190" s="107"/>
      <c r="F190" s="107"/>
      <c r="G190" s="107"/>
      <c r="H190" s="107"/>
    </row>
    <row r="191" spans="2:8" x14ac:dyDescent="0.25">
      <c r="B191" s="107"/>
      <c r="C191" s="107"/>
      <c r="D191" s="107"/>
      <c r="E191" s="107"/>
      <c r="F191" s="107"/>
      <c r="G191" s="107"/>
      <c r="H191" s="107"/>
    </row>
    <row r="192" spans="2:8" x14ac:dyDescent="0.25">
      <c r="B192" s="107"/>
      <c r="C192" s="107"/>
      <c r="D192" s="107"/>
      <c r="E192" s="107"/>
      <c r="F192" s="107"/>
      <c r="G192" s="107"/>
      <c r="H192" s="107"/>
    </row>
    <row r="193" spans="2:8" x14ac:dyDescent="0.25">
      <c r="B193" s="107"/>
      <c r="C193" s="107"/>
      <c r="D193" s="107"/>
      <c r="E193" s="107"/>
      <c r="F193" s="107"/>
      <c r="G193" s="107"/>
      <c r="H193" s="107"/>
    </row>
    <row r="194" spans="2:8" x14ac:dyDescent="0.25">
      <c r="B194" s="107"/>
      <c r="C194" s="107"/>
      <c r="D194" s="107"/>
      <c r="E194" s="107"/>
      <c r="F194" s="107"/>
      <c r="G194" s="107"/>
      <c r="H194" s="107"/>
    </row>
    <row r="195" spans="2:8" x14ac:dyDescent="0.25">
      <c r="B195" s="107"/>
      <c r="C195" s="107"/>
      <c r="D195" s="107"/>
      <c r="E195" s="107"/>
      <c r="F195" s="107"/>
      <c r="G195" s="107"/>
      <c r="H195" s="107"/>
    </row>
    <row r="196" spans="2:8" x14ac:dyDescent="0.25">
      <c r="B196" s="107"/>
      <c r="C196" s="107"/>
      <c r="D196" s="107"/>
      <c r="E196" s="107"/>
      <c r="F196" s="107"/>
      <c r="G196" s="107"/>
      <c r="H196" s="107"/>
    </row>
    <row r="197" spans="2:8" x14ac:dyDescent="0.25">
      <c r="B197" s="107"/>
      <c r="C197" s="107"/>
      <c r="D197" s="107"/>
      <c r="E197" s="107"/>
      <c r="F197" s="107"/>
      <c r="G197" s="107"/>
      <c r="H197" s="107"/>
    </row>
    <row r="198" spans="2:8" x14ac:dyDescent="0.25">
      <c r="B198" s="107"/>
      <c r="C198" s="107"/>
      <c r="D198" s="107"/>
      <c r="E198" s="107"/>
      <c r="F198" s="107"/>
      <c r="G198" s="107"/>
      <c r="H198" s="107"/>
    </row>
    <row r="199" spans="2:8" x14ac:dyDescent="0.25">
      <c r="B199" s="107"/>
      <c r="C199" s="107"/>
      <c r="D199" s="107"/>
      <c r="E199" s="107"/>
      <c r="F199" s="107"/>
      <c r="G199" s="107"/>
      <c r="H199" s="107"/>
    </row>
    <row r="200" spans="2:8" x14ac:dyDescent="0.25">
      <c r="B200" s="107"/>
      <c r="C200" s="107"/>
      <c r="D200" s="107"/>
      <c r="E200" s="107"/>
      <c r="F200" s="107"/>
      <c r="G200" s="107"/>
      <c r="H200" s="107"/>
    </row>
    <row r="201" spans="2:8" x14ac:dyDescent="0.25">
      <c r="B201" s="107"/>
      <c r="C201" s="107"/>
      <c r="D201" s="107"/>
      <c r="E201" s="107"/>
      <c r="F201" s="107"/>
      <c r="G201" s="107"/>
      <c r="H201" s="107"/>
    </row>
    <row r="202" spans="2:8" x14ac:dyDescent="0.25">
      <c r="B202" s="107"/>
      <c r="C202" s="107"/>
      <c r="D202" s="107"/>
      <c r="E202" s="107"/>
      <c r="F202" s="107"/>
      <c r="G202" s="107"/>
      <c r="H202" s="107"/>
    </row>
    <row r="203" spans="2:8" x14ac:dyDescent="0.25">
      <c r="B203" s="107"/>
      <c r="C203" s="107"/>
      <c r="D203" s="107"/>
      <c r="E203" s="107"/>
      <c r="F203" s="107"/>
      <c r="G203" s="107"/>
      <c r="H203" s="107"/>
    </row>
    <row r="204" spans="2:8" x14ac:dyDescent="0.25">
      <c r="B204" s="107"/>
      <c r="C204" s="107"/>
      <c r="D204" s="107"/>
      <c r="E204" s="107"/>
      <c r="F204" s="107"/>
      <c r="G204" s="107"/>
      <c r="H204" s="107"/>
    </row>
    <row r="205" spans="2:8" x14ac:dyDescent="0.25">
      <c r="B205" s="107"/>
      <c r="C205" s="107"/>
      <c r="D205" s="107"/>
      <c r="E205" s="107"/>
      <c r="F205" s="107"/>
      <c r="G205" s="107"/>
      <c r="H205" s="107"/>
    </row>
    <row r="206" spans="2:8" x14ac:dyDescent="0.25">
      <c r="B206" s="107"/>
      <c r="C206" s="107"/>
      <c r="D206" s="107"/>
      <c r="E206" s="107"/>
      <c r="F206" s="107"/>
      <c r="G206" s="107"/>
      <c r="H206" s="107"/>
    </row>
    <row r="207" spans="2:8" x14ac:dyDescent="0.25">
      <c r="B207" s="107"/>
      <c r="C207" s="107"/>
      <c r="D207" s="107"/>
      <c r="E207" s="107"/>
      <c r="F207" s="107"/>
      <c r="G207" s="107"/>
      <c r="H207" s="107"/>
    </row>
    <row r="208" spans="2:8" x14ac:dyDescent="0.25">
      <c r="B208" s="107"/>
      <c r="C208" s="107"/>
      <c r="D208" s="107"/>
      <c r="E208" s="107"/>
      <c r="F208" s="107"/>
      <c r="G208" s="107"/>
      <c r="H208" s="107"/>
    </row>
    <row r="209" spans="2:8" x14ac:dyDescent="0.25">
      <c r="B209" s="107"/>
      <c r="C209" s="107"/>
      <c r="D209" s="107"/>
      <c r="E209" s="107"/>
      <c r="F209" s="107"/>
      <c r="G209" s="107"/>
      <c r="H209" s="107"/>
    </row>
    <row r="210" spans="2:8" x14ac:dyDescent="0.25">
      <c r="B210" s="107"/>
      <c r="C210" s="107"/>
      <c r="D210" s="107"/>
      <c r="E210" s="107"/>
      <c r="F210" s="107"/>
      <c r="G210" s="107"/>
      <c r="H210" s="107"/>
    </row>
    <row r="211" spans="2:8" x14ac:dyDescent="0.25">
      <c r="B211" s="107"/>
      <c r="C211" s="107"/>
      <c r="D211" s="107"/>
      <c r="E211" s="107"/>
      <c r="F211" s="107"/>
      <c r="G211" s="107"/>
      <c r="H211" s="107"/>
    </row>
    <row r="212" spans="2:8" x14ac:dyDescent="0.25">
      <c r="B212" s="107"/>
      <c r="C212" s="107"/>
      <c r="D212" s="107"/>
      <c r="E212" s="107"/>
      <c r="F212" s="107"/>
      <c r="G212" s="107"/>
      <c r="H212" s="107"/>
    </row>
    <row r="213" spans="2:8" x14ac:dyDescent="0.25">
      <c r="B213" s="107"/>
      <c r="C213" s="107"/>
      <c r="D213" s="107"/>
      <c r="E213" s="107"/>
      <c r="F213" s="107"/>
      <c r="G213" s="107"/>
      <c r="H213" s="107"/>
    </row>
    <row r="214" spans="2:8" x14ac:dyDescent="0.25">
      <c r="B214" s="107"/>
      <c r="C214" s="107"/>
      <c r="D214" s="107"/>
      <c r="E214" s="107"/>
      <c r="F214" s="107"/>
      <c r="G214" s="107"/>
      <c r="H214" s="107"/>
    </row>
    <row r="215" spans="2:8" x14ac:dyDescent="0.25">
      <c r="B215" s="107"/>
      <c r="C215" s="107"/>
      <c r="D215" s="107"/>
      <c r="E215" s="107"/>
      <c r="F215" s="107"/>
      <c r="G215" s="107"/>
      <c r="H215" s="107"/>
    </row>
    <row r="216" spans="2:8" x14ac:dyDescent="0.25">
      <c r="B216" s="107"/>
      <c r="C216" s="107"/>
      <c r="D216" s="107"/>
      <c r="E216" s="107"/>
      <c r="F216" s="107"/>
      <c r="G216" s="107"/>
      <c r="H216" s="107"/>
    </row>
    <row r="217" spans="2:8" x14ac:dyDescent="0.25">
      <c r="B217" s="107"/>
      <c r="C217" s="107"/>
      <c r="D217" s="107"/>
      <c r="E217" s="107"/>
      <c r="F217" s="107"/>
      <c r="G217" s="107"/>
      <c r="H217" s="107"/>
    </row>
    <row r="218" spans="2:8" x14ac:dyDescent="0.25">
      <c r="B218" s="107"/>
      <c r="C218" s="107"/>
      <c r="D218" s="107"/>
      <c r="E218" s="107"/>
      <c r="F218" s="107"/>
      <c r="G218" s="107"/>
      <c r="H218" s="107"/>
    </row>
    <row r="219" spans="2:8" x14ac:dyDescent="0.25">
      <c r="B219" s="107"/>
      <c r="C219" s="107"/>
      <c r="D219" s="107"/>
      <c r="E219" s="107"/>
      <c r="F219" s="107"/>
      <c r="G219" s="107"/>
      <c r="H219" s="107"/>
    </row>
    <row r="220" spans="2:8" x14ac:dyDescent="0.25">
      <c r="B220" s="107"/>
      <c r="C220" s="107"/>
      <c r="D220" s="107"/>
      <c r="E220" s="107"/>
      <c r="F220" s="107"/>
      <c r="G220" s="107"/>
      <c r="H220" s="107"/>
    </row>
    <row r="221" spans="2:8" x14ac:dyDescent="0.25">
      <c r="B221" s="107"/>
      <c r="C221" s="107"/>
      <c r="D221" s="107"/>
      <c r="E221" s="107"/>
      <c r="F221" s="107"/>
      <c r="G221" s="107"/>
      <c r="H221" s="107"/>
    </row>
    <row r="222" spans="2:8" x14ac:dyDescent="0.25">
      <c r="B222" s="107"/>
      <c r="C222" s="107"/>
      <c r="D222" s="107"/>
      <c r="E222" s="107"/>
      <c r="F222" s="107"/>
      <c r="G222" s="107"/>
      <c r="H222" s="107"/>
    </row>
    <row r="223" spans="2:8" x14ac:dyDescent="0.25">
      <c r="B223" s="107"/>
      <c r="C223" s="107"/>
      <c r="D223" s="107"/>
      <c r="E223" s="107"/>
      <c r="F223" s="107"/>
      <c r="G223" s="107"/>
      <c r="H223" s="107"/>
    </row>
    <row r="224" spans="2:8" x14ac:dyDescent="0.25">
      <c r="B224" s="107"/>
      <c r="C224" s="107"/>
      <c r="D224" s="107"/>
      <c r="E224" s="107"/>
      <c r="F224" s="107"/>
      <c r="G224" s="107"/>
      <c r="H224" s="107"/>
    </row>
    <row r="225" spans="2:8" x14ac:dyDescent="0.25">
      <c r="B225" s="107"/>
      <c r="C225" s="107"/>
      <c r="D225" s="107"/>
      <c r="E225" s="107"/>
      <c r="F225" s="107"/>
      <c r="G225" s="107"/>
      <c r="H225" s="107"/>
    </row>
    <row r="226" spans="2:8" x14ac:dyDescent="0.25">
      <c r="B226" s="107"/>
      <c r="C226" s="107"/>
      <c r="D226" s="107"/>
      <c r="E226" s="107"/>
      <c r="F226" s="107"/>
      <c r="G226" s="107"/>
      <c r="H226" s="107"/>
    </row>
    <row r="227" spans="2:8" x14ac:dyDescent="0.25">
      <c r="B227" s="107"/>
      <c r="C227" s="107"/>
      <c r="D227" s="107"/>
      <c r="E227" s="107"/>
      <c r="F227" s="107"/>
      <c r="G227" s="107"/>
      <c r="H227" s="107"/>
    </row>
    <row r="228" spans="2:8" x14ac:dyDescent="0.25">
      <c r="B228" s="107"/>
      <c r="C228" s="107"/>
      <c r="D228" s="107"/>
      <c r="E228" s="107"/>
      <c r="F228" s="107"/>
      <c r="G228" s="107"/>
      <c r="H228" s="107"/>
    </row>
    <row r="229" spans="2:8" x14ac:dyDescent="0.25">
      <c r="B229" s="107"/>
      <c r="C229" s="107"/>
      <c r="D229" s="107"/>
      <c r="E229" s="107"/>
      <c r="F229" s="107"/>
      <c r="G229" s="107"/>
      <c r="H229" s="107"/>
    </row>
    <row r="230" spans="2:8" x14ac:dyDescent="0.25">
      <c r="B230" s="107"/>
      <c r="C230" s="107"/>
      <c r="D230" s="107"/>
      <c r="E230" s="107"/>
      <c r="F230" s="107"/>
      <c r="G230" s="107"/>
      <c r="H230" s="107"/>
    </row>
    <row r="231" spans="2:8" x14ac:dyDescent="0.25">
      <c r="B231" s="107"/>
      <c r="C231" s="107"/>
      <c r="D231" s="107"/>
      <c r="E231" s="107"/>
      <c r="F231" s="107"/>
      <c r="G231" s="107"/>
      <c r="H231" s="107"/>
    </row>
    <row r="232" spans="2:8" x14ac:dyDescent="0.25">
      <c r="B232" s="107"/>
      <c r="C232" s="107"/>
      <c r="D232" s="107"/>
      <c r="E232" s="107"/>
      <c r="F232" s="107"/>
      <c r="G232" s="107"/>
      <c r="H232" s="107"/>
    </row>
    <row r="233" spans="2:8" x14ac:dyDescent="0.25">
      <c r="B233" s="107"/>
      <c r="C233" s="107"/>
      <c r="D233" s="107"/>
      <c r="E233" s="107"/>
      <c r="F233" s="107"/>
      <c r="G233" s="107"/>
      <c r="H233" s="107"/>
    </row>
    <row r="234" spans="2:8" x14ac:dyDescent="0.25">
      <c r="B234" s="107"/>
      <c r="C234" s="107"/>
      <c r="D234" s="107"/>
      <c r="E234" s="107"/>
      <c r="F234" s="107"/>
      <c r="G234" s="107"/>
      <c r="H234" s="107"/>
    </row>
    <row r="235" spans="2:8" x14ac:dyDescent="0.25">
      <c r="B235" s="107"/>
      <c r="C235" s="107"/>
      <c r="D235" s="107"/>
      <c r="E235" s="107"/>
      <c r="F235" s="107"/>
      <c r="G235" s="107"/>
      <c r="H235" s="107"/>
    </row>
    <row r="236" spans="2:8" x14ac:dyDescent="0.25">
      <c r="B236" s="107"/>
      <c r="C236" s="107"/>
      <c r="D236" s="107"/>
      <c r="E236" s="107"/>
      <c r="F236" s="107"/>
      <c r="G236" s="107"/>
      <c r="H236" s="107"/>
    </row>
    <row r="237" spans="2:8" x14ac:dyDescent="0.25">
      <c r="B237" s="107"/>
      <c r="C237" s="107"/>
      <c r="D237" s="107"/>
      <c r="E237" s="107"/>
      <c r="F237" s="107"/>
      <c r="G237" s="107"/>
      <c r="H237" s="107"/>
    </row>
    <row r="238" spans="2:8" x14ac:dyDescent="0.25">
      <c r="B238" s="107"/>
      <c r="C238" s="107"/>
      <c r="D238" s="107"/>
      <c r="E238" s="107"/>
      <c r="F238" s="107"/>
      <c r="G238" s="107"/>
      <c r="H238" s="107"/>
    </row>
    <row r="239" spans="2:8" x14ac:dyDescent="0.25">
      <c r="B239" s="107"/>
      <c r="C239" s="107"/>
      <c r="D239" s="107"/>
      <c r="E239" s="107"/>
      <c r="F239" s="107"/>
      <c r="G239" s="107"/>
      <c r="H239" s="107"/>
    </row>
    <row r="240" spans="2:8" x14ac:dyDescent="0.25">
      <c r="B240" s="107"/>
      <c r="C240" s="107"/>
      <c r="D240" s="107"/>
      <c r="E240" s="107"/>
      <c r="F240" s="107"/>
      <c r="G240" s="107"/>
      <c r="H240" s="107"/>
    </row>
    <row r="241" spans="2:8" x14ac:dyDescent="0.25">
      <c r="B241" s="107"/>
      <c r="C241" s="107"/>
      <c r="D241" s="107"/>
      <c r="E241" s="107"/>
      <c r="F241" s="107"/>
      <c r="G241" s="107"/>
      <c r="H241" s="107"/>
    </row>
    <row r="242" spans="2:8" x14ac:dyDescent="0.25">
      <c r="B242" s="107"/>
      <c r="C242" s="107"/>
      <c r="D242" s="107"/>
      <c r="E242" s="107"/>
      <c r="F242" s="107"/>
      <c r="G242" s="107"/>
      <c r="H242" s="107"/>
    </row>
    <row r="243" spans="2:8" x14ac:dyDescent="0.25">
      <c r="B243" s="107"/>
      <c r="C243" s="107"/>
      <c r="D243" s="107"/>
      <c r="E243" s="107"/>
      <c r="F243" s="107"/>
      <c r="G243" s="107"/>
      <c r="H243" s="107"/>
    </row>
    <row r="244" spans="2:8" x14ac:dyDescent="0.25">
      <c r="B244" s="107"/>
      <c r="C244" s="107"/>
      <c r="D244" s="107"/>
      <c r="E244" s="107"/>
      <c r="F244" s="107"/>
      <c r="G244" s="107"/>
      <c r="H244" s="107"/>
    </row>
    <row r="245" spans="2:8" x14ac:dyDescent="0.25">
      <c r="B245" s="107"/>
      <c r="C245" s="107"/>
      <c r="D245" s="107"/>
      <c r="E245" s="107"/>
      <c r="F245" s="107"/>
      <c r="G245" s="107"/>
      <c r="H245" s="107"/>
    </row>
    <row r="246" spans="2:8" x14ac:dyDescent="0.25">
      <c r="B246" s="107"/>
      <c r="C246" s="107"/>
      <c r="D246" s="107"/>
      <c r="E246" s="107"/>
      <c r="F246" s="107"/>
      <c r="G246" s="107"/>
      <c r="H246" s="107"/>
    </row>
    <row r="247" spans="2:8" x14ac:dyDescent="0.25">
      <c r="B247" s="107"/>
      <c r="C247" s="107"/>
      <c r="D247" s="107"/>
      <c r="E247" s="107"/>
      <c r="F247" s="107"/>
      <c r="G247" s="107"/>
      <c r="H247" s="107"/>
    </row>
    <row r="248" spans="2:8" x14ac:dyDescent="0.25">
      <c r="B248" s="107"/>
      <c r="C248" s="107"/>
      <c r="D248" s="107"/>
      <c r="E248" s="107"/>
      <c r="F248" s="107"/>
      <c r="G248" s="107"/>
      <c r="H248" s="107"/>
    </row>
    <row r="249" spans="2:8" x14ac:dyDescent="0.25">
      <c r="B249" s="107"/>
      <c r="C249" s="107"/>
      <c r="D249" s="107"/>
      <c r="E249" s="107"/>
      <c r="F249" s="107"/>
      <c r="G249" s="107"/>
      <c r="H249" s="107"/>
    </row>
    <row r="250" spans="2:8" x14ac:dyDescent="0.25">
      <c r="B250" s="107"/>
      <c r="C250" s="107"/>
      <c r="D250" s="107"/>
      <c r="E250" s="107"/>
      <c r="F250" s="107"/>
      <c r="G250" s="107"/>
      <c r="H250" s="107"/>
    </row>
    <row r="251" spans="2:8" x14ac:dyDescent="0.25">
      <c r="B251" s="107"/>
      <c r="C251" s="107"/>
      <c r="D251" s="107"/>
      <c r="E251" s="107"/>
      <c r="F251" s="107"/>
      <c r="G251" s="107"/>
      <c r="H251" s="107"/>
    </row>
    <row r="252" spans="2:8" x14ac:dyDescent="0.25">
      <c r="B252" s="107"/>
      <c r="C252" s="107"/>
      <c r="D252" s="107"/>
      <c r="E252" s="107"/>
      <c r="F252" s="107"/>
      <c r="G252" s="107"/>
      <c r="H252" s="107"/>
    </row>
    <row r="253" spans="2:8" x14ac:dyDescent="0.25">
      <c r="B253" s="107"/>
      <c r="C253" s="107"/>
      <c r="D253" s="107"/>
      <c r="E253" s="107"/>
      <c r="F253" s="107"/>
      <c r="G253" s="107"/>
      <c r="H253" s="107"/>
    </row>
    <row r="254" spans="2:8" x14ac:dyDescent="0.25">
      <c r="B254" s="107"/>
      <c r="C254" s="107"/>
      <c r="D254" s="107"/>
      <c r="E254" s="107"/>
      <c r="F254" s="107"/>
      <c r="G254" s="107"/>
      <c r="H254" s="107"/>
    </row>
    <row r="255" spans="2:8" x14ac:dyDescent="0.25">
      <c r="B255" s="107"/>
      <c r="C255" s="107"/>
      <c r="D255" s="107"/>
      <c r="E255" s="107"/>
      <c r="F255" s="107"/>
      <c r="G255" s="107"/>
      <c r="H255" s="107"/>
    </row>
    <row r="256" spans="2:8" x14ac:dyDescent="0.25">
      <c r="B256" s="107"/>
      <c r="C256" s="107"/>
      <c r="D256" s="107"/>
      <c r="E256" s="107"/>
      <c r="F256" s="107"/>
      <c r="G256" s="107"/>
      <c r="H256" s="107"/>
    </row>
    <row r="257" spans="2:8" x14ac:dyDescent="0.25">
      <c r="B257" s="107"/>
      <c r="C257" s="107"/>
      <c r="D257" s="107"/>
      <c r="E257" s="107"/>
      <c r="F257" s="107"/>
      <c r="G257" s="107"/>
      <c r="H257" s="107"/>
    </row>
    <row r="258" spans="2:8" x14ac:dyDescent="0.25">
      <c r="B258" s="107"/>
      <c r="C258" s="107"/>
      <c r="D258" s="107"/>
      <c r="E258" s="107"/>
      <c r="F258" s="107"/>
      <c r="G258" s="107"/>
      <c r="H258" s="107"/>
    </row>
    <row r="259" spans="2:8" x14ac:dyDescent="0.25">
      <c r="B259" s="107"/>
      <c r="C259" s="107"/>
      <c r="D259" s="107"/>
      <c r="E259" s="107"/>
      <c r="F259" s="107"/>
      <c r="G259" s="107"/>
      <c r="H259" s="107"/>
    </row>
    <row r="260" spans="2:8" x14ac:dyDescent="0.25">
      <c r="B260" s="107"/>
      <c r="C260" s="107"/>
      <c r="D260" s="107"/>
      <c r="E260" s="107"/>
      <c r="F260" s="107"/>
      <c r="G260" s="107"/>
      <c r="H260" s="107"/>
    </row>
    <row r="261" spans="2:8" x14ac:dyDescent="0.25">
      <c r="B261" s="107"/>
      <c r="C261" s="107"/>
      <c r="D261" s="107"/>
      <c r="E261" s="107"/>
      <c r="F261" s="107"/>
      <c r="G261" s="107"/>
      <c r="H261" s="107"/>
    </row>
    <row r="262" spans="2:8" x14ac:dyDescent="0.25">
      <c r="B262" s="107"/>
      <c r="C262" s="107"/>
      <c r="D262" s="107"/>
      <c r="E262" s="107"/>
      <c r="F262" s="107"/>
      <c r="G262" s="107"/>
      <c r="H262" s="107"/>
    </row>
    <row r="263" spans="2:8" x14ac:dyDescent="0.25">
      <c r="B263" s="107"/>
      <c r="C263" s="107"/>
      <c r="D263" s="107"/>
      <c r="E263" s="107"/>
      <c r="F263" s="107"/>
      <c r="G263" s="107"/>
      <c r="H263" s="107"/>
    </row>
    <row r="264" spans="2:8" x14ac:dyDescent="0.25">
      <c r="B264" s="107"/>
      <c r="C264" s="107"/>
      <c r="D264" s="107"/>
      <c r="E264" s="107"/>
      <c r="F264" s="107"/>
      <c r="G264" s="107"/>
      <c r="H264" s="107"/>
    </row>
    <row r="265" spans="2:8" x14ac:dyDescent="0.25">
      <c r="B265" s="107"/>
      <c r="C265" s="107"/>
      <c r="D265" s="107"/>
      <c r="E265" s="107"/>
      <c r="F265" s="107"/>
      <c r="G265" s="107"/>
      <c r="H265" s="107"/>
    </row>
    <row r="266" spans="2:8" x14ac:dyDescent="0.25">
      <c r="B266" s="107"/>
      <c r="C266" s="107"/>
      <c r="D266" s="107"/>
      <c r="E266" s="107"/>
      <c r="F266" s="107"/>
      <c r="G266" s="107"/>
      <c r="H266" s="107"/>
    </row>
    <row r="267" spans="2:8" x14ac:dyDescent="0.25">
      <c r="B267" s="107"/>
      <c r="C267" s="107"/>
      <c r="D267" s="107"/>
      <c r="E267" s="107"/>
      <c r="F267" s="107"/>
      <c r="G267" s="107"/>
      <c r="H267" s="107"/>
    </row>
    <row r="268" spans="2:8" x14ac:dyDescent="0.25">
      <c r="B268" s="107"/>
      <c r="C268" s="107"/>
      <c r="D268" s="107"/>
      <c r="E268" s="107"/>
      <c r="F268" s="107"/>
      <c r="G268" s="107"/>
      <c r="H268" s="107"/>
    </row>
    <row r="269" spans="2:8" x14ac:dyDescent="0.25">
      <c r="B269" s="107"/>
      <c r="C269" s="107"/>
      <c r="D269" s="107"/>
      <c r="E269" s="107"/>
      <c r="F269" s="107"/>
      <c r="G269" s="107"/>
      <c r="H269" s="107"/>
    </row>
    <row r="270" spans="2:8" x14ac:dyDescent="0.25">
      <c r="B270" s="107"/>
      <c r="C270" s="107"/>
      <c r="D270" s="107"/>
      <c r="E270" s="107"/>
      <c r="F270" s="107"/>
      <c r="G270" s="107"/>
      <c r="H270" s="107"/>
    </row>
    <row r="271" spans="2:8" x14ac:dyDescent="0.25">
      <c r="B271" s="107"/>
      <c r="C271" s="107"/>
      <c r="D271" s="107"/>
      <c r="E271" s="107"/>
      <c r="F271" s="107"/>
      <c r="G271" s="107"/>
      <c r="H271" s="107"/>
    </row>
    <row r="272" spans="2:8" x14ac:dyDescent="0.25">
      <c r="B272" s="107"/>
      <c r="C272" s="107"/>
      <c r="D272" s="107"/>
      <c r="E272" s="107"/>
      <c r="F272" s="107"/>
      <c r="G272" s="107"/>
      <c r="H272" s="107"/>
    </row>
    <row r="273" spans="2:8" x14ac:dyDescent="0.25">
      <c r="B273" s="107"/>
      <c r="C273" s="107"/>
      <c r="D273" s="107"/>
      <c r="E273" s="107"/>
      <c r="F273" s="107"/>
      <c r="G273" s="107"/>
      <c r="H273" s="107"/>
    </row>
    <row r="274" spans="2:8" x14ac:dyDescent="0.25">
      <c r="B274" s="107"/>
      <c r="C274" s="107"/>
      <c r="D274" s="107"/>
      <c r="E274" s="107"/>
      <c r="F274" s="107"/>
      <c r="G274" s="107"/>
      <c r="H274" s="107"/>
    </row>
    <row r="275" spans="2:8" x14ac:dyDescent="0.25">
      <c r="B275" s="107"/>
      <c r="C275" s="107"/>
      <c r="D275" s="107"/>
      <c r="E275" s="107"/>
      <c r="F275" s="107"/>
      <c r="G275" s="107"/>
      <c r="H275" s="107"/>
    </row>
    <row r="276" spans="2:8" x14ac:dyDescent="0.25">
      <c r="B276" s="107"/>
      <c r="C276" s="107"/>
      <c r="D276" s="107"/>
      <c r="E276" s="107"/>
      <c r="F276" s="107"/>
      <c r="G276" s="107"/>
      <c r="H276" s="107"/>
    </row>
    <row r="277" spans="2:8" x14ac:dyDescent="0.25">
      <c r="B277" s="107"/>
      <c r="C277" s="107"/>
      <c r="D277" s="107"/>
      <c r="E277" s="107"/>
      <c r="F277" s="107"/>
      <c r="G277" s="107"/>
      <c r="H277" s="107"/>
    </row>
    <row r="278" spans="2:8" x14ac:dyDescent="0.25">
      <c r="B278" s="107"/>
      <c r="C278" s="107"/>
      <c r="D278" s="107"/>
      <c r="E278" s="107"/>
      <c r="F278" s="107"/>
      <c r="G278" s="107"/>
      <c r="H278" s="107"/>
    </row>
    <row r="279" spans="2:8" x14ac:dyDescent="0.25">
      <c r="B279" s="107"/>
      <c r="C279" s="107"/>
      <c r="D279" s="107"/>
      <c r="E279" s="107"/>
      <c r="F279" s="107"/>
      <c r="G279" s="107"/>
      <c r="H279" s="107"/>
    </row>
    <row r="280" spans="2:8" x14ac:dyDescent="0.25">
      <c r="B280" s="107"/>
      <c r="C280" s="107"/>
      <c r="D280" s="107"/>
      <c r="E280" s="107"/>
      <c r="F280" s="107"/>
      <c r="G280" s="107"/>
      <c r="H280" s="107"/>
    </row>
    <row r="281" spans="2:8" x14ac:dyDescent="0.25">
      <c r="B281" s="107"/>
      <c r="C281" s="107"/>
      <c r="D281" s="107"/>
      <c r="E281" s="107"/>
      <c r="F281" s="107"/>
      <c r="G281" s="107"/>
      <c r="H281" s="107"/>
    </row>
    <row r="282" spans="2:8" x14ac:dyDescent="0.25">
      <c r="B282" s="107"/>
      <c r="C282" s="107"/>
      <c r="D282" s="107"/>
      <c r="E282" s="107"/>
      <c r="F282" s="107"/>
      <c r="G282" s="107"/>
      <c r="H282" s="107"/>
    </row>
    <row r="283" spans="2:8" x14ac:dyDescent="0.25">
      <c r="B283" s="107"/>
      <c r="C283" s="107"/>
      <c r="D283" s="107"/>
      <c r="E283" s="107"/>
      <c r="F283" s="107"/>
      <c r="G283" s="107"/>
      <c r="H283" s="107"/>
    </row>
    <row r="284" spans="2:8" x14ac:dyDescent="0.25">
      <c r="B284" s="107"/>
      <c r="C284" s="107"/>
      <c r="D284" s="107"/>
      <c r="E284" s="107"/>
      <c r="F284" s="107"/>
      <c r="G284" s="107"/>
      <c r="H284" s="107"/>
    </row>
    <row r="285" spans="2:8" x14ac:dyDescent="0.25">
      <c r="B285" s="107"/>
      <c r="C285" s="107"/>
      <c r="D285" s="107"/>
      <c r="E285" s="107"/>
      <c r="F285" s="107"/>
      <c r="G285" s="107"/>
      <c r="H285" s="107"/>
    </row>
    <row r="286" spans="2:8" x14ac:dyDescent="0.25">
      <c r="B286" s="107"/>
      <c r="C286" s="107"/>
      <c r="D286" s="107"/>
      <c r="E286" s="107"/>
      <c r="F286" s="107"/>
      <c r="G286" s="107"/>
      <c r="H286" s="107"/>
    </row>
    <row r="287" spans="2:8" x14ac:dyDescent="0.25">
      <c r="B287" s="107"/>
      <c r="C287" s="107"/>
      <c r="D287" s="107"/>
      <c r="E287" s="107"/>
      <c r="F287" s="107"/>
      <c r="G287" s="107"/>
      <c r="H287" s="107"/>
    </row>
    <row r="288" spans="2:8" x14ac:dyDescent="0.25">
      <c r="B288" s="107"/>
      <c r="C288" s="107"/>
      <c r="D288" s="107"/>
      <c r="E288" s="107"/>
      <c r="F288" s="107"/>
      <c r="G288" s="107"/>
      <c r="H288" s="107"/>
    </row>
    <row r="289" spans="2:8" x14ac:dyDescent="0.25">
      <c r="B289" s="107"/>
      <c r="C289" s="107"/>
      <c r="D289" s="107"/>
      <c r="E289" s="107"/>
      <c r="F289" s="107"/>
      <c r="G289" s="107"/>
      <c r="H289" s="107"/>
    </row>
    <row r="290" spans="2:8" x14ac:dyDescent="0.25">
      <c r="B290" s="107"/>
      <c r="C290" s="107"/>
      <c r="D290" s="107"/>
      <c r="E290" s="107"/>
      <c r="F290" s="107"/>
      <c r="G290" s="107"/>
      <c r="H290" s="107"/>
    </row>
    <row r="291" spans="2:8" x14ac:dyDescent="0.25">
      <c r="B291" s="107"/>
      <c r="C291" s="107"/>
      <c r="D291" s="107"/>
      <c r="E291" s="107"/>
      <c r="F291" s="107"/>
      <c r="G291" s="107"/>
      <c r="H291" s="107"/>
    </row>
    <row r="292" spans="2:8" x14ac:dyDescent="0.25">
      <c r="B292" s="107"/>
      <c r="C292" s="107"/>
      <c r="D292" s="107"/>
      <c r="E292" s="107"/>
      <c r="F292" s="107"/>
      <c r="G292" s="107"/>
      <c r="H292" s="107"/>
    </row>
    <row r="293" spans="2:8" x14ac:dyDescent="0.25">
      <c r="B293" s="107"/>
      <c r="C293" s="107"/>
      <c r="D293" s="107"/>
      <c r="E293" s="107"/>
      <c r="F293" s="107"/>
      <c r="G293" s="107"/>
      <c r="H293" s="107"/>
    </row>
    <row r="294" spans="2:8" x14ac:dyDescent="0.25">
      <c r="B294" s="107"/>
      <c r="C294" s="107"/>
      <c r="D294" s="107"/>
      <c r="E294" s="107"/>
      <c r="F294" s="107"/>
      <c r="G294" s="107"/>
      <c r="H294" s="107"/>
    </row>
    <row r="295" spans="2:8" x14ac:dyDescent="0.25">
      <c r="B295" s="107"/>
      <c r="C295" s="107"/>
      <c r="D295" s="107"/>
      <c r="E295" s="107"/>
      <c r="F295" s="107"/>
      <c r="G295" s="107"/>
      <c r="H295" s="107"/>
    </row>
    <row r="296" spans="2:8" x14ac:dyDescent="0.25">
      <c r="B296" s="107"/>
      <c r="C296" s="107"/>
      <c r="D296" s="107"/>
      <c r="E296" s="107"/>
      <c r="F296" s="107"/>
      <c r="G296" s="107"/>
      <c r="H296" s="107"/>
    </row>
    <row r="297" spans="2:8" x14ac:dyDescent="0.25">
      <c r="B297" s="107"/>
      <c r="C297" s="107"/>
      <c r="D297" s="107"/>
      <c r="E297" s="107"/>
      <c r="F297" s="107"/>
      <c r="G297" s="107"/>
      <c r="H297" s="107"/>
    </row>
    <row r="298" spans="2:8" x14ac:dyDescent="0.25">
      <c r="B298" s="107"/>
      <c r="C298" s="107"/>
      <c r="D298" s="107"/>
      <c r="E298" s="107"/>
      <c r="F298" s="107"/>
      <c r="G298" s="107"/>
      <c r="H298" s="107"/>
    </row>
    <row r="299" spans="2:8" x14ac:dyDescent="0.25">
      <c r="B299" s="107"/>
      <c r="C299" s="107"/>
      <c r="D299" s="107"/>
      <c r="E299" s="107"/>
      <c r="F299" s="107"/>
      <c r="G299" s="107"/>
      <c r="H299" s="107"/>
    </row>
    <row r="300" spans="2:8" x14ac:dyDescent="0.25">
      <c r="B300" s="107"/>
      <c r="C300" s="107"/>
      <c r="D300" s="107"/>
      <c r="E300" s="107"/>
      <c r="F300" s="107"/>
      <c r="G300" s="107"/>
      <c r="H300" s="107"/>
    </row>
    <row r="301" spans="2:8" x14ac:dyDescent="0.25">
      <c r="B301" s="107"/>
      <c r="C301" s="107"/>
      <c r="D301" s="107"/>
      <c r="E301" s="107"/>
      <c r="F301" s="107"/>
      <c r="G301" s="107"/>
      <c r="H301" s="107"/>
    </row>
    <row r="302" spans="2:8" x14ac:dyDescent="0.25">
      <c r="B302" s="107"/>
      <c r="C302" s="107"/>
      <c r="D302" s="107"/>
      <c r="E302" s="107"/>
      <c r="F302" s="107"/>
      <c r="G302" s="107"/>
      <c r="H302" s="107"/>
    </row>
    <row r="303" spans="2:8" x14ac:dyDescent="0.25">
      <c r="B303" s="107"/>
      <c r="C303" s="107"/>
      <c r="D303" s="107"/>
      <c r="E303" s="107"/>
      <c r="F303" s="107"/>
      <c r="G303" s="107"/>
      <c r="H303" s="107"/>
    </row>
    <row r="304" spans="2:8" x14ac:dyDescent="0.25">
      <c r="B304" s="107"/>
      <c r="C304" s="107"/>
      <c r="D304" s="107"/>
      <c r="E304" s="107"/>
      <c r="F304" s="107"/>
      <c r="G304" s="107"/>
      <c r="H304" s="107"/>
    </row>
    <row r="305" spans="2:8" x14ac:dyDescent="0.25">
      <c r="B305" s="107"/>
      <c r="C305" s="107"/>
      <c r="D305" s="107"/>
      <c r="E305" s="107"/>
      <c r="F305" s="107"/>
      <c r="G305" s="107"/>
      <c r="H305" s="107"/>
    </row>
    <row r="306" spans="2:8" x14ac:dyDescent="0.25">
      <c r="B306" s="107"/>
      <c r="C306" s="107"/>
      <c r="D306" s="107"/>
      <c r="E306" s="107"/>
      <c r="F306" s="107"/>
      <c r="G306" s="107"/>
      <c r="H306" s="107"/>
    </row>
    <row r="307" spans="2:8" x14ac:dyDescent="0.25">
      <c r="B307" s="107"/>
      <c r="C307" s="107"/>
      <c r="D307" s="107"/>
      <c r="E307" s="107"/>
      <c r="F307" s="107"/>
      <c r="G307" s="107"/>
      <c r="H307" s="107"/>
    </row>
    <row r="308" spans="2:8" x14ac:dyDescent="0.25">
      <c r="B308" s="107"/>
      <c r="C308" s="107"/>
      <c r="D308" s="107"/>
      <c r="E308" s="107"/>
      <c r="F308" s="107"/>
      <c r="G308" s="107"/>
      <c r="H308" s="107"/>
    </row>
    <row r="309" spans="2:8" x14ac:dyDescent="0.25">
      <c r="B309" s="107"/>
      <c r="C309" s="107"/>
      <c r="D309" s="107"/>
      <c r="E309" s="107"/>
      <c r="F309" s="107"/>
      <c r="G309" s="107"/>
      <c r="H309" s="107"/>
    </row>
    <row r="310" spans="2:8" x14ac:dyDescent="0.25">
      <c r="B310" s="107"/>
      <c r="C310" s="107"/>
      <c r="D310" s="107"/>
      <c r="E310" s="107"/>
      <c r="F310" s="107"/>
      <c r="G310" s="107"/>
      <c r="H310" s="107"/>
    </row>
    <row r="311" spans="2:8" x14ac:dyDescent="0.25">
      <c r="B311" s="107"/>
      <c r="C311" s="107"/>
      <c r="D311" s="107"/>
      <c r="E311" s="107"/>
      <c r="F311" s="107"/>
      <c r="G311" s="107"/>
      <c r="H311" s="107"/>
    </row>
    <row r="312" spans="2:8" x14ac:dyDescent="0.25">
      <c r="B312" s="107"/>
      <c r="C312" s="107"/>
      <c r="D312" s="107"/>
      <c r="E312" s="107"/>
      <c r="F312" s="107"/>
      <c r="G312" s="107"/>
      <c r="H312" s="107"/>
    </row>
    <row r="313" spans="2:8" x14ac:dyDescent="0.25">
      <c r="B313" s="107"/>
      <c r="C313" s="107"/>
      <c r="D313" s="107"/>
      <c r="E313" s="107"/>
      <c r="F313" s="107"/>
      <c r="G313" s="107"/>
      <c r="H313" s="107"/>
    </row>
    <row r="314" spans="2:8" x14ac:dyDescent="0.25">
      <c r="B314" s="107"/>
      <c r="C314" s="107"/>
      <c r="D314" s="107"/>
      <c r="E314" s="107"/>
      <c r="F314" s="107"/>
      <c r="G314" s="107"/>
      <c r="H314" s="107"/>
    </row>
    <row r="315" spans="2:8" x14ac:dyDescent="0.25">
      <c r="B315" s="107"/>
      <c r="C315" s="107"/>
      <c r="D315" s="107"/>
      <c r="E315" s="107"/>
      <c r="F315" s="107"/>
      <c r="G315" s="107"/>
      <c r="H315" s="107"/>
    </row>
    <row r="316" spans="2:8" x14ac:dyDescent="0.25">
      <c r="B316" s="107"/>
      <c r="C316" s="107"/>
      <c r="D316" s="107"/>
      <c r="E316" s="107"/>
      <c r="F316" s="107"/>
      <c r="G316" s="107"/>
      <c r="H316" s="107"/>
    </row>
    <row r="317" spans="2:8" x14ac:dyDescent="0.25">
      <c r="B317" s="107"/>
      <c r="C317" s="107"/>
      <c r="D317" s="107"/>
      <c r="E317" s="107"/>
      <c r="F317" s="107"/>
      <c r="G317" s="107"/>
      <c r="H317" s="107"/>
    </row>
    <row r="318" spans="2:8" x14ac:dyDescent="0.25">
      <c r="B318" s="107"/>
      <c r="C318" s="107"/>
      <c r="D318" s="107"/>
      <c r="E318" s="107"/>
      <c r="F318" s="107"/>
      <c r="G318" s="107"/>
      <c r="H318" s="107"/>
    </row>
    <row r="319" spans="2:8" x14ac:dyDescent="0.25">
      <c r="B319" s="107"/>
      <c r="C319" s="107"/>
      <c r="D319" s="107"/>
      <c r="E319" s="107"/>
      <c r="F319" s="107"/>
      <c r="G319" s="107"/>
      <c r="H319" s="107"/>
    </row>
    <row r="320" spans="2:8" x14ac:dyDescent="0.25">
      <c r="B320" s="107"/>
      <c r="C320" s="107"/>
      <c r="D320" s="107"/>
      <c r="E320" s="107"/>
      <c r="F320" s="107"/>
      <c r="G320" s="107"/>
      <c r="H320" s="107"/>
    </row>
    <row r="321" spans="2:8" x14ac:dyDescent="0.25">
      <c r="B321" s="107"/>
      <c r="C321" s="107"/>
      <c r="D321" s="107"/>
      <c r="E321" s="107"/>
      <c r="F321" s="107"/>
      <c r="G321" s="107"/>
      <c r="H321" s="107"/>
    </row>
    <row r="322" spans="2:8" x14ac:dyDescent="0.25">
      <c r="B322" s="107"/>
      <c r="C322" s="107"/>
      <c r="D322" s="107"/>
      <c r="E322" s="107"/>
      <c r="F322" s="107"/>
      <c r="G322" s="107"/>
      <c r="H322" s="107"/>
    </row>
    <row r="323" spans="2:8" x14ac:dyDescent="0.25">
      <c r="B323" s="107"/>
      <c r="C323" s="107"/>
      <c r="D323" s="107"/>
      <c r="E323" s="107"/>
      <c r="F323" s="107"/>
      <c r="G323" s="107"/>
      <c r="H323" s="107"/>
    </row>
    <row r="324" spans="2:8" x14ac:dyDescent="0.25">
      <c r="B324" s="107"/>
      <c r="C324" s="107"/>
      <c r="D324" s="107"/>
      <c r="E324" s="107"/>
      <c r="F324" s="107"/>
      <c r="G324" s="107"/>
      <c r="H324" s="107"/>
    </row>
    <row r="325" spans="2:8" x14ac:dyDescent="0.25">
      <c r="B325" s="107"/>
      <c r="C325" s="107"/>
      <c r="D325" s="107"/>
      <c r="E325" s="107"/>
      <c r="F325" s="107"/>
      <c r="G325" s="107"/>
      <c r="H325" s="107"/>
    </row>
    <row r="326" spans="2:8" x14ac:dyDescent="0.25">
      <c r="B326" s="107"/>
      <c r="C326" s="107"/>
      <c r="D326" s="107"/>
      <c r="E326" s="107"/>
      <c r="F326" s="107"/>
      <c r="G326" s="107"/>
      <c r="H326" s="107"/>
    </row>
    <row r="327" spans="2:8" x14ac:dyDescent="0.25">
      <c r="B327" s="107"/>
      <c r="C327" s="107"/>
      <c r="D327" s="107"/>
      <c r="E327" s="107"/>
      <c r="F327" s="107"/>
      <c r="G327" s="107"/>
      <c r="H327" s="107"/>
    </row>
    <row r="328" spans="2:8" x14ac:dyDescent="0.25">
      <c r="B328" s="107"/>
      <c r="C328" s="107"/>
      <c r="D328" s="107"/>
      <c r="E328" s="107"/>
      <c r="F328" s="107"/>
      <c r="G328" s="107"/>
      <c r="H328" s="107"/>
    </row>
    <row r="329" spans="2:8" x14ac:dyDescent="0.25">
      <c r="B329" s="107"/>
      <c r="C329" s="107"/>
      <c r="D329" s="107"/>
      <c r="E329" s="107"/>
      <c r="F329" s="107"/>
      <c r="G329" s="107"/>
      <c r="H329" s="107"/>
    </row>
    <row r="330" spans="2:8" x14ac:dyDescent="0.25">
      <c r="B330" s="107"/>
      <c r="C330" s="107"/>
      <c r="D330" s="107"/>
      <c r="E330" s="107"/>
      <c r="F330" s="107"/>
      <c r="G330" s="107"/>
      <c r="H330" s="107"/>
    </row>
    <row r="331" spans="2:8" x14ac:dyDescent="0.25">
      <c r="B331" s="107"/>
      <c r="C331" s="107"/>
      <c r="D331" s="107"/>
      <c r="E331" s="107"/>
      <c r="F331" s="107"/>
      <c r="G331" s="107"/>
      <c r="H331" s="107"/>
    </row>
    <row r="332" spans="2:8" x14ac:dyDescent="0.25">
      <c r="B332" s="107"/>
      <c r="C332" s="107"/>
      <c r="D332" s="107"/>
      <c r="E332" s="107"/>
      <c r="F332" s="107"/>
      <c r="G332" s="107"/>
      <c r="H332" s="107"/>
    </row>
    <row r="333" spans="2:8" x14ac:dyDescent="0.25">
      <c r="B333" s="107"/>
      <c r="C333" s="107"/>
      <c r="D333" s="107"/>
      <c r="E333" s="107"/>
      <c r="F333" s="107"/>
      <c r="G333" s="107"/>
      <c r="H333" s="107"/>
    </row>
    <row r="334" spans="2:8" x14ac:dyDescent="0.25">
      <c r="B334" s="107"/>
      <c r="C334" s="107"/>
      <c r="D334" s="107"/>
      <c r="E334" s="107"/>
      <c r="F334" s="107"/>
      <c r="G334" s="107"/>
      <c r="H334" s="107"/>
    </row>
    <row r="335" spans="2:8" x14ac:dyDescent="0.25">
      <c r="B335" s="107"/>
      <c r="C335" s="107"/>
      <c r="D335" s="107"/>
      <c r="E335" s="107"/>
      <c r="F335" s="107"/>
      <c r="G335" s="107"/>
      <c r="H335" s="107"/>
    </row>
    <row r="336" spans="2:8" x14ac:dyDescent="0.25">
      <c r="B336" s="107"/>
      <c r="C336" s="107"/>
      <c r="D336" s="107"/>
      <c r="E336" s="107"/>
      <c r="F336" s="107"/>
      <c r="G336" s="107"/>
      <c r="H336" s="107"/>
    </row>
    <row r="337" spans="2:8" x14ac:dyDescent="0.25">
      <c r="B337" s="107"/>
      <c r="C337" s="107"/>
      <c r="D337" s="107"/>
      <c r="E337" s="107"/>
      <c r="F337" s="107"/>
      <c r="G337" s="107"/>
      <c r="H337" s="107"/>
    </row>
    <row r="338" spans="2:8" x14ac:dyDescent="0.25">
      <c r="B338" s="107"/>
      <c r="C338" s="107"/>
      <c r="D338" s="107"/>
      <c r="E338" s="107"/>
      <c r="F338" s="107"/>
      <c r="G338" s="107"/>
      <c r="H338" s="107"/>
    </row>
    <row r="339" spans="2:8" x14ac:dyDescent="0.25">
      <c r="B339" s="107"/>
      <c r="C339" s="107"/>
      <c r="D339" s="107"/>
      <c r="E339" s="107"/>
      <c r="F339" s="107"/>
      <c r="G339" s="107"/>
      <c r="H339" s="107"/>
    </row>
    <row r="340" spans="2:8" x14ac:dyDescent="0.25">
      <c r="B340" s="107"/>
      <c r="C340" s="107"/>
      <c r="D340" s="107"/>
      <c r="E340" s="107"/>
      <c r="F340" s="107"/>
      <c r="G340" s="107"/>
      <c r="H340" s="107"/>
    </row>
    <row r="341" spans="2:8" x14ac:dyDescent="0.25">
      <c r="B341" s="107"/>
      <c r="C341" s="107"/>
      <c r="D341" s="107"/>
      <c r="E341" s="107"/>
      <c r="F341" s="107"/>
      <c r="G341" s="107"/>
      <c r="H341" s="107"/>
    </row>
    <row r="342" spans="2:8" x14ac:dyDescent="0.25">
      <c r="B342" s="107"/>
      <c r="C342" s="107"/>
      <c r="D342" s="107"/>
      <c r="E342" s="107"/>
      <c r="F342" s="107"/>
      <c r="G342" s="107"/>
      <c r="H342" s="107"/>
    </row>
    <row r="343" spans="2:8" x14ac:dyDescent="0.25">
      <c r="B343" s="107"/>
      <c r="C343" s="107"/>
      <c r="D343" s="107"/>
      <c r="E343" s="107"/>
      <c r="F343" s="107"/>
      <c r="G343" s="107"/>
      <c r="H343" s="107"/>
    </row>
    <row r="344" spans="2:8" x14ac:dyDescent="0.25">
      <c r="B344" s="107"/>
      <c r="C344" s="107"/>
      <c r="D344" s="107"/>
      <c r="E344" s="107"/>
      <c r="F344" s="107"/>
      <c r="G344" s="107"/>
      <c r="H344" s="107"/>
    </row>
    <row r="345" spans="2:8" x14ac:dyDescent="0.25">
      <c r="B345" s="107"/>
      <c r="C345" s="107"/>
      <c r="D345" s="107"/>
      <c r="E345" s="107"/>
      <c r="F345" s="107"/>
      <c r="G345" s="107"/>
      <c r="H345" s="107"/>
    </row>
    <row r="346" spans="2:8" x14ac:dyDescent="0.25">
      <c r="B346" s="107"/>
      <c r="C346" s="107"/>
      <c r="D346" s="107"/>
      <c r="E346" s="107"/>
      <c r="F346" s="107"/>
      <c r="G346" s="107"/>
      <c r="H346" s="107"/>
    </row>
    <row r="347" spans="2:8" x14ac:dyDescent="0.25">
      <c r="B347" s="107"/>
      <c r="C347" s="107"/>
      <c r="D347" s="107"/>
      <c r="E347" s="107"/>
      <c r="F347" s="107"/>
      <c r="G347" s="107"/>
      <c r="H347" s="107"/>
    </row>
    <row r="348" spans="2:8" x14ac:dyDescent="0.25">
      <c r="B348" s="107"/>
      <c r="C348" s="107"/>
      <c r="D348" s="107"/>
      <c r="E348" s="107"/>
      <c r="F348" s="107"/>
      <c r="G348" s="107"/>
      <c r="H348" s="107"/>
    </row>
    <row r="349" spans="2:8" x14ac:dyDescent="0.25">
      <c r="B349" s="107"/>
      <c r="C349" s="107"/>
      <c r="D349" s="107"/>
      <c r="E349" s="107"/>
      <c r="F349" s="107"/>
      <c r="G349" s="107"/>
      <c r="H349" s="107"/>
    </row>
    <row r="350" spans="2:8" x14ac:dyDescent="0.25">
      <c r="B350" s="107"/>
      <c r="C350" s="107"/>
      <c r="D350" s="107"/>
      <c r="E350" s="107"/>
      <c r="F350" s="107"/>
      <c r="G350" s="107"/>
      <c r="H350" s="107"/>
    </row>
    <row r="351" spans="2:8" x14ac:dyDescent="0.25">
      <c r="B351" s="107"/>
      <c r="C351" s="107"/>
      <c r="D351" s="107"/>
      <c r="E351" s="107"/>
      <c r="F351" s="107"/>
      <c r="G351" s="107"/>
      <c r="H351" s="107"/>
    </row>
    <row r="352" spans="2:8" x14ac:dyDescent="0.25">
      <c r="B352" s="107"/>
      <c r="C352" s="107"/>
      <c r="D352" s="107"/>
      <c r="E352" s="107"/>
      <c r="F352" s="107"/>
      <c r="G352" s="107"/>
      <c r="H352" s="107"/>
    </row>
    <row r="353" spans="2:8" x14ac:dyDescent="0.25">
      <c r="B353" s="107"/>
      <c r="C353" s="107"/>
      <c r="D353" s="107"/>
      <c r="E353" s="107"/>
      <c r="F353" s="107"/>
      <c r="G353" s="107"/>
      <c r="H353" s="107"/>
    </row>
    <row r="354" spans="2:8" x14ac:dyDescent="0.25">
      <c r="B354" s="107"/>
      <c r="C354" s="107"/>
      <c r="D354" s="107"/>
      <c r="E354" s="107"/>
      <c r="F354" s="107"/>
      <c r="G354" s="107"/>
      <c r="H354" s="107"/>
    </row>
    <row r="355" spans="2:8" x14ac:dyDescent="0.25">
      <c r="B355" s="107"/>
      <c r="C355" s="107"/>
      <c r="D355" s="107"/>
      <c r="E355" s="107"/>
      <c r="F355" s="107"/>
      <c r="G355" s="107"/>
      <c r="H355" s="107"/>
    </row>
    <row r="356" spans="2:8" x14ac:dyDescent="0.25">
      <c r="B356" s="107"/>
      <c r="C356" s="107"/>
      <c r="D356" s="107"/>
      <c r="E356" s="107"/>
      <c r="F356" s="107"/>
      <c r="G356" s="107"/>
      <c r="H356" s="107"/>
    </row>
    <row r="357" spans="2:8" x14ac:dyDescent="0.25">
      <c r="B357" s="107"/>
      <c r="C357" s="107"/>
      <c r="D357" s="107"/>
      <c r="E357" s="107"/>
      <c r="F357" s="107"/>
      <c r="G357" s="107"/>
      <c r="H357" s="107"/>
    </row>
    <row r="358" spans="2:8" x14ac:dyDescent="0.25">
      <c r="B358" s="107"/>
      <c r="C358" s="107"/>
      <c r="D358" s="107"/>
      <c r="E358" s="107"/>
      <c r="F358" s="107"/>
      <c r="G358" s="107"/>
      <c r="H358" s="107"/>
    </row>
    <row r="359" spans="2:8" x14ac:dyDescent="0.25">
      <c r="B359" s="107"/>
      <c r="C359" s="107"/>
      <c r="D359" s="107"/>
      <c r="E359" s="107"/>
      <c r="F359" s="107"/>
      <c r="G359" s="107"/>
      <c r="H359" s="107"/>
    </row>
    <row r="360" spans="2:8" x14ac:dyDescent="0.25">
      <c r="B360" s="107"/>
      <c r="C360" s="107"/>
      <c r="D360" s="107"/>
      <c r="E360" s="107"/>
      <c r="F360" s="107"/>
      <c r="G360" s="107"/>
      <c r="H360" s="107"/>
    </row>
    <row r="361" spans="2:8" x14ac:dyDescent="0.25">
      <c r="B361" s="107"/>
      <c r="C361" s="107"/>
      <c r="D361" s="107"/>
      <c r="E361" s="107"/>
      <c r="F361" s="107"/>
      <c r="G361" s="107"/>
      <c r="H361" s="107"/>
    </row>
    <row r="362" spans="2:8" x14ac:dyDescent="0.25">
      <c r="B362" s="107"/>
      <c r="C362" s="107"/>
      <c r="D362" s="107"/>
      <c r="E362" s="107"/>
      <c r="F362" s="107"/>
      <c r="G362" s="107"/>
      <c r="H362" s="107"/>
    </row>
    <row r="363" spans="2:8" x14ac:dyDescent="0.25">
      <c r="B363" s="107"/>
      <c r="C363" s="107"/>
      <c r="D363" s="107"/>
      <c r="E363" s="107"/>
      <c r="F363" s="107"/>
      <c r="G363" s="107"/>
      <c r="H363" s="107"/>
    </row>
    <row r="364" spans="2:8" x14ac:dyDescent="0.25">
      <c r="B364" s="107"/>
      <c r="C364" s="107"/>
      <c r="D364" s="107"/>
      <c r="E364" s="107"/>
      <c r="F364" s="107"/>
      <c r="G364" s="107"/>
      <c r="H364" s="107"/>
    </row>
    <row r="365" spans="2:8" x14ac:dyDescent="0.25">
      <c r="B365" s="107"/>
      <c r="C365" s="107"/>
      <c r="D365" s="107"/>
      <c r="E365" s="107"/>
      <c r="F365" s="107"/>
      <c r="G365" s="107"/>
      <c r="H365" s="107"/>
    </row>
    <row r="366" spans="2:8" x14ac:dyDescent="0.25">
      <c r="B366" s="107"/>
      <c r="C366" s="107"/>
      <c r="D366" s="107"/>
      <c r="E366" s="107"/>
      <c r="F366" s="107"/>
      <c r="G366" s="107"/>
      <c r="H366" s="107"/>
    </row>
    <row r="367" spans="2:8" x14ac:dyDescent="0.25">
      <c r="B367" s="107"/>
      <c r="C367" s="107"/>
      <c r="D367" s="107"/>
      <c r="E367" s="107"/>
      <c r="F367" s="107"/>
      <c r="G367" s="107"/>
      <c r="H367" s="107"/>
    </row>
    <row r="368" spans="2:8" x14ac:dyDescent="0.25">
      <c r="B368" s="107"/>
      <c r="C368" s="107"/>
      <c r="D368" s="107"/>
      <c r="E368" s="107"/>
      <c r="F368" s="107"/>
      <c r="G368" s="107"/>
      <c r="H368" s="107"/>
    </row>
    <row r="369" spans="2:8" x14ac:dyDescent="0.25">
      <c r="B369" s="107"/>
      <c r="C369" s="107"/>
      <c r="D369" s="107"/>
      <c r="E369" s="107"/>
      <c r="F369" s="107"/>
      <c r="G369" s="107"/>
      <c r="H369" s="107"/>
    </row>
    <row r="370" spans="2:8" x14ac:dyDescent="0.25">
      <c r="B370" s="107"/>
      <c r="C370" s="107"/>
      <c r="D370" s="107"/>
      <c r="E370" s="107"/>
      <c r="F370" s="107"/>
      <c r="G370" s="107"/>
      <c r="H370" s="107"/>
    </row>
    <row r="371" spans="2:8" x14ac:dyDescent="0.25">
      <c r="B371" s="107"/>
      <c r="C371" s="107"/>
      <c r="D371" s="107"/>
      <c r="E371" s="107"/>
      <c r="F371" s="107"/>
      <c r="G371" s="107"/>
      <c r="H371" s="107"/>
    </row>
    <row r="372" spans="2:8" x14ac:dyDescent="0.25">
      <c r="B372" s="107"/>
      <c r="C372" s="107"/>
      <c r="D372" s="107"/>
      <c r="E372" s="107"/>
      <c r="F372" s="107"/>
      <c r="G372" s="107"/>
      <c r="H372" s="107"/>
    </row>
    <row r="373" spans="2:8" x14ac:dyDescent="0.25">
      <c r="B373" s="107"/>
      <c r="C373" s="107"/>
      <c r="D373" s="107"/>
      <c r="E373" s="107"/>
      <c r="F373" s="107"/>
      <c r="G373" s="107"/>
      <c r="H373" s="107"/>
    </row>
    <row r="374" spans="2:8" x14ac:dyDescent="0.25">
      <c r="B374" s="107"/>
      <c r="C374" s="107"/>
      <c r="D374" s="107"/>
      <c r="E374" s="107"/>
      <c r="F374" s="107"/>
      <c r="G374" s="107"/>
      <c r="H374" s="107"/>
    </row>
    <row r="375" spans="2:8" x14ac:dyDescent="0.25">
      <c r="B375" s="107"/>
      <c r="C375" s="107"/>
      <c r="D375" s="107"/>
      <c r="E375" s="107"/>
      <c r="F375" s="107"/>
      <c r="G375" s="107"/>
      <c r="H375" s="107"/>
    </row>
    <row r="376" spans="2:8" x14ac:dyDescent="0.25">
      <c r="B376" s="107"/>
      <c r="C376" s="107"/>
      <c r="D376" s="107"/>
      <c r="E376" s="107"/>
      <c r="F376" s="107"/>
      <c r="G376" s="107"/>
      <c r="H376" s="107"/>
    </row>
    <row r="377" spans="2:8" x14ac:dyDescent="0.25">
      <c r="B377" s="107"/>
      <c r="C377" s="107"/>
      <c r="D377" s="107"/>
      <c r="E377" s="107"/>
      <c r="F377" s="107"/>
      <c r="G377" s="107"/>
      <c r="H377" s="107"/>
    </row>
    <row r="378" spans="2:8" x14ac:dyDescent="0.25">
      <c r="B378" s="107"/>
      <c r="C378" s="107"/>
      <c r="D378" s="107"/>
      <c r="E378" s="107"/>
      <c r="F378" s="107"/>
      <c r="G378" s="107"/>
      <c r="H378" s="107"/>
    </row>
    <row r="379" spans="2:8" x14ac:dyDescent="0.25">
      <c r="B379" s="107"/>
      <c r="C379" s="107"/>
      <c r="D379" s="107"/>
      <c r="E379" s="107"/>
      <c r="F379" s="107"/>
      <c r="G379" s="107"/>
      <c r="H379" s="107"/>
    </row>
    <row r="380" spans="2:8" x14ac:dyDescent="0.25">
      <c r="B380" s="107"/>
      <c r="C380" s="107"/>
      <c r="D380" s="107"/>
      <c r="E380" s="107"/>
      <c r="F380" s="107"/>
      <c r="G380" s="107"/>
      <c r="H380" s="107"/>
    </row>
    <row r="381" spans="2:8" x14ac:dyDescent="0.25">
      <c r="B381" s="107"/>
      <c r="C381" s="107"/>
      <c r="D381" s="107"/>
      <c r="E381" s="107"/>
      <c r="F381" s="107"/>
      <c r="G381" s="107"/>
      <c r="H381" s="107"/>
    </row>
    <row r="382" spans="2:8" x14ac:dyDescent="0.25">
      <c r="B382" s="107"/>
      <c r="C382" s="107"/>
      <c r="D382" s="107"/>
      <c r="E382" s="107"/>
      <c r="F382" s="107"/>
      <c r="G382" s="107"/>
      <c r="H382" s="107"/>
    </row>
    <row r="383" spans="2:8" x14ac:dyDescent="0.25">
      <c r="B383" s="107"/>
      <c r="C383" s="107"/>
      <c r="D383" s="107"/>
      <c r="E383" s="107"/>
      <c r="F383" s="107"/>
      <c r="G383" s="107"/>
      <c r="H383" s="107"/>
    </row>
    <row r="384" spans="2:8" x14ac:dyDescent="0.25">
      <c r="B384" s="107"/>
      <c r="C384" s="107"/>
      <c r="D384" s="107"/>
      <c r="E384" s="107"/>
      <c r="F384" s="107"/>
      <c r="G384" s="107"/>
      <c r="H384" s="107"/>
    </row>
    <row r="385" spans="2:8" x14ac:dyDescent="0.25">
      <c r="B385" s="107"/>
      <c r="C385" s="107"/>
      <c r="D385" s="107"/>
      <c r="E385" s="107"/>
      <c r="F385" s="107"/>
      <c r="G385" s="107"/>
      <c r="H385" s="107"/>
    </row>
    <row r="386" spans="2:8" x14ac:dyDescent="0.25">
      <c r="B386" s="107"/>
      <c r="C386" s="107"/>
      <c r="D386" s="107"/>
      <c r="E386" s="107"/>
      <c r="F386" s="107"/>
      <c r="G386" s="107"/>
      <c r="H386" s="107"/>
    </row>
    <row r="387" spans="2:8" x14ac:dyDescent="0.25">
      <c r="B387" s="107"/>
      <c r="C387" s="107"/>
      <c r="D387" s="107"/>
      <c r="E387" s="107"/>
      <c r="F387" s="107"/>
      <c r="G387" s="107"/>
      <c r="H387" s="107"/>
    </row>
    <row r="388" spans="2:8" x14ac:dyDescent="0.25">
      <c r="B388" s="107"/>
      <c r="C388" s="107"/>
      <c r="D388" s="107"/>
      <c r="E388" s="107"/>
      <c r="F388" s="107"/>
      <c r="G388" s="107"/>
      <c r="H388" s="107"/>
    </row>
    <row r="389" spans="2:8" x14ac:dyDescent="0.25">
      <c r="B389" s="107"/>
      <c r="C389" s="107"/>
      <c r="D389" s="107"/>
      <c r="E389" s="107"/>
      <c r="F389" s="107"/>
      <c r="G389" s="107"/>
      <c r="H389" s="107"/>
    </row>
    <row r="390" spans="2:8" x14ac:dyDescent="0.25">
      <c r="B390" s="107"/>
      <c r="C390" s="107"/>
      <c r="D390" s="107"/>
      <c r="E390" s="107"/>
      <c r="F390" s="107"/>
      <c r="G390" s="107"/>
      <c r="H390" s="107"/>
    </row>
    <row r="391" spans="2:8" x14ac:dyDescent="0.25">
      <c r="B391" s="107"/>
      <c r="C391" s="107"/>
      <c r="D391" s="107"/>
      <c r="E391" s="107"/>
      <c r="F391" s="107"/>
      <c r="G391" s="107"/>
      <c r="H391" s="107"/>
    </row>
    <row r="392" spans="2:8" x14ac:dyDescent="0.25">
      <c r="B392" s="107"/>
      <c r="C392" s="107"/>
      <c r="D392" s="107"/>
      <c r="E392" s="107"/>
      <c r="F392" s="107"/>
      <c r="G392" s="107"/>
      <c r="H392" s="107"/>
    </row>
    <row r="393" spans="2:8" x14ac:dyDescent="0.25">
      <c r="B393" s="107"/>
      <c r="C393" s="107"/>
      <c r="D393" s="107"/>
      <c r="E393" s="107"/>
      <c r="F393" s="107"/>
      <c r="G393" s="107"/>
      <c r="H393" s="107"/>
    </row>
    <row r="394" spans="2:8" x14ac:dyDescent="0.25">
      <c r="B394" s="107"/>
      <c r="C394" s="107"/>
      <c r="D394" s="107"/>
      <c r="E394" s="107"/>
      <c r="F394" s="107"/>
      <c r="G394" s="107"/>
      <c r="H394" s="107"/>
    </row>
    <row r="395" spans="2:8" x14ac:dyDescent="0.25">
      <c r="B395" s="107"/>
      <c r="C395" s="107"/>
      <c r="D395" s="107"/>
      <c r="E395" s="107"/>
      <c r="F395" s="107"/>
      <c r="G395" s="107"/>
      <c r="H395" s="107"/>
    </row>
    <row r="396" spans="2:8" x14ac:dyDescent="0.25">
      <c r="B396" s="107"/>
      <c r="C396" s="107"/>
      <c r="D396" s="107"/>
      <c r="E396" s="107"/>
      <c r="F396" s="107"/>
      <c r="G396" s="107"/>
      <c r="H396" s="107"/>
    </row>
    <row r="397" spans="2:8" x14ac:dyDescent="0.25">
      <c r="B397" s="107"/>
      <c r="C397" s="107"/>
      <c r="D397" s="107"/>
      <c r="E397" s="107"/>
      <c r="F397" s="107"/>
      <c r="G397" s="107"/>
      <c r="H397" s="107"/>
    </row>
    <row r="398" spans="2:8" x14ac:dyDescent="0.25">
      <c r="B398" s="107"/>
      <c r="C398" s="107"/>
      <c r="D398" s="107"/>
      <c r="E398" s="107"/>
      <c r="F398" s="107"/>
      <c r="G398" s="107"/>
      <c r="H398" s="107"/>
    </row>
    <row r="399" spans="2:8" x14ac:dyDescent="0.25">
      <c r="B399" s="107"/>
      <c r="C399" s="107"/>
      <c r="D399" s="107"/>
      <c r="E399" s="107"/>
      <c r="F399" s="107"/>
      <c r="G399" s="107"/>
      <c r="H399" s="107"/>
    </row>
    <row r="400" spans="2:8" x14ac:dyDescent="0.25">
      <c r="B400" s="107"/>
      <c r="C400" s="107"/>
      <c r="D400" s="107"/>
      <c r="E400" s="107"/>
      <c r="F400" s="107"/>
      <c r="G400" s="107"/>
      <c r="H400" s="107"/>
    </row>
    <row r="401" spans="2:8" x14ac:dyDescent="0.25">
      <c r="B401" s="107"/>
      <c r="C401" s="107"/>
      <c r="D401" s="107"/>
      <c r="E401" s="107"/>
      <c r="F401" s="107"/>
      <c r="G401" s="107"/>
      <c r="H401" s="107"/>
    </row>
    <row r="402" spans="2:8" x14ac:dyDescent="0.25">
      <c r="B402" s="107"/>
      <c r="C402" s="107"/>
      <c r="D402" s="107"/>
      <c r="E402" s="107"/>
      <c r="F402" s="107"/>
      <c r="G402" s="107"/>
      <c r="H402" s="107"/>
    </row>
    <row r="403" spans="2:8" x14ac:dyDescent="0.25">
      <c r="B403" s="107"/>
      <c r="C403" s="107"/>
      <c r="D403" s="107"/>
      <c r="E403" s="107"/>
      <c r="F403" s="107"/>
      <c r="G403" s="107"/>
      <c r="H403" s="107"/>
    </row>
    <row r="404" spans="2:8" x14ac:dyDescent="0.25">
      <c r="B404" s="107"/>
      <c r="C404" s="107"/>
      <c r="D404" s="107"/>
      <c r="E404" s="107"/>
      <c r="F404" s="107"/>
      <c r="G404" s="107"/>
      <c r="H404" s="107"/>
    </row>
    <row r="405" spans="2:8" x14ac:dyDescent="0.25">
      <c r="B405" s="107"/>
      <c r="C405" s="107"/>
      <c r="D405" s="107"/>
      <c r="E405" s="107"/>
      <c r="F405" s="107"/>
      <c r="G405" s="107"/>
      <c r="H405" s="107"/>
    </row>
    <row r="406" spans="2:8" x14ac:dyDescent="0.25">
      <c r="B406" s="107"/>
      <c r="C406" s="107"/>
      <c r="D406" s="107"/>
      <c r="E406" s="107"/>
      <c r="F406" s="107"/>
      <c r="G406" s="107"/>
      <c r="H406" s="107"/>
    </row>
    <row r="407" spans="2:8" x14ac:dyDescent="0.25">
      <c r="B407" s="107"/>
      <c r="C407" s="107"/>
      <c r="D407" s="107"/>
      <c r="E407" s="107"/>
      <c r="F407" s="107"/>
      <c r="G407" s="107"/>
      <c r="H407" s="107"/>
    </row>
    <row r="408" spans="2:8" x14ac:dyDescent="0.25">
      <c r="B408" s="107"/>
      <c r="C408" s="107"/>
      <c r="D408" s="107"/>
      <c r="E408" s="107"/>
      <c r="F408" s="107"/>
      <c r="G408" s="107"/>
      <c r="H408" s="107"/>
    </row>
    <row r="409" spans="2:8" x14ac:dyDescent="0.25">
      <c r="B409" s="107"/>
      <c r="C409" s="107"/>
      <c r="D409" s="107"/>
      <c r="E409" s="107"/>
      <c r="F409" s="107"/>
      <c r="G409" s="107"/>
      <c r="H409" s="107"/>
    </row>
    <row r="410" spans="2:8" x14ac:dyDescent="0.25">
      <c r="B410" s="107"/>
      <c r="C410" s="107"/>
      <c r="D410" s="107"/>
      <c r="E410" s="107"/>
      <c r="F410" s="107"/>
      <c r="G410" s="107"/>
      <c r="H410" s="107"/>
    </row>
    <row r="411" spans="2:8" x14ac:dyDescent="0.25">
      <c r="B411" s="107"/>
      <c r="C411" s="107"/>
      <c r="D411" s="107"/>
      <c r="E411" s="107"/>
      <c r="F411" s="107"/>
      <c r="G411" s="107"/>
      <c r="H411" s="107"/>
    </row>
    <row r="412" spans="2:8" x14ac:dyDescent="0.25">
      <c r="B412" s="107"/>
      <c r="C412" s="107"/>
      <c r="D412" s="107"/>
      <c r="E412" s="107"/>
      <c r="F412" s="107"/>
      <c r="G412" s="107"/>
      <c r="H412" s="107"/>
    </row>
    <row r="413" spans="2:8" x14ac:dyDescent="0.25">
      <c r="B413" s="107"/>
      <c r="C413" s="107"/>
      <c r="D413" s="107"/>
      <c r="E413" s="107"/>
      <c r="F413" s="107"/>
      <c r="G413" s="107"/>
      <c r="H413" s="107"/>
    </row>
    <row r="414" spans="2:8" x14ac:dyDescent="0.25">
      <c r="B414" s="107"/>
      <c r="C414" s="107"/>
      <c r="D414" s="107"/>
      <c r="E414" s="107"/>
      <c r="F414" s="107"/>
      <c r="G414" s="107"/>
      <c r="H414" s="107"/>
    </row>
    <row r="415" spans="2:8" x14ac:dyDescent="0.25">
      <c r="B415" s="107"/>
      <c r="C415" s="107"/>
      <c r="D415" s="107"/>
      <c r="E415" s="107"/>
      <c r="F415" s="107"/>
      <c r="G415" s="107"/>
      <c r="H415" s="107"/>
    </row>
    <row r="416" spans="2:8" x14ac:dyDescent="0.25">
      <c r="B416" s="107"/>
      <c r="C416" s="107"/>
      <c r="D416" s="107"/>
      <c r="E416" s="107"/>
      <c r="F416" s="107"/>
      <c r="G416" s="107"/>
      <c r="H416" s="107"/>
    </row>
    <row r="417" spans="2:8" x14ac:dyDescent="0.25">
      <c r="B417" s="107"/>
      <c r="C417" s="107"/>
      <c r="D417" s="107"/>
      <c r="E417" s="107"/>
      <c r="F417" s="107"/>
      <c r="G417" s="107"/>
      <c r="H417" s="107"/>
    </row>
    <row r="418" spans="2:8" x14ac:dyDescent="0.25">
      <c r="B418" s="107"/>
      <c r="C418" s="107"/>
      <c r="D418" s="107"/>
      <c r="E418" s="107"/>
      <c r="F418" s="107"/>
      <c r="G418" s="107"/>
      <c r="H418" s="107"/>
    </row>
    <row r="419" spans="2:8" x14ac:dyDescent="0.25">
      <c r="B419" s="107"/>
      <c r="C419" s="107"/>
      <c r="D419" s="107"/>
      <c r="E419" s="107"/>
      <c r="F419" s="107"/>
      <c r="G419" s="107"/>
      <c r="H419" s="107"/>
    </row>
    <row r="420" spans="2:8" x14ac:dyDescent="0.25">
      <c r="B420" s="107"/>
      <c r="C420" s="107"/>
      <c r="D420" s="107"/>
      <c r="E420" s="107"/>
      <c r="F420" s="107"/>
      <c r="G420" s="107"/>
      <c r="H420" s="107"/>
    </row>
    <row r="421" spans="2:8" x14ac:dyDescent="0.25">
      <c r="B421" s="107"/>
      <c r="C421" s="107"/>
      <c r="D421" s="107"/>
      <c r="E421" s="107"/>
      <c r="F421" s="107"/>
      <c r="G421" s="107"/>
      <c r="H421" s="107"/>
    </row>
    <row r="422" spans="2:8" x14ac:dyDescent="0.25">
      <c r="B422" s="107"/>
      <c r="C422" s="107"/>
      <c r="D422" s="107"/>
      <c r="E422" s="107"/>
      <c r="F422" s="107"/>
      <c r="G422" s="107"/>
      <c r="H422" s="107"/>
    </row>
    <row r="423" spans="2:8" x14ac:dyDescent="0.25">
      <c r="B423" s="107"/>
      <c r="C423" s="107"/>
      <c r="D423" s="107"/>
      <c r="E423" s="107"/>
      <c r="F423" s="107"/>
      <c r="G423" s="107"/>
      <c r="H423" s="107"/>
    </row>
    <row r="424" spans="2:8" x14ac:dyDescent="0.25">
      <c r="B424" s="107"/>
      <c r="C424" s="107"/>
      <c r="D424" s="107"/>
      <c r="E424" s="107"/>
      <c r="F424" s="107"/>
      <c r="G424" s="107"/>
      <c r="H424" s="107"/>
    </row>
    <row r="425" spans="2:8" x14ac:dyDescent="0.25">
      <c r="B425" s="107"/>
      <c r="C425" s="107"/>
      <c r="D425" s="107"/>
      <c r="E425" s="107"/>
      <c r="F425" s="107"/>
      <c r="G425" s="107"/>
      <c r="H425" s="107"/>
    </row>
    <row r="426" spans="2:8" x14ac:dyDescent="0.25">
      <c r="B426" s="107"/>
      <c r="C426" s="107"/>
      <c r="D426" s="107"/>
      <c r="E426" s="107"/>
      <c r="F426" s="107"/>
      <c r="G426" s="107"/>
      <c r="H426" s="107"/>
    </row>
    <row r="427" spans="2:8" x14ac:dyDescent="0.25">
      <c r="B427" s="107"/>
      <c r="C427" s="107"/>
      <c r="D427" s="107"/>
      <c r="E427" s="107"/>
      <c r="F427" s="107"/>
      <c r="G427" s="107"/>
      <c r="H427" s="107"/>
    </row>
    <row r="428" spans="2:8" x14ac:dyDescent="0.25">
      <c r="B428" s="107"/>
      <c r="C428" s="107"/>
      <c r="D428" s="107"/>
      <c r="E428" s="107"/>
      <c r="F428" s="107"/>
      <c r="G428" s="107"/>
      <c r="H428" s="107"/>
    </row>
    <row r="429" spans="2:8" x14ac:dyDescent="0.25">
      <c r="B429" s="107"/>
      <c r="C429" s="107"/>
      <c r="D429" s="107"/>
      <c r="E429" s="107"/>
      <c r="F429" s="107"/>
      <c r="G429" s="107"/>
      <c r="H429" s="107"/>
    </row>
    <row r="430" spans="2:8" x14ac:dyDescent="0.25">
      <c r="B430" s="107"/>
      <c r="C430" s="107"/>
      <c r="D430" s="107"/>
      <c r="E430" s="107"/>
      <c r="F430" s="107"/>
      <c r="G430" s="107"/>
      <c r="H430" s="107"/>
    </row>
    <row r="431" spans="2:8" x14ac:dyDescent="0.25">
      <c r="B431" s="107"/>
      <c r="C431" s="107"/>
      <c r="D431" s="107"/>
      <c r="E431" s="107"/>
      <c r="F431" s="107"/>
      <c r="G431" s="107"/>
      <c r="H431" s="107"/>
    </row>
    <row r="432" spans="2:8" x14ac:dyDescent="0.25">
      <c r="B432" s="107"/>
      <c r="C432" s="107"/>
      <c r="D432" s="107"/>
      <c r="E432" s="107"/>
      <c r="F432" s="107"/>
      <c r="G432" s="107"/>
      <c r="H432" s="107"/>
    </row>
    <row r="433" spans="2:8" x14ac:dyDescent="0.25">
      <c r="B433" s="107"/>
      <c r="C433" s="107"/>
      <c r="D433" s="107"/>
      <c r="E433" s="107"/>
      <c r="F433" s="107"/>
      <c r="G433" s="107"/>
      <c r="H433" s="107"/>
    </row>
    <row r="434" spans="2:8" x14ac:dyDescent="0.25">
      <c r="B434" s="107"/>
      <c r="C434" s="107"/>
      <c r="D434" s="107"/>
      <c r="E434" s="107"/>
      <c r="F434" s="107"/>
      <c r="G434" s="107"/>
      <c r="H434" s="107"/>
    </row>
    <row r="435" spans="2:8" x14ac:dyDescent="0.25">
      <c r="B435" s="107"/>
      <c r="C435" s="107"/>
      <c r="D435" s="107"/>
      <c r="E435" s="107"/>
      <c r="F435" s="107"/>
      <c r="G435" s="107"/>
      <c r="H435" s="107"/>
    </row>
    <row r="436" spans="2:8" x14ac:dyDescent="0.25">
      <c r="B436" s="107"/>
      <c r="C436" s="107"/>
      <c r="D436" s="107"/>
      <c r="E436" s="107"/>
      <c r="F436" s="107"/>
      <c r="G436" s="107"/>
      <c r="H436" s="107"/>
    </row>
    <row r="437" spans="2:8" x14ac:dyDescent="0.25">
      <c r="B437" s="107"/>
      <c r="C437" s="107"/>
      <c r="D437" s="107"/>
      <c r="E437" s="107"/>
      <c r="F437" s="107"/>
      <c r="G437" s="107"/>
      <c r="H437" s="107"/>
    </row>
    <row r="438" spans="2:8" x14ac:dyDescent="0.25">
      <c r="B438" s="107"/>
      <c r="C438" s="107"/>
      <c r="D438" s="107"/>
      <c r="E438" s="107"/>
      <c r="F438" s="107"/>
      <c r="G438" s="107"/>
      <c r="H438" s="107"/>
    </row>
    <row r="439" spans="2:8" x14ac:dyDescent="0.25">
      <c r="B439" s="107"/>
      <c r="C439" s="107"/>
      <c r="D439" s="107"/>
      <c r="E439" s="107"/>
      <c r="F439" s="107"/>
      <c r="G439" s="107"/>
      <c r="H439" s="107"/>
    </row>
    <row r="440" spans="2:8" x14ac:dyDescent="0.25">
      <c r="B440" s="107"/>
      <c r="C440" s="107"/>
      <c r="D440" s="107"/>
      <c r="E440" s="107"/>
      <c r="F440" s="107"/>
      <c r="G440" s="107"/>
      <c r="H440" s="107"/>
    </row>
    <row r="441" spans="2:8" x14ac:dyDescent="0.25">
      <c r="B441" s="107"/>
      <c r="C441" s="107"/>
      <c r="D441" s="107"/>
      <c r="E441" s="107"/>
      <c r="F441" s="107"/>
      <c r="G441" s="107"/>
      <c r="H441" s="107"/>
    </row>
    <row r="442" spans="2:8" x14ac:dyDescent="0.25">
      <c r="B442" s="107"/>
      <c r="C442" s="107"/>
      <c r="D442" s="107"/>
      <c r="E442" s="107"/>
      <c r="F442" s="107"/>
      <c r="G442" s="107"/>
      <c r="H442" s="107"/>
    </row>
    <row r="443" spans="2:8" x14ac:dyDescent="0.25">
      <c r="B443" s="107"/>
      <c r="C443" s="107"/>
      <c r="D443" s="107"/>
      <c r="E443" s="107"/>
      <c r="F443" s="107"/>
      <c r="G443" s="107"/>
      <c r="H443" s="107"/>
    </row>
    <row r="444" spans="2:8" x14ac:dyDescent="0.25">
      <c r="B444" s="107"/>
      <c r="C444" s="107"/>
      <c r="D444" s="107"/>
      <c r="E444" s="107"/>
      <c r="F444" s="107"/>
      <c r="G444" s="107"/>
      <c r="H444" s="107"/>
    </row>
    <row r="445" spans="2:8" x14ac:dyDescent="0.25">
      <c r="B445" s="107"/>
      <c r="C445" s="107"/>
      <c r="D445" s="107"/>
      <c r="E445" s="107"/>
      <c r="F445" s="107"/>
      <c r="G445" s="107"/>
      <c r="H445" s="107"/>
    </row>
    <row r="446" spans="2:8" x14ac:dyDescent="0.25">
      <c r="B446" s="107"/>
      <c r="C446" s="107"/>
      <c r="D446" s="107"/>
      <c r="E446" s="107"/>
      <c r="F446" s="107"/>
      <c r="G446" s="107"/>
      <c r="H446" s="107"/>
    </row>
    <row r="447" spans="2:8" x14ac:dyDescent="0.25">
      <c r="B447" s="107"/>
      <c r="C447" s="107"/>
      <c r="D447" s="107"/>
      <c r="E447" s="107"/>
      <c r="F447" s="107"/>
      <c r="G447" s="107"/>
      <c r="H447" s="107"/>
    </row>
    <row r="448" spans="2:8" x14ac:dyDescent="0.25">
      <c r="B448" s="107"/>
      <c r="C448" s="107"/>
      <c r="D448" s="107"/>
      <c r="E448" s="107"/>
      <c r="F448" s="107"/>
      <c r="G448" s="107"/>
      <c r="H448" s="107"/>
    </row>
    <row r="449" spans="2:8" x14ac:dyDescent="0.25">
      <c r="B449" s="107"/>
      <c r="C449" s="107"/>
      <c r="D449" s="107"/>
      <c r="E449" s="107"/>
      <c r="F449" s="107"/>
      <c r="G449" s="107"/>
      <c r="H449" s="107"/>
    </row>
    <row r="450" spans="2:8" x14ac:dyDescent="0.25">
      <c r="B450" s="107"/>
      <c r="C450" s="107"/>
      <c r="D450" s="107"/>
      <c r="E450" s="107"/>
      <c r="F450" s="107"/>
      <c r="G450" s="107"/>
      <c r="H450" s="107"/>
    </row>
    <row r="451" spans="2:8" x14ac:dyDescent="0.25">
      <c r="B451" s="107"/>
      <c r="C451" s="107"/>
      <c r="D451" s="107"/>
      <c r="E451" s="107"/>
      <c r="F451" s="107"/>
      <c r="G451" s="107"/>
      <c r="H451" s="107"/>
    </row>
    <row r="452" spans="2:8" x14ac:dyDescent="0.25">
      <c r="B452" s="107"/>
      <c r="C452" s="107"/>
      <c r="D452" s="107"/>
      <c r="E452" s="107"/>
      <c r="F452" s="107"/>
      <c r="G452" s="107"/>
      <c r="H452" s="107"/>
    </row>
    <row r="453" spans="2:8" x14ac:dyDescent="0.25">
      <c r="B453" s="107"/>
      <c r="C453" s="107"/>
      <c r="D453" s="107"/>
      <c r="E453" s="107"/>
      <c r="F453" s="107"/>
      <c r="G453" s="107"/>
      <c r="H453" s="107"/>
    </row>
    <row r="454" spans="2:8" x14ac:dyDescent="0.25">
      <c r="B454" s="107"/>
      <c r="C454" s="107"/>
      <c r="D454" s="107"/>
      <c r="E454" s="107"/>
      <c r="F454" s="107"/>
      <c r="G454" s="107"/>
      <c r="H454" s="107"/>
    </row>
    <row r="455" spans="2:8" x14ac:dyDescent="0.25">
      <c r="B455" s="107"/>
      <c r="C455" s="107"/>
      <c r="D455" s="107"/>
      <c r="E455" s="107"/>
      <c r="F455" s="107"/>
      <c r="G455" s="107"/>
      <c r="H455" s="107"/>
    </row>
    <row r="456" spans="2:8" x14ac:dyDescent="0.25">
      <c r="B456" s="107"/>
      <c r="C456" s="107"/>
      <c r="D456" s="107"/>
      <c r="E456" s="107"/>
      <c r="F456" s="107"/>
      <c r="G456" s="107"/>
      <c r="H456" s="107"/>
    </row>
    <row r="457" spans="2:8" x14ac:dyDescent="0.25">
      <c r="B457" s="107"/>
      <c r="C457" s="107"/>
      <c r="D457" s="107"/>
      <c r="E457" s="107"/>
      <c r="F457" s="107"/>
      <c r="G457" s="107"/>
      <c r="H457" s="107"/>
    </row>
    <row r="458" spans="2:8" x14ac:dyDescent="0.25">
      <c r="B458" s="107"/>
      <c r="C458" s="107"/>
      <c r="D458" s="107"/>
      <c r="E458" s="107"/>
      <c r="F458" s="107"/>
      <c r="G458" s="107"/>
      <c r="H458" s="107"/>
    </row>
    <row r="459" spans="2:8" x14ac:dyDescent="0.25">
      <c r="B459" s="107"/>
      <c r="C459" s="107"/>
      <c r="D459" s="107"/>
      <c r="E459" s="107"/>
      <c r="F459" s="107"/>
      <c r="G459" s="107"/>
      <c r="H459" s="107"/>
    </row>
    <row r="460" spans="2:8" x14ac:dyDescent="0.25">
      <c r="B460" s="107"/>
      <c r="C460" s="107"/>
      <c r="D460" s="107"/>
      <c r="E460" s="107"/>
      <c r="F460" s="107"/>
      <c r="G460" s="107"/>
      <c r="H460" s="107"/>
    </row>
    <row r="461" spans="2:8" x14ac:dyDescent="0.25">
      <c r="B461" s="107"/>
      <c r="C461" s="107"/>
      <c r="D461" s="107"/>
      <c r="E461" s="107"/>
      <c r="F461" s="107"/>
      <c r="G461" s="107"/>
      <c r="H461" s="107"/>
    </row>
    <row r="462" spans="2:8" x14ac:dyDescent="0.25">
      <c r="B462" s="107"/>
      <c r="C462" s="107"/>
      <c r="D462" s="107"/>
      <c r="E462" s="107"/>
      <c r="F462" s="107"/>
      <c r="G462" s="107"/>
      <c r="H462" s="107"/>
    </row>
    <row r="463" spans="2:8" x14ac:dyDescent="0.25">
      <c r="B463" s="107"/>
      <c r="C463" s="107"/>
      <c r="D463" s="107"/>
      <c r="E463" s="107"/>
      <c r="F463" s="107"/>
      <c r="G463" s="107"/>
      <c r="H463" s="107"/>
    </row>
    <row r="464" spans="2:8" x14ac:dyDescent="0.25">
      <c r="B464" s="107"/>
      <c r="C464" s="107"/>
      <c r="D464" s="107"/>
      <c r="E464" s="107"/>
      <c r="F464" s="107"/>
      <c r="G464" s="107"/>
      <c r="H464" s="107"/>
    </row>
    <row r="465" spans="2:8" x14ac:dyDescent="0.25">
      <c r="B465" s="107"/>
      <c r="C465" s="107"/>
      <c r="D465" s="107"/>
      <c r="E465" s="107"/>
      <c r="F465" s="107"/>
      <c r="G465" s="107"/>
      <c r="H465" s="107"/>
    </row>
    <row r="466" spans="2:8" x14ac:dyDescent="0.25">
      <c r="B466" s="107"/>
      <c r="C466" s="107"/>
      <c r="D466" s="107"/>
      <c r="E466" s="107"/>
      <c r="F466" s="107"/>
      <c r="G466" s="107"/>
      <c r="H466" s="107"/>
    </row>
    <row r="467" spans="2:8" x14ac:dyDescent="0.25">
      <c r="B467" s="107"/>
      <c r="C467" s="107"/>
      <c r="D467" s="107"/>
      <c r="E467" s="107"/>
      <c r="F467" s="107"/>
      <c r="G467" s="107"/>
      <c r="H467" s="107"/>
    </row>
    <row r="468" spans="2:8" x14ac:dyDescent="0.25">
      <c r="B468" s="107"/>
      <c r="C468" s="107"/>
      <c r="D468" s="107"/>
      <c r="E468" s="107"/>
      <c r="F468" s="107"/>
      <c r="G468" s="107"/>
      <c r="H468" s="107"/>
    </row>
    <row r="469" spans="2:8" x14ac:dyDescent="0.25">
      <c r="B469" s="107"/>
      <c r="C469" s="107"/>
      <c r="D469" s="107"/>
      <c r="E469" s="107"/>
      <c r="F469" s="107"/>
      <c r="G469" s="107"/>
      <c r="H469" s="107"/>
    </row>
    <row r="470" spans="2:8" x14ac:dyDescent="0.25">
      <c r="B470" s="107"/>
      <c r="C470" s="107"/>
      <c r="D470" s="107"/>
      <c r="E470" s="107"/>
      <c r="F470" s="107"/>
      <c r="G470" s="107"/>
      <c r="H470" s="107"/>
    </row>
    <row r="471" spans="2:8" x14ac:dyDescent="0.25">
      <c r="B471" s="107"/>
      <c r="C471" s="107"/>
      <c r="D471" s="107"/>
      <c r="E471" s="107"/>
      <c r="F471" s="107"/>
      <c r="G471" s="107"/>
      <c r="H471" s="107"/>
    </row>
    <row r="472" spans="2:8" x14ac:dyDescent="0.25">
      <c r="B472" s="107"/>
      <c r="C472" s="107"/>
      <c r="D472" s="107"/>
      <c r="E472" s="107"/>
      <c r="F472" s="107"/>
      <c r="G472" s="107"/>
      <c r="H472" s="107"/>
    </row>
    <row r="473" spans="2:8" x14ac:dyDescent="0.25">
      <c r="B473" s="107"/>
      <c r="C473" s="107"/>
      <c r="D473" s="107"/>
      <c r="E473" s="107"/>
      <c r="F473" s="107"/>
      <c r="G473" s="107"/>
      <c r="H473" s="107"/>
    </row>
    <row r="474" spans="2:8" x14ac:dyDescent="0.25">
      <c r="B474" s="107"/>
      <c r="C474" s="107"/>
      <c r="D474" s="107"/>
      <c r="E474" s="107"/>
      <c r="F474" s="107"/>
      <c r="G474" s="107"/>
      <c r="H474" s="107"/>
    </row>
    <row r="475" spans="2:8" x14ac:dyDescent="0.25">
      <c r="B475" s="107"/>
      <c r="C475" s="107"/>
      <c r="D475" s="107"/>
      <c r="E475" s="107"/>
      <c r="F475" s="107"/>
      <c r="G475" s="107"/>
      <c r="H475" s="107"/>
    </row>
    <row r="476" spans="2:8" x14ac:dyDescent="0.25">
      <c r="B476" s="107"/>
      <c r="C476" s="107"/>
      <c r="D476" s="107"/>
      <c r="E476" s="107"/>
      <c r="F476" s="107"/>
      <c r="G476" s="107"/>
      <c r="H476" s="107"/>
    </row>
    <row r="477" spans="2:8" x14ac:dyDescent="0.25">
      <c r="B477" s="107"/>
      <c r="C477" s="107"/>
      <c r="D477" s="107"/>
      <c r="E477" s="107"/>
      <c r="F477" s="107"/>
      <c r="G477" s="107"/>
      <c r="H477" s="107"/>
    </row>
    <row r="478" spans="2:8" x14ac:dyDescent="0.25">
      <c r="B478" s="107"/>
      <c r="C478" s="107"/>
      <c r="D478" s="107"/>
      <c r="E478" s="107"/>
      <c r="F478" s="107"/>
      <c r="G478" s="107"/>
      <c r="H478" s="107"/>
    </row>
    <row r="479" spans="2:8" x14ac:dyDescent="0.25">
      <c r="B479" s="107"/>
      <c r="C479" s="107"/>
      <c r="D479" s="107"/>
      <c r="E479" s="107"/>
      <c r="F479" s="107"/>
      <c r="G479" s="107"/>
      <c r="H479" s="107"/>
    </row>
    <row r="480" spans="2:8" x14ac:dyDescent="0.25">
      <c r="B480" s="107"/>
      <c r="C480" s="107"/>
      <c r="D480" s="107"/>
      <c r="E480" s="107"/>
      <c r="F480" s="107"/>
      <c r="G480" s="107"/>
      <c r="H480" s="107"/>
    </row>
    <row r="481" spans="2:8" x14ac:dyDescent="0.25">
      <c r="B481" s="107"/>
      <c r="C481" s="107"/>
      <c r="D481" s="107"/>
      <c r="E481" s="107"/>
      <c r="F481" s="107"/>
      <c r="G481" s="107"/>
      <c r="H481" s="107"/>
    </row>
    <row r="482" spans="2:8" x14ac:dyDescent="0.25">
      <c r="B482" s="107"/>
      <c r="C482" s="107"/>
      <c r="D482" s="107"/>
      <c r="E482" s="107"/>
      <c r="F482" s="107"/>
      <c r="G482" s="107"/>
      <c r="H482" s="107"/>
    </row>
    <row r="483" spans="2:8" x14ac:dyDescent="0.25">
      <c r="B483" s="107"/>
      <c r="C483" s="107"/>
      <c r="D483" s="107"/>
      <c r="E483" s="107"/>
      <c r="F483" s="107"/>
      <c r="G483" s="107"/>
      <c r="H483" s="107"/>
    </row>
    <row r="484" spans="2:8" x14ac:dyDescent="0.25">
      <c r="B484" s="107"/>
      <c r="C484" s="107"/>
      <c r="D484" s="107"/>
      <c r="E484" s="107"/>
      <c r="F484" s="107"/>
      <c r="G484" s="107"/>
      <c r="H484" s="107"/>
    </row>
    <row r="485" spans="2:8" x14ac:dyDescent="0.25">
      <c r="B485" s="107"/>
      <c r="C485" s="107"/>
      <c r="D485" s="107"/>
      <c r="E485" s="107"/>
      <c r="F485" s="107"/>
      <c r="G485" s="107"/>
      <c r="H485" s="107"/>
    </row>
    <row r="486" spans="2:8" x14ac:dyDescent="0.25">
      <c r="B486" s="107"/>
      <c r="C486" s="107"/>
      <c r="D486" s="107"/>
      <c r="E486" s="107"/>
      <c r="F486" s="107"/>
      <c r="G486" s="107"/>
      <c r="H486" s="107"/>
    </row>
    <row r="487" spans="2:8" x14ac:dyDescent="0.25">
      <c r="B487" s="107"/>
      <c r="C487" s="107"/>
      <c r="D487" s="107"/>
      <c r="E487" s="107"/>
      <c r="F487" s="107"/>
      <c r="G487" s="107"/>
      <c r="H487" s="107"/>
    </row>
    <row r="488" spans="2:8" x14ac:dyDescent="0.25">
      <c r="B488" s="107"/>
      <c r="C488" s="107"/>
      <c r="D488" s="107"/>
      <c r="E488" s="107"/>
      <c r="F488" s="107"/>
      <c r="G488" s="107"/>
      <c r="H488" s="107"/>
    </row>
    <row r="489" spans="2:8" x14ac:dyDescent="0.25">
      <c r="B489" s="107"/>
      <c r="C489" s="107"/>
      <c r="D489" s="107"/>
      <c r="E489" s="107"/>
      <c r="F489" s="107"/>
      <c r="G489" s="107"/>
      <c r="H489" s="107"/>
    </row>
    <row r="490" spans="2:8" x14ac:dyDescent="0.25">
      <c r="B490" s="107"/>
      <c r="C490" s="107"/>
      <c r="D490" s="107"/>
      <c r="E490" s="107"/>
      <c r="F490" s="107"/>
      <c r="G490" s="107"/>
      <c r="H490" s="107"/>
    </row>
    <row r="491" spans="2:8" x14ac:dyDescent="0.25">
      <c r="B491" s="107"/>
      <c r="C491" s="107"/>
      <c r="D491" s="107"/>
      <c r="E491" s="107"/>
      <c r="F491" s="107"/>
      <c r="G491" s="107"/>
      <c r="H491" s="107"/>
    </row>
    <row r="492" spans="2:8" x14ac:dyDescent="0.25">
      <c r="B492" s="107"/>
      <c r="C492" s="107"/>
      <c r="D492" s="107"/>
      <c r="E492" s="107"/>
      <c r="F492" s="107"/>
      <c r="G492" s="107"/>
      <c r="H492" s="107"/>
    </row>
    <row r="493" spans="2:8" x14ac:dyDescent="0.25">
      <c r="B493" s="107"/>
      <c r="C493" s="107"/>
      <c r="D493" s="107"/>
      <c r="E493" s="107"/>
      <c r="F493" s="107"/>
      <c r="G493" s="107"/>
      <c r="H493" s="107"/>
    </row>
    <row r="494" spans="2:8" x14ac:dyDescent="0.25">
      <c r="B494" s="107"/>
      <c r="C494" s="107"/>
      <c r="D494" s="107"/>
      <c r="E494" s="107"/>
      <c r="F494" s="107"/>
      <c r="G494" s="107"/>
      <c r="H494" s="107"/>
    </row>
    <row r="495" spans="2:8" x14ac:dyDescent="0.25">
      <c r="B495" s="107"/>
      <c r="C495" s="107"/>
      <c r="D495" s="107"/>
      <c r="E495" s="107"/>
      <c r="F495" s="107"/>
      <c r="G495" s="107"/>
      <c r="H495" s="107"/>
    </row>
    <row r="496" spans="2:8" x14ac:dyDescent="0.25">
      <c r="B496" s="107"/>
      <c r="C496" s="107"/>
      <c r="D496" s="107"/>
      <c r="E496" s="107"/>
      <c r="F496" s="107"/>
      <c r="G496" s="107"/>
      <c r="H496" s="107"/>
    </row>
    <row r="497" spans="2:8" x14ac:dyDescent="0.25">
      <c r="B497" s="107"/>
      <c r="C497" s="107"/>
      <c r="D497" s="107"/>
      <c r="E497" s="107"/>
      <c r="F497" s="107"/>
      <c r="G497" s="107"/>
      <c r="H497" s="107"/>
    </row>
    <row r="498" spans="2:8" x14ac:dyDescent="0.25">
      <c r="B498" s="107"/>
      <c r="C498" s="107"/>
      <c r="D498" s="107"/>
      <c r="E498" s="107"/>
      <c r="F498" s="107"/>
      <c r="G498" s="107"/>
      <c r="H498" s="107"/>
    </row>
    <row r="499" spans="2:8" x14ac:dyDescent="0.25">
      <c r="B499" s="107"/>
      <c r="C499" s="107"/>
      <c r="D499" s="107"/>
      <c r="E499" s="107"/>
      <c r="F499" s="107"/>
      <c r="G499" s="107"/>
      <c r="H499" s="107"/>
    </row>
    <row r="500" spans="2:8" x14ac:dyDescent="0.25">
      <c r="B500" s="107"/>
      <c r="C500" s="107"/>
      <c r="D500" s="107"/>
      <c r="E500" s="107"/>
      <c r="F500" s="107"/>
      <c r="G500" s="107"/>
      <c r="H500" s="107"/>
    </row>
    <row r="501" spans="2:8" x14ac:dyDescent="0.25">
      <c r="B501" s="107"/>
      <c r="C501" s="107"/>
      <c r="D501" s="107"/>
      <c r="E501" s="107"/>
      <c r="F501" s="107"/>
      <c r="G501" s="107"/>
      <c r="H501" s="107"/>
    </row>
    <row r="502" spans="2:8" x14ac:dyDescent="0.25">
      <c r="B502" s="107"/>
      <c r="C502" s="107"/>
      <c r="D502" s="107"/>
      <c r="E502" s="107"/>
      <c r="F502" s="107"/>
      <c r="G502" s="107"/>
      <c r="H502" s="107"/>
    </row>
    <row r="503" spans="2:8" x14ac:dyDescent="0.25">
      <c r="B503" s="107"/>
      <c r="C503" s="107"/>
      <c r="D503" s="107"/>
      <c r="E503" s="107"/>
      <c r="F503" s="107"/>
      <c r="G503" s="107"/>
      <c r="H503" s="107"/>
    </row>
    <row r="504" spans="2:8" x14ac:dyDescent="0.25">
      <c r="B504" s="107"/>
      <c r="C504" s="107"/>
      <c r="D504" s="107"/>
      <c r="E504" s="107"/>
      <c r="F504" s="107"/>
      <c r="G504" s="107"/>
      <c r="H504" s="107"/>
    </row>
    <row r="505" spans="2:8" x14ac:dyDescent="0.25">
      <c r="B505" s="107"/>
      <c r="C505" s="107"/>
      <c r="D505" s="107"/>
      <c r="E505" s="107"/>
      <c r="F505" s="107"/>
      <c r="G505" s="107"/>
      <c r="H505" s="107"/>
    </row>
    <row r="506" spans="2:8" x14ac:dyDescent="0.25">
      <c r="B506" s="107"/>
      <c r="C506" s="107"/>
      <c r="D506" s="107"/>
      <c r="E506" s="107"/>
      <c r="F506" s="107"/>
      <c r="G506" s="107"/>
      <c r="H506" s="107"/>
    </row>
    <row r="507" spans="2:8" x14ac:dyDescent="0.25">
      <c r="B507" s="107"/>
      <c r="C507" s="107"/>
      <c r="D507" s="107"/>
      <c r="E507" s="107"/>
      <c r="F507" s="107"/>
      <c r="G507" s="107"/>
      <c r="H507" s="107"/>
    </row>
    <row r="508" spans="2:8" x14ac:dyDescent="0.25">
      <c r="B508" s="107"/>
      <c r="C508" s="107"/>
      <c r="D508" s="107"/>
      <c r="E508" s="107"/>
      <c r="F508" s="107"/>
      <c r="G508" s="107"/>
      <c r="H508" s="107"/>
    </row>
    <row r="509" spans="2:8" x14ac:dyDescent="0.25">
      <c r="B509" s="107"/>
      <c r="C509" s="107"/>
      <c r="D509" s="107"/>
      <c r="E509" s="107"/>
      <c r="F509" s="107"/>
      <c r="G509" s="107"/>
      <c r="H509" s="107"/>
    </row>
    <row r="510" spans="2:8" x14ac:dyDescent="0.25">
      <c r="B510" s="107"/>
      <c r="C510" s="107"/>
      <c r="D510" s="107"/>
      <c r="E510" s="107"/>
      <c r="F510" s="107"/>
      <c r="G510" s="107"/>
      <c r="H510" s="107"/>
    </row>
    <row r="511" spans="2:8" x14ac:dyDescent="0.25">
      <c r="B511" s="107"/>
      <c r="C511" s="107"/>
      <c r="D511" s="107"/>
      <c r="E511" s="107"/>
      <c r="F511" s="107"/>
      <c r="G511" s="107"/>
      <c r="H511" s="107"/>
    </row>
    <row r="512" spans="2:8" x14ac:dyDescent="0.25">
      <c r="B512" s="107"/>
      <c r="C512" s="107"/>
      <c r="D512" s="107"/>
      <c r="E512" s="107"/>
      <c r="F512" s="107"/>
      <c r="G512" s="107"/>
      <c r="H512" s="107"/>
    </row>
    <row r="513" spans="2:8" x14ac:dyDescent="0.25">
      <c r="B513" s="107"/>
      <c r="C513" s="107"/>
      <c r="D513" s="107"/>
      <c r="E513" s="107"/>
      <c r="F513" s="107"/>
      <c r="G513" s="107"/>
      <c r="H513" s="107"/>
    </row>
    <row r="514" spans="2:8" x14ac:dyDescent="0.25">
      <c r="B514" s="107"/>
      <c r="C514" s="107"/>
      <c r="D514" s="107"/>
      <c r="E514" s="107"/>
      <c r="F514" s="107"/>
      <c r="G514" s="107"/>
      <c r="H514" s="107"/>
    </row>
    <row r="515" spans="2:8" x14ac:dyDescent="0.25">
      <c r="B515" s="107"/>
      <c r="C515" s="107"/>
      <c r="D515" s="107"/>
      <c r="E515" s="107"/>
      <c r="F515" s="107"/>
      <c r="G515" s="107"/>
      <c r="H515" s="107"/>
    </row>
    <row r="516" spans="2:8" x14ac:dyDescent="0.25">
      <c r="B516" s="107"/>
      <c r="C516" s="107"/>
      <c r="D516" s="107"/>
      <c r="E516" s="107"/>
      <c r="F516" s="107"/>
      <c r="G516" s="107"/>
      <c r="H516" s="107"/>
    </row>
    <row r="517" spans="2:8" x14ac:dyDescent="0.25">
      <c r="B517" s="107"/>
      <c r="C517" s="107"/>
      <c r="D517" s="107"/>
      <c r="E517" s="107"/>
      <c r="F517" s="107"/>
      <c r="G517" s="107"/>
      <c r="H517" s="107"/>
    </row>
    <row r="518" spans="2:8" x14ac:dyDescent="0.25">
      <c r="B518" s="107"/>
      <c r="C518" s="107"/>
      <c r="D518" s="107"/>
      <c r="E518" s="107"/>
      <c r="F518" s="107"/>
      <c r="G518" s="107"/>
      <c r="H518" s="107"/>
    </row>
    <row r="519" spans="2:8" x14ac:dyDescent="0.25">
      <c r="B519" s="107"/>
      <c r="C519" s="107"/>
      <c r="D519" s="107"/>
      <c r="E519" s="107"/>
      <c r="F519" s="107"/>
      <c r="G519" s="107"/>
      <c r="H519" s="107"/>
    </row>
    <row r="520" spans="2:8" x14ac:dyDescent="0.25">
      <c r="B520" s="107"/>
      <c r="C520" s="107"/>
      <c r="D520" s="107"/>
      <c r="E520" s="107"/>
      <c r="F520" s="107"/>
      <c r="G520" s="107"/>
      <c r="H520" s="107"/>
    </row>
    <row r="521" spans="2:8" x14ac:dyDescent="0.25">
      <c r="B521" s="107"/>
      <c r="C521" s="107"/>
      <c r="D521" s="107"/>
      <c r="E521" s="107"/>
      <c r="F521" s="107"/>
      <c r="G521" s="107"/>
      <c r="H521" s="107"/>
    </row>
    <row r="522" spans="2:8" x14ac:dyDescent="0.25">
      <c r="B522" s="107"/>
      <c r="C522" s="107"/>
      <c r="D522" s="107"/>
      <c r="E522" s="107"/>
      <c r="F522" s="107"/>
      <c r="G522" s="107"/>
      <c r="H522" s="107"/>
    </row>
    <row r="523" spans="2:8" x14ac:dyDescent="0.25">
      <c r="B523" s="107"/>
      <c r="C523" s="107"/>
      <c r="D523" s="107"/>
      <c r="E523" s="107"/>
      <c r="F523" s="107"/>
      <c r="G523" s="107"/>
      <c r="H523" s="107"/>
    </row>
    <row r="524" spans="2:8" x14ac:dyDescent="0.25">
      <c r="B524" s="107"/>
      <c r="C524" s="107"/>
      <c r="D524" s="107"/>
      <c r="E524" s="107"/>
      <c r="F524" s="107"/>
      <c r="G524" s="107"/>
      <c r="H524" s="107"/>
    </row>
    <row r="525" spans="2:8" x14ac:dyDescent="0.25">
      <c r="B525" s="107"/>
      <c r="C525" s="107"/>
      <c r="D525" s="107"/>
      <c r="E525" s="107"/>
      <c r="F525" s="107"/>
      <c r="G525" s="107"/>
      <c r="H525" s="107"/>
    </row>
    <row r="526" spans="2:8" x14ac:dyDescent="0.25">
      <c r="B526" s="107"/>
      <c r="C526" s="107"/>
      <c r="D526" s="107"/>
      <c r="E526" s="107"/>
      <c r="F526" s="107"/>
      <c r="G526" s="107"/>
      <c r="H526" s="107"/>
    </row>
    <row r="527" spans="2:8" x14ac:dyDescent="0.25">
      <c r="B527" s="107"/>
      <c r="C527" s="107"/>
      <c r="D527" s="107"/>
      <c r="E527" s="107"/>
      <c r="F527" s="107"/>
      <c r="G527" s="107"/>
      <c r="H527" s="107"/>
    </row>
    <row r="528" spans="2:8" x14ac:dyDescent="0.25">
      <c r="B528" s="107"/>
      <c r="C528" s="107"/>
      <c r="D528" s="107"/>
      <c r="E528" s="107"/>
      <c r="F528" s="107"/>
      <c r="G528" s="107"/>
      <c r="H528" s="107"/>
    </row>
    <row r="529" spans="2:8" x14ac:dyDescent="0.25">
      <c r="B529" s="107"/>
      <c r="C529" s="107"/>
      <c r="D529" s="107"/>
      <c r="E529" s="107"/>
      <c r="F529" s="107"/>
      <c r="G529" s="107"/>
      <c r="H529" s="107"/>
    </row>
    <row r="530" spans="2:8" x14ac:dyDescent="0.25">
      <c r="B530" s="107"/>
      <c r="C530" s="107"/>
      <c r="D530" s="107"/>
      <c r="E530" s="107"/>
      <c r="F530" s="107"/>
      <c r="G530" s="107"/>
      <c r="H530" s="107"/>
    </row>
    <row r="531" spans="2:8" x14ac:dyDescent="0.25">
      <c r="B531" s="107"/>
      <c r="C531" s="107"/>
      <c r="D531" s="107"/>
      <c r="E531" s="107"/>
      <c r="F531" s="107"/>
      <c r="G531" s="107"/>
      <c r="H531" s="107"/>
    </row>
    <row r="532" spans="2:8" x14ac:dyDescent="0.25">
      <c r="B532" s="107"/>
      <c r="C532" s="107"/>
      <c r="D532" s="107"/>
      <c r="E532" s="107"/>
      <c r="F532" s="107"/>
      <c r="G532" s="107"/>
      <c r="H532" s="107"/>
    </row>
    <row r="533" spans="2:8" x14ac:dyDescent="0.25">
      <c r="B533" s="107"/>
      <c r="C533" s="107"/>
      <c r="D533" s="107"/>
      <c r="E533" s="107"/>
      <c r="F533" s="107"/>
      <c r="G533" s="107"/>
      <c r="H533" s="107"/>
    </row>
    <row r="534" spans="2:8" x14ac:dyDescent="0.25">
      <c r="B534" s="107"/>
      <c r="C534" s="107"/>
      <c r="D534" s="107"/>
      <c r="E534" s="107"/>
      <c r="F534" s="107"/>
      <c r="G534" s="107"/>
      <c r="H534" s="107"/>
    </row>
    <row r="535" spans="2:8" x14ac:dyDescent="0.25">
      <c r="B535" s="107"/>
      <c r="C535" s="107"/>
      <c r="D535" s="107"/>
      <c r="E535" s="107"/>
      <c r="F535" s="107"/>
      <c r="G535" s="107"/>
      <c r="H535" s="107"/>
    </row>
    <row r="536" spans="2:8" x14ac:dyDescent="0.25">
      <c r="B536" s="107"/>
      <c r="C536" s="107"/>
      <c r="D536" s="107"/>
      <c r="E536" s="107"/>
      <c r="F536" s="107"/>
      <c r="G536" s="107"/>
      <c r="H536" s="107"/>
    </row>
    <row r="537" spans="2:8" x14ac:dyDescent="0.25">
      <c r="B537" s="107"/>
      <c r="C537" s="107"/>
      <c r="D537" s="107"/>
      <c r="E537" s="107"/>
      <c r="F537" s="107"/>
      <c r="G537" s="107"/>
      <c r="H537" s="107"/>
    </row>
    <row r="538" spans="2:8" x14ac:dyDescent="0.25">
      <c r="B538" s="107"/>
      <c r="C538" s="107"/>
      <c r="D538" s="107"/>
      <c r="E538" s="107"/>
      <c r="F538" s="107"/>
      <c r="G538" s="107"/>
      <c r="H538" s="107"/>
    </row>
    <row r="539" spans="2:8" x14ac:dyDescent="0.25">
      <c r="B539" s="107"/>
      <c r="C539" s="107"/>
      <c r="D539" s="107"/>
      <c r="E539" s="107"/>
      <c r="F539" s="107"/>
      <c r="G539" s="107"/>
      <c r="H539" s="107"/>
    </row>
    <row r="540" spans="2:8" x14ac:dyDescent="0.25">
      <c r="B540" s="107"/>
      <c r="C540" s="107"/>
      <c r="D540" s="107"/>
      <c r="E540" s="107"/>
      <c r="F540" s="107"/>
      <c r="G540" s="107"/>
      <c r="H540" s="107"/>
    </row>
    <row r="541" spans="2:8" x14ac:dyDescent="0.25">
      <c r="B541" s="107"/>
      <c r="C541" s="107"/>
      <c r="D541" s="107"/>
      <c r="E541" s="107"/>
      <c r="F541" s="107"/>
      <c r="G541" s="107"/>
      <c r="H541" s="107"/>
    </row>
    <row r="542" spans="2:8" x14ac:dyDescent="0.25">
      <c r="B542" s="107"/>
      <c r="C542" s="107"/>
      <c r="D542" s="107"/>
      <c r="E542" s="107"/>
      <c r="F542" s="107"/>
      <c r="G542" s="107"/>
      <c r="H542" s="107"/>
    </row>
    <row r="543" spans="2:8" x14ac:dyDescent="0.25">
      <c r="B543" s="107"/>
      <c r="C543" s="107"/>
      <c r="D543" s="107"/>
      <c r="E543" s="107"/>
      <c r="F543" s="107"/>
      <c r="G543" s="107"/>
      <c r="H543" s="107"/>
    </row>
    <row r="544" spans="2:8" x14ac:dyDescent="0.25">
      <c r="B544" s="107"/>
      <c r="C544" s="107"/>
      <c r="D544" s="107"/>
      <c r="E544" s="107"/>
      <c r="F544" s="107"/>
      <c r="G544" s="107"/>
      <c r="H544" s="107"/>
    </row>
    <row r="545" spans="2:8" x14ac:dyDescent="0.25">
      <c r="B545" s="107"/>
      <c r="C545" s="107"/>
      <c r="D545" s="107"/>
      <c r="E545" s="107"/>
      <c r="F545" s="107"/>
      <c r="G545" s="107"/>
      <c r="H545" s="107"/>
    </row>
    <row r="546" spans="2:8" x14ac:dyDescent="0.25">
      <c r="B546" s="107"/>
      <c r="C546" s="107"/>
      <c r="D546" s="107"/>
      <c r="E546" s="107"/>
      <c r="F546" s="107"/>
      <c r="G546" s="107"/>
      <c r="H546" s="107"/>
    </row>
    <row r="547" spans="2:8" x14ac:dyDescent="0.25">
      <c r="B547" s="107"/>
      <c r="C547" s="107"/>
      <c r="D547" s="107"/>
      <c r="E547" s="107"/>
      <c r="F547" s="107"/>
      <c r="G547" s="107"/>
      <c r="H547" s="107"/>
    </row>
    <row r="548" spans="2:8" x14ac:dyDescent="0.25">
      <c r="B548" s="107"/>
      <c r="C548" s="107"/>
      <c r="D548" s="107"/>
      <c r="E548" s="107"/>
      <c r="F548" s="107"/>
      <c r="G548" s="107"/>
      <c r="H548" s="107"/>
    </row>
    <row r="549" spans="2:8" x14ac:dyDescent="0.25">
      <c r="B549" s="107"/>
      <c r="C549" s="107"/>
      <c r="D549" s="107"/>
      <c r="E549" s="107"/>
      <c r="F549" s="107"/>
      <c r="G549" s="107"/>
      <c r="H549" s="107"/>
    </row>
    <row r="550" spans="2:8" x14ac:dyDescent="0.25">
      <c r="B550" s="107"/>
      <c r="C550" s="107"/>
      <c r="D550" s="107"/>
      <c r="E550" s="107"/>
      <c r="F550" s="107"/>
      <c r="G550" s="107"/>
      <c r="H550" s="107"/>
    </row>
    <row r="551" spans="2:8" x14ac:dyDescent="0.25">
      <c r="B551" s="107"/>
      <c r="C551" s="107"/>
      <c r="D551" s="107"/>
      <c r="E551" s="107"/>
      <c r="F551" s="107"/>
      <c r="G551" s="107"/>
      <c r="H551" s="107"/>
    </row>
    <row r="552" spans="2:8" x14ac:dyDescent="0.25">
      <c r="B552" s="107"/>
      <c r="C552" s="107"/>
      <c r="D552" s="107"/>
      <c r="E552" s="107"/>
      <c r="F552" s="107"/>
      <c r="G552" s="107"/>
      <c r="H552" s="107"/>
    </row>
    <row r="553" spans="2:8" x14ac:dyDescent="0.25">
      <c r="B553" s="107"/>
      <c r="C553" s="107"/>
      <c r="D553" s="107"/>
      <c r="E553" s="107"/>
      <c r="F553" s="107"/>
      <c r="G553" s="107"/>
      <c r="H553" s="107"/>
    </row>
    <row r="554" spans="2:8" x14ac:dyDescent="0.25">
      <c r="B554" s="107"/>
      <c r="C554" s="107"/>
      <c r="D554" s="107"/>
      <c r="E554" s="107"/>
      <c r="F554" s="107"/>
      <c r="G554" s="107"/>
      <c r="H554" s="107"/>
    </row>
    <row r="555" spans="2:8" x14ac:dyDescent="0.25">
      <c r="B555" s="107"/>
      <c r="C555" s="107"/>
      <c r="D555" s="107"/>
      <c r="E555" s="107"/>
      <c r="F555" s="107"/>
      <c r="G555" s="107"/>
      <c r="H555" s="107"/>
    </row>
    <row r="556" spans="2:8" x14ac:dyDescent="0.25">
      <c r="B556" s="107"/>
      <c r="C556" s="107"/>
      <c r="D556" s="107"/>
      <c r="E556" s="107"/>
      <c r="F556" s="107"/>
      <c r="G556" s="107"/>
      <c r="H556" s="107"/>
    </row>
    <row r="557" spans="2:8" x14ac:dyDescent="0.25">
      <c r="B557" s="107"/>
      <c r="C557" s="107"/>
      <c r="D557" s="107"/>
      <c r="E557" s="107"/>
      <c r="F557" s="107"/>
      <c r="G557" s="107"/>
      <c r="H557" s="107"/>
    </row>
    <row r="558" spans="2:8" x14ac:dyDescent="0.25">
      <c r="B558" s="107"/>
      <c r="C558" s="107"/>
      <c r="D558" s="107"/>
      <c r="E558" s="107"/>
      <c r="F558" s="107"/>
      <c r="G558" s="107"/>
      <c r="H558" s="107"/>
    </row>
    <row r="559" spans="2:8" x14ac:dyDescent="0.25">
      <c r="B559" s="107"/>
      <c r="C559" s="107"/>
      <c r="D559" s="107"/>
      <c r="E559" s="107"/>
      <c r="F559" s="107"/>
      <c r="G559" s="107"/>
      <c r="H559" s="107"/>
    </row>
    <row r="560" spans="2:8" x14ac:dyDescent="0.25">
      <c r="B560" s="107"/>
      <c r="C560" s="107"/>
      <c r="D560" s="107"/>
      <c r="E560" s="107"/>
      <c r="F560" s="107"/>
      <c r="G560" s="107"/>
      <c r="H560" s="107"/>
    </row>
    <row r="561" spans="2:8" x14ac:dyDescent="0.25">
      <c r="B561" s="107"/>
      <c r="C561" s="107"/>
      <c r="D561" s="107"/>
      <c r="E561" s="107"/>
      <c r="F561" s="107"/>
      <c r="G561" s="107"/>
      <c r="H561" s="107"/>
    </row>
    <row r="562" spans="2:8" x14ac:dyDescent="0.25">
      <c r="B562" s="107"/>
      <c r="C562" s="107"/>
      <c r="D562" s="107"/>
      <c r="E562" s="107"/>
      <c r="F562" s="107"/>
      <c r="G562" s="107"/>
      <c r="H562" s="107"/>
    </row>
    <row r="563" spans="2:8" x14ac:dyDescent="0.25">
      <c r="B563" s="107"/>
      <c r="C563" s="107"/>
      <c r="D563" s="107"/>
      <c r="E563" s="107"/>
      <c r="F563" s="107"/>
      <c r="G563" s="107"/>
      <c r="H563" s="107"/>
    </row>
    <row r="564" spans="2:8" x14ac:dyDescent="0.25">
      <c r="B564" s="107"/>
      <c r="C564" s="107"/>
      <c r="D564" s="107"/>
      <c r="E564" s="107"/>
      <c r="F564" s="107"/>
      <c r="G564" s="107"/>
      <c r="H564" s="107"/>
    </row>
    <row r="565" spans="2:8" x14ac:dyDescent="0.25">
      <c r="B565" s="107"/>
      <c r="C565" s="107"/>
      <c r="D565" s="107"/>
      <c r="E565" s="107"/>
      <c r="F565" s="107"/>
      <c r="G565" s="107"/>
      <c r="H565" s="107"/>
    </row>
    <row r="566" spans="2:8" x14ac:dyDescent="0.25">
      <c r="B566" s="107"/>
      <c r="C566" s="107"/>
      <c r="D566" s="107"/>
      <c r="E566" s="107"/>
      <c r="F566" s="107"/>
      <c r="G566" s="107"/>
      <c r="H566" s="107"/>
    </row>
    <row r="567" spans="2:8" x14ac:dyDescent="0.25">
      <c r="B567" s="107"/>
      <c r="C567" s="107"/>
      <c r="D567" s="107"/>
      <c r="E567" s="107"/>
      <c r="F567" s="107"/>
      <c r="G567" s="107"/>
      <c r="H567" s="107"/>
    </row>
    <row r="568" spans="2:8" x14ac:dyDescent="0.25">
      <c r="B568" s="107"/>
      <c r="C568" s="107"/>
      <c r="D568" s="107"/>
      <c r="E568" s="107"/>
      <c r="F568" s="107"/>
      <c r="G568" s="107"/>
      <c r="H568" s="107"/>
    </row>
    <row r="569" spans="2:8" x14ac:dyDescent="0.25">
      <c r="B569" s="107"/>
      <c r="C569" s="107"/>
      <c r="D569" s="107"/>
      <c r="E569" s="107"/>
      <c r="F569" s="107"/>
      <c r="G569" s="107"/>
      <c r="H569" s="107"/>
    </row>
    <row r="570" spans="2:8" x14ac:dyDescent="0.25">
      <c r="B570" s="107"/>
      <c r="C570" s="107"/>
      <c r="D570" s="107"/>
      <c r="E570" s="107"/>
      <c r="F570" s="107"/>
      <c r="G570" s="107"/>
      <c r="H570" s="107"/>
    </row>
    <row r="571" spans="2:8" x14ac:dyDescent="0.25">
      <c r="B571" s="107"/>
      <c r="C571" s="107"/>
      <c r="D571" s="107"/>
      <c r="E571" s="107"/>
      <c r="F571" s="107"/>
      <c r="G571" s="107"/>
      <c r="H571" s="107"/>
    </row>
    <row r="572" spans="2:8" x14ac:dyDescent="0.25">
      <c r="B572" s="107"/>
      <c r="C572" s="107"/>
      <c r="D572" s="107"/>
      <c r="E572" s="107"/>
      <c r="F572" s="107"/>
      <c r="G572" s="107"/>
      <c r="H572" s="107"/>
    </row>
    <row r="573" spans="2:8" x14ac:dyDescent="0.25">
      <c r="B573" s="107"/>
      <c r="C573" s="107"/>
      <c r="D573" s="107"/>
      <c r="E573" s="107"/>
      <c r="F573" s="107"/>
      <c r="G573" s="107"/>
      <c r="H573" s="107"/>
    </row>
    <row r="574" spans="2:8" x14ac:dyDescent="0.25">
      <c r="B574" s="107"/>
      <c r="C574" s="107"/>
      <c r="D574" s="107"/>
      <c r="E574" s="107"/>
      <c r="F574" s="107"/>
      <c r="G574" s="107"/>
      <c r="H574" s="107"/>
    </row>
    <row r="575" spans="2:8" x14ac:dyDescent="0.25">
      <c r="B575" s="107"/>
      <c r="C575" s="107"/>
      <c r="D575" s="107"/>
      <c r="E575" s="107"/>
      <c r="F575" s="107"/>
      <c r="G575" s="107"/>
      <c r="H575" s="107"/>
    </row>
    <row r="576" spans="2:8" x14ac:dyDescent="0.25">
      <c r="B576" s="107"/>
      <c r="C576" s="107"/>
      <c r="D576" s="107"/>
      <c r="E576" s="107"/>
      <c r="F576" s="107"/>
      <c r="G576" s="107"/>
      <c r="H576" s="107"/>
    </row>
    <row r="577" spans="2:8" x14ac:dyDescent="0.25">
      <c r="B577" s="107"/>
      <c r="C577" s="107"/>
      <c r="D577" s="107"/>
      <c r="E577" s="107"/>
      <c r="F577" s="107"/>
      <c r="G577" s="107"/>
      <c r="H577" s="107"/>
    </row>
    <row r="578" spans="2:8" x14ac:dyDescent="0.25">
      <c r="B578" s="107"/>
      <c r="C578" s="107"/>
      <c r="D578" s="107"/>
      <c r="E578" s="107"/>
      <c r="F578" s="107"/>
      <c r="G578" s="107"/>
      <c r="H578" s="107"/>
    </row>
    <row r="579" spans="2:8" x14ac:dyDescent="0.25">
      <c r="B579" s="107"/>
      <c r="C579" s="107"/>
      <c r="D579" s="107"/>
      <c r="E579" s="107"/>
      <c r="F579" s="107"/>
      <c r="G579" s="107"/>
      <c r="H579" s="107"/>
    </row>
    <row r="580" spans="2:8" x14ac:dyDescent="0.25">
      <c r="B580" s="107"/>
      <c r="C580" s="107"/>
      <c r="D580" s="107"/>
      <c r="E580" s="107"/>
      <c r="F580" s="107"/>
      <c r="G580" s="107"/>
      <c r="H580" s="107"/>
    </row>
    <row r="581" spans="2:8" x14ac:dyDescent="0.25">
      <c r="B581" s="107"/>
      <c r="C581" s="107"/>
      <c r="D581" s="107"/>
      <c r="E581" s="107"/>
      <c r="F581" s="107"/>
      <c r="G581" s="107"/>
      <c r="H581" s="107"/>
    </row>
    <row r="582" spans="2:8" x14ac:dyDescent="0.25">
      <c r="B582" s="107"/>
      <c r="C582" s="107"/>
      <c r="D582" s="107"/>
      <c r="E582" s="107"/>
      <c r="F582" s="107"/>
      <c r="G582" s="107"/>
      <c r="H582" s="107"/>
    </row>
    <row r="583" spans="2:8" x14ac:dyDescent="0.25">
      <c r="B583" s="107"/>
      <c r="C583" s="107"/>
      <c r="D583" s="107"/>
      <c r="E583" s="107"/>
      <c r="F583" s="107"/>
      <c r="G583" s="107"/>
      <c r="H583" s="107"/>
    </row>
    <row r="584" spans="2:8" x14ac:dyDescent="0.25">
      <c r="B584" s="107"/>
      <c r="C584" s="107"/>
      <c r="D584" s="107"/>
      <c r="E584" s="107"/>
      <c r="F584" s="107"/>
      <c r="G584" s="107"/>
      <c r="H584" s="107"/>
    </row>
    <row r="585" spans="2:8" x14ac:dyDescent="0.25">
      <c r="B585" s="107"/>
      <c r="C585" s="107"/>
      <c r="D585" s="107"/>
      <c r="E585" s="107"/>
      <c r="F585" s="107"/>
      <c r="G585" s="107"/>
      <c r="H585" s="107"/>
    </row>
    <row r="586" spans="2:8" x14ac:dyDescent="0.25">
      <c r="B586" s="107"/>
      <c r="C586" s="107"/>
      <c r="D586" s="107"/>
      <c r="E586" s="107"/>
      <c r="F586" s="107"/>
      <c r="G586" s="107"/>
      <c r="H586" s="107"/>
    </row>
    <row r="587" spans="2:8" x14ac:dyDescent="0.25">
      <c r="B587" s="107"/>
      <c r="C587" s="107"/>
      <c r="D587" s="107"/>
      <c r="E587" s="107"/>
      <c r="F587" s="107"/>
      <c r="G587" s="107"/>
      <c r="H587" s="107"/>
    </row>
    <row r="588" spans="2:8" x14ac:dyDescent="0.25">
      <c r="B588" s="107"/>
      <c r="C588" s="107"/>
      <c r="D588" s="107"/>
      <c r="E588" s="107"/>
      <c r="F588" s="107"/>
      <c r="G588" s="107"/>
      <c r="H588" s="107"/>
    </row>
    <row r="589" spans="2:8" x14ac:dyDescent="0.25">
      <c r="B589" s="107"/>
      <c r="C589" s="107"/>
      <c r="D589" s="107"/>
      <c r="E589" s="107"/>
      <c r="F589" s="107"/>
      <c r="G589" s="107"/>
      <c r="H589" s="107"/>
    </row>
    <row r="590" spans="2:8" x14ac:dyDescent="0.25">
      <c r="B590" s="107"/>
      <c r="C590" s="107"/>
      <c r="D590" s="107"/>
      <c r="E590" s="107"/>
      <c r="F590" s="107"/>
      <c r="G590" s="107"/>
      <c r="H590" s="107"/>
    </row>
    <row r="591" spans="2:8" x14ac:dyDescent="0.25">
      <c r="B591" s="107"/>
      <c r="C591" s="107"/>
      <c r="D591" s="107"/>
      <c r="E591" s="107"/>
      <c r="F591" s="107"/>
      <c r="G591" s="107"/>
      <c r="H591" s="107"/>
    </row>
    <row r="592" spans="2:8" x14ac:dyDescent="0.25">
      <c r="B592" s="107"/>
      <c r="C592" s="107"/>
      <c r="D592" s="107"/>
      <c r="E592" s="107"/>
      <c r="F592" s="107"/>
      <c r="G592" s="107"/>
      <c r="H592" s="107"/>
    </row>
    <row r="593" spans="2:8" x14ac:dyDescent="0.25">
      <c r="B593" s="107"/>
      <c r="C593" s="107"/>
      <c r="D593" s="107"/>
      <c r="E593" s="107"/>
      <c r="F593" s="107"/>
      <c r="G593" s="107"/>
      <c r="H593" s="107"/>
    </row>
    <row r="594" spans="2:8" x14ac:dyDescent="0.25">
      <c r="B594" s="107"/>
      <c r="C594" s="107"/>
      <c r="D594" s="107"/>
      <c r="E594" s="107"/>
      <c r="F594" s="107"/>
      <c r="G594" s="107"/>
      <c r="H594" s="107"/>
    </row>
    <row r="595" spans="2:8" x14ac:dyDescent="0.25">
      <c r="B595" s="107"/>
      <c r="C595" s="107"/>
      <c r="D595" s="107"/>
      <c r="E595" s="107"/>
      <c r="F595" s="107"/>
      <c r="G595" s="107"/>
      <c r="H595" s="107"/>
    </row>
    <row r="596" spans="2:8" x14ac:dyDescent="0.25">
      <c r="B596" s="107"/>
      <c r="C596" s="107"/>
      <c r="D596" s="107"/>
      <c r="E596" s="107"/>
      <c r="F596" s="107"/>
      <c r="G596" s="107"/>
      <c r="H596" s="107"/>
    </row>
    <row r="597" spans="2:8" x14ac:dyDescent="0.25">
      <c r="B597" s="107"/>
      <c r="C597" s="107"/>
      <c r="D597" s="107"/>
      <c r="E597" s="107"/>
      <c r="F597" s="107"/>
      <c r="G597" s="107"/>
      <c r="H597" s="107"/>
    </row>
    <row r="598" spans="2:8" x14ac:dyDescent="0.25">
      <c r="B598" s="107"/>
      <c r="C598" s="107"/>
      <c r="D598" s="107"/>
      <c r="E598" s="107"/>
      <c r="F598" s="107"/>
      <c r="G598" s="107"/>
      <c r="H598" s="107"/>
    </row>
    <row r="599" spans="2:8" x14ac:dyDescent="0.25">
      <c r="B599" s="107"/>
      <c r="C599" s="107"/>
      <c r="D599" s="107"/>
      <c r="E599" s="107"/>
      <c r="F599" s="107"/>
      <c r="G599" s="107"/>
      <c r="H599" s="107"/>
    </row>
    <row r="600" spans="2:8" x14ac:dyDescent="0.25">
      <c r="B600" s="107"/>
      <c r="C600" s="107"/>
      <c r="D600" s="107"/>
      <c r="E600" s="107"/>
      <c r="F600" s="107"/>
      <c r="G600" s="107"/>
      <c r="H600" s="107"/>
    </row>
    <row r="601" spans="2:8" x14ac:dyDescent="0.25">
      <c r="B601" s="107"/>
      <c r="C601" s="107"/>
      <c r="D601" s="107"/>
      <c r="E601" s="107"/>
      <c r="F601" s="107"/>
      <c r="G601" s="107"/>
      <c r="H601" s="107"/>
    </row>
    <row r="602" spans="2:8" x14ac:dyDescent="0.25">
      <c r="B602" s="107"/>
      <c r="C602" s="107"/>
      <c r="D602" s="107"/>
      <c r="E602" s="107"/>
      <c r="F602" s="107"/>
      <c r="G602" s="107"/>
      <c r="H602" s="107"/>
    </row>
    <row r="603" spans="2:8" x14ac:dyDescent="0.25">
      <c r="B603" s="107"/>
      <c r="C603" s="107"/>
      <c r="D603" s="107"/>
      <c r="E603" s="107"/>
      <c r="F603" s="107"/>
      <c r="G603" s="107"/>
      <c r="H603" s="107"/>
    </row>
    <row r="604" spans="2:8" x14ac:dyDescent="0.25">
      <c r="B604" s="107"/>
      <c r="C604" s="107"/>
      <c r="D604" s="107"/>
      <c r="E604" s="107"/>
      <c r="F604" s="107"/>
      <c r="G604" s="107"/>
      <c r="H604" s="107"/>
    </row>
    <row r="605" spans="2:8" x14ac:dyDescent="0.25">
      <c r="B605" s="107"/>
      <c r="C605" s="107"/>
      <c r="D605" s="107"/>
      <c r="E605" s="107"/>
      <c r="F605" s="107"/>
      <c r="G605" s="107"/>
      <c r="H605" s="107"/>
    </row>
    <row r="606" spans="2:8" x14ac:dyDescent="0.25">
      <c r="B606" s="107"/>
      <c r="C606" s="107"/>
      <c r="D606" s="107"/>
      <c r="E606" s="107"/>
      <c r="F606" s="107"/>
      <c r="G606" s="107"/>
      <c r="H606" s="107"/>
    </row>
    <row r="607" spans="2:8" x14ac:dyDescent="0.25">
      <c r="B607" s="107"/>
      <c r="C607" s="107"/>
      <c r="D607" s="107"/>
      <c r="E607" s="107"/>
      <c r="F607" s="107"/>
      <c r="G607" s="107"/>
      <c r="H607" s="107"/>
    </row>
    <row r="608" spans="2:8" x14ac:dyDescent="0.25">
      <c r="B608" s="107"/>
      <c r="C608" s="107"/>
      <c r="D608" s="107"/>
      <c r="E608" s="107"/>
      <c r="F608" s="107"/>
      <c r="G608" s="107"/>
      <c r="H608" s="107"/>
    </row>
    <row r="609" spans="2:8" x14ac:dyDescent="0.25">
      <c r="B609" s="107"/>
      <c r="C609" s="107"/>
      <c r="D609" s="107"/>
      <c r="E609" s="107"/>
      <c r="F609" s="107"/>
      <c r="G609" s="107"/>
      <c r="H609" s="107"/>
    </row>
    <row r="610" spans="2:8" x14ac:dyDescent="0.25">
      <c r="B610" s="107"/>
      <c r="C610" s="107"/>
      <c r="D610" s="107"/>
      <c r="E610" s="107"/>
      <c r="F610" s="107"/>
      <c r="G610" s="107"/>
      <c r="H610" s="107"/>
    </row>
    <row r="611" spans="2:8" x14ac:dyDescent="0.25">
      <c r="B611" s="107"/>
      <c r="C611" s="107"/>
      <c r="D611" s="107"/>
      <c r="E611" s="107"/>
      <c r="F611" s="107"/>
      <c r="G611" s="107"/>
      <c r="H611" s="107"/>
    </row>
    <row r="612" spans="2:8" x14ac:dyDescent="0.25">
      <c r="B612" s="107"/>
      <c r="C612" s="107"/>
      <c r="D612" s="107"/>
      <c r="E612" s="107"/>
      <c r="F612" s="107"/>
      <c r="G612" s="107"/>
      <c r="H612" s="107"/>
    </row>
    <row r="613" spans="2:8" x14ac:dyDescent="0.25">
      <c r="B613" s="107"/>
      <c r="C613" s="107"/>
      <c r="D613" s="107"/>
      <c r="E613" s="107"/>
      <c r="F613" s="107"/>
      <c r="G613" s="107"/>
      <c r="H613" s="107"/>
    </row>
    <row r="614" spans="2:8" x14ac:dyDescent="0.25">
      <c r="B614" s="107"/>
      <c r="C614" s="107"/>
      <c r="D614" s="107"/>
      <c r="E614" s="107"/>
      <c r="F614" s="107"/>
      <c r="G614" s="107"/>
      <c r="H614" s="107"/>
    </row>
    <row r="615" spans="2:8" x14ac:dyDescent="0.25">
      <c r="B615" s="107"/>
      <c r="C615" s="107"/>
      <c r="D615" s="107"/>
      <c r="E615" s="107"/>
      <c r="F615" s="107"/>
      <c r="G615" s="107"/>
      <c r="H615" s="107"/>
    </row>
    <row r="616" spans="2:8" x14ac:dyDescent="0.25">
      <c r="B616" s="107"/>
      <c r="C616" s="107"/>
      <c r="D616" s="107"/>
      <c r="E616" s="107"/>
      <c r="F616" s="107"/>
      <c r="G616" s="107"/>
      <c r="H616" s="107"/>
    </row>
    <row r="617" spans="2:8" x14ac:dyDescent="0.25">
      <c r="B617" s="107"/>
      <c r="C617" s="107"/>
      <c r="D617" s="107"/>
      <c r="E617" s="107"/>
      <c r="F617" s="107"/>
      <c r="G617" s="107"/>
      <c r="H617" s="107"/>
    </row>
    <row r="618" spans="2:8" x14ac:dyDescent="0.25">
      <c r="B618" s="107"/>
      <c r="C618" s="107"/>
      <c r="D618" s="107"/>
      <c r="E618" s="107"/>
      <c r="F618" s="107"/>
      <c r="G618" s="107"/>
      <c r="H618" s="107"/>
    </row>
    <row r="619" spans="2:8" x14ac:dyDescent="0.25">
      <c r="B619" s="107"/>
      <c r="C619" s="107"/>
      <c r="D619" s="107"/>
      <c r="E619" s="107"/>
      <c r="F619" s="107"/>
      <c r="G619" s="107"/>
      <c r="H619" s="107"/>
    </row>
    <row r="620" spans="2:8" x14ac:dyDescent="0.25">
      <c r="B620" s="107"/>
      <c r="C620" s="107"/>
      <c r="D620" s="107"/>
      <c r="E620" s="107"/>
      <c r="F620" s="107"/>
      <c r="G620" s="107"/>
      <c r="H620" s="107"/>
    </row>
    <row r="621" spans="2:8" x14ac:dyDescent="0.25">
      <c r="B621" s="107"/>
      <c r="C621" s="107"/>
      <c r="D621" s="107"/>
      <c r="E621" s="107"/>
      <c r="F621" s="107"/>
      <c r="G621" s="107"/>
      <c r="H621" s="107"/>
    </row>
    <row r="622" spans="2:8" x14ac:dyDescent="0.25">
      <c r="B622" s="107"/>
      <c r="C622" s="107"/>
      <c r="D622" s="107"/>
      <c r="E622" s="107"/>
      <c r="F622" s="107"/>
      <c r="G622" s="107"/>
      <c r="H622" s="107"/>
    </row>
    <row r="623" spans="2:8" x14ac:dyDescent="0.25">
      <c r="B623" s="107"/>
      <c r="C623" s="107"/>
      <c r="D623" s="107"/>
      <c r="E623" s="107"/>
      <c r="F623" s="107"/>
      <c r="G623" s="107"/>
      <c r="H623" s="107"/>
    </row>
    <row r="624" spans="2:8" x14ac:dyDescent="0.25">
      <c r="B624" s="107"/>
      <c r="C624" s="107"/>
      <c r="D624" s="107"/>
      <c r="E624" s="107"/>
      <c r="F624" s="107"/>
      <c r="G624" s="107"/>
      <c r="H624" s="107"/>
    </row>
    <row r="625" spans="2:8" x14ac:dyDescent="0.25">
      <c r="B625" s="107"/>
      <c r="C625" s="107"/>
      <c r="D625" s="107"/>
      <c r="E625" s="107"/>
      <c r="F625" s="107"/>
      <c r="G625" s="107"/>
      <c r="H625" s="107"/>
    </row>
    <row r="626" spans="2:8" x14ac:dyDescent="0.25">
      <c r="B626" s="107"/>
      <c r="C626" s="107"/>
      <c r="D626" s="107"/>
      <c r="E626" s="107"/>
      <c r="F626" s="107"/>
      <c r="G626" s="107"/>
      <c r="H626" s="107"/>
    </row>
    <row r="627" spans="2:8" x14ac:dyDescent="0.25">
      <c r="B627" s="107"/>
      <c r="C627" s="107"/>
      <c r="D627" s="107"/>
      <c r="E627" s="107"/>
      <c r="F627" s="107"/>
      <c r="G627" s="107"/>
      <c r="H627" s="107"/>
    </row>
    <row r="628" spans="2:8" x14ac:dyDescent="0.25">
      <c r="B628" s="107"/>
      <c r="C628" s="107"/>
      <c r="D628" s="107"/>
      <c r="E628" s="107"/>
      <c r="F628" s="107"/>
      <c r="G628" s="107"/>
      <c r="H628" s="107"/>
    </row>
    <row r="629" spans="2:8" x14ac:dyDescent="0.25">
      <c r="B629" s="107"/>
      <c r="C629" s="107"/>
      <c r="D629" s="107"/>
      <c r="E629" s="107"/>
      <c r="F629" s="107"/>
      <c r="G629" s="107"/>
      <c r="H629" s="107"/>
    </row>
    <row r="630" spans="2:8" x14ac:dyDescent="0.25">
      <c r="B630" s="107"/>
      <c r="C630" s="107"/>
      <c r="D630" s="107"/>
      <c r="E630" s="107"/>
      <c r="F630" s="107"/>
      <c r="G630" s="107"/>
      <c r="H630" s="107"/>
    </row>
    <row r="631" spans="2:8" x14ac:dyDescent="0.25">
      <c r="B631" s="107"/>
      <c r="C631" s="107"/>
      <c r="D631" s="107"/>
      <c r="E631" s="107"/>
      <c r="F631" s="107"/>
      <c r="G631" s="107"/>
      <c r="H631" s="107"/>
    </row>
    <row r="632" spans="2:8" x14ac:dyDescent="0.25">
      <c r="B632" s="107"/>
      <c r="C632" s="107"/>
      <c r="D632" s="107"/>
      <c r="E632" s="107"/>
      <c r="F632" s="107"/>
      <c r="G632" s="107"/>
      <c r="H632" s="107"/>
    </row>
    <row r="633" spans="2:8" x14ac:dyDescent="0.25">
      <c r="B633" s="107"/>
      <c r="C633" s="107"/>
      <c r="D633" s="107"/>
      <c r="E633" s="107"/>
      <c r="F633" s="107"/>
      <c r="G633" s="107"/>
      <c r="H633" s="107"/>
    </row>
    <row r="634" spans="2:8" x14ac:dyDescent="0.25">
      <c r="B634" s="107"/>
      <c r="C634" s="107"/>
      <c r="D634" s="107"/>
      <c r="E634" s="107"/>
      <c r="F634" s="107"/>
      <c r="G634" s="107"/>
      <c r="H634" s="107"/>
    </row>
    <row r="635" spans="2:8" x14ac:dyDescent="0.25">
      <c r="B635" s="107"/>
      <c r="C635" s="107"/>
      <c r="D635" s="107"/>
      <c r="E635" s="107"/>
      <c r="F635" s="107"/>
      <c r="G635" s="107"/>
      <c r="H635" s="107"/>
    </row>
    <row r="636" spans="2:8" x14ac:dyDescent="0.25">
      <c r="B636" s="107"/>
      <c r="C636" s="107"/>
      <c r="D636" s="107"/>
      <c r="E636" s="107"/>
      <c r="F636" s="107"/>
      <c r="G636" s="107"/>
      <c r="H636" s="107"/>
    </row>
    <row r="637" spans="2:8" x14ac:dyDescent="0.25">
      <c r="B637" s="107"/>
      <c r="C637" s="107"/>
      <c r="D637" s="107"/>
      <c r="E637" s="107"/>
      <c r="F637" s="107"/>
      <c r="G637" s="107"/>
      <c r="H637" s="107"/>
    </row>
    <row r="638" spans="2:8" x14ac:dyDescent="0.25">
      <c r="B638" s="107"/>
      <c r="C638" s="107"/>
      <c r="D638" s="107"/>
      <c r="E638" s="107"/>
      <c r="F638" s="107"/>
      <c r="G638" s="107"/>
      <c r="H638" s="107"/>
    </row>
    <row r="639" spans="2:8" x14ac:dyDescent="0.25">
      <c r="B639" s="107"/>
      <c r="C639" s="107"/>
      <c r="D639" s="107"/>
      <c r="E639" s="107"/>
      <c r="F639" s="107"/>
      <c r="G639" s="107"/>
      <c r="H639" s="107"/>
    </row>
    <row r="640" spans="2:8" x14ac:dyDescent="0.25">
      <c r="B640" s="107"/>
      <c r="C640" s="107"/>
      <c r="D640" s="107"/>
      <c r="E640" s="107"/>
      <c r="F640" s="107"/>
      <c r="G640" s="107"/>
      <c r="H640" s="107"/>
    </row>
    <row r="641" spans="2:8" x14ac:dyDescent="0.25">
      <c r="B641" s="107"/>
      <c r="C641" s="107"/>
      <c r="D641" s="107"/>
      <c r="E641" s="107"/>
      <c r="F641" s="107"/>
      <c r="G641" s="107"/>
      <c r="H641" s="107"/>
    </row>
    <row r="642" spans="2:8" x14ac:dyDescent="0.25">
      <c r="B642" s="107"/>
      <c r="C642" s="107"/>
      <c r="D642" s="107"/>
      <c r="E642" s="107"/>
      <c r="F642" s="107"/>
      <c r="G642" s="107"/>
      <c r="H642" s="107"/>
    </row>
    <row r="643" spans="2:8" x14ac:dyDescent="0.25">
      <c r="B643" s="107"/>
      <c r="C643" s="107"/>
      <c r="D643" s="107"/>
      <c r="E643" s="107"/>
      <c r="F643" s="107"/>
      <c r="G643" s="107"/>
      <c r="H643" s="107"/>
    </row>
    <row r="644" spans="2:8" x14ac:dyDescent="0.25">
      <c r="B644" s="107"/>
      <c r="C644" s="107"/>
      <c r="D644" s="107"/>
      <c r="E644" s="107"/>
      <c r="F644" s="107"/>
      <c r="G644" s="107"/>
      <c r="H644" s="107"/>
    </row>
    <row r="645" spans="2:8" x14ac:dyDescent="0.25">
      <c r="B645" s="107"/>
      <c r="C645" s="107"/>
      <c r="D645" s="107"/>
      <c r="E645" s="107"/>
      <c r="F645" s="107"/>
      <c r="G645" s="107"/>
      <c r="H645" s="107"/>
    </row>
    <row r="646" spans="2:8" x14ac:dyDescent="0.25">
      <c r="B646" s="107"/>
      <c r="C646" s="107"/>
      <c r="D646" s="107"/>
      <c r="E646" s="107"/>
      <c r="F646" s="107"/>
      <c r="G646" s="107"/>
      <c r="H646" s="107"/>
    </row>
    <row r="647" spans="2:8" x14ac:dyDescent="0.25">
      <c r="B647" s="107"/>
      <c r="C647" s="107"/>
      <c r="D647" s="107"/>
      <c r="E647" s="107"/>
      <c r="F647" s="107"/>
      <c r="G647" s="107"/>
      <c r="H647" s="107"/>
    </row>
    <row r="648" spans="2:8" x14ac:dyDescent="0.25">
      <c r="B648" s="107"/>
      <c r="C648" s="107"/>
      <c r="D648" s="107"/>
      <c r="E648" s="107"/>
      <c r="F648" s="107"/>
      <c r="G648" s="107"/>
      <c r="H648" s="107"/>
    </row>
    <row r="649" spans="2:8" x14ac:dyDescent="0.25">
      <c r="B649" s="107"/>
      <c r="C649" s="107"/>
      <c r="D649" s="107"/>
      <c r="E649" s="107"/>
      <c r="F649" s="107"/>
      <c r="G649" s="107"/>
      <c r="H649" s="107"/>
    </row>
    <row r="650" spans="2:8" x14ac:dyDescent="0.25">
      <c r="B650" s="107"/>
      <c r="C650" s="107"/>
      <c r="D650" s="107"/>
      <c r="E650" s="107"/>
      <c r="F650" s="107"/>
      <c r="G650" s="107"/>
      <c r="H650" s="107"/>
    </row>
    <row r="651" spans="2:8" x14ac:dyDescent="0.25">
      <c r="B651" s="107"/>
      <c r="C651" s="107"/>
      <c r="D651" s="107"/>
      <c r="E651" s="107"/>
      <c r="F651" s="107"/>
      <c r="G651" s="107"/>
      <c r="H651" s="107"/>
    </row>
    <row r="652" spans="2:8" x14ac:dyDescent="0.25">
      <c r="B652" s="107"/>
      <c r="C652" s="107"/>
      <c r="D652" s="107"/>
      <c r="E652" s="107"/>
      <c r="F652" s="107"/>
      <c r="G652" s="107"/>
      <c r="H652" s="107"/>
    </row>
    <row r="653" spans="2:8" x14ac:dyDescent="0.25">
      <c r="B653" s="107"/>
      <c r="C653" s="107"/>
      <c r="D653" s="107"/>
      <c r="E653" s="107"/>
      <c r="F653" s="107"/>
      <c r="G653" s="107"/>
      <c r="H653" s="107"/>
    </row>
    <row r="654" spans="2:8" x14ac:dyDescent="0.25">
      <c r="B654" s="107"/>
      <c r="C654" s="107"/>
      <c r="D654" s="107"/>
      <c r="E654" s="107"/>
      <c r="F654" s="107"/>
      <c r="G654" s="107"/>
      <c r="H654" s="107"/>
    </row>
    <row r="655" spans="2:8" x14ac:dyDescent="0.25">
      <c r="B655" s="107"/>
      <c r="C655" s="107"/>
      <c r="D655" s="107"/>
      <c r="E655" s="107"/>
      <c r="F655" s="107"/>
      <c r="G655" s="107"/>
      <c r="H655" s="107"/>
    </row>
    <row r="656" spans="2:8" x14ac:dyDescent="0.25">
      <c r="B656" s="107"/>
      <c r="C656" s="107"/>
      <c r="D656" s="107"/>
      <c r="E656" s="107"/>
      <c r="F656" s="107"/>
      <c r="G656" s="107"/>
      <c r="H656" s="107"/>
    </row>
    <row r="657" spans="2:8" x14ac:dyDescent="0.25">
      <c r="B657" s="107"/>
      <c r="C657" s="107"/>
      <c r="D657" s="107"/>
      <c r="E657" s="107"/>
      <c r="F657" s="107"/>
      <c r="G657" s="107"/>
      <c r="H657" s="107"/>
    </row>
    <row r="658" spans="2:8" x14ac:dyDescent="0.25">
      <c r="B658" s="107"/>
      <c r="C658" s="107"/>
      <c r="D658" s="107"/>
      <c r="E658" s="107"/>
      <c r="F658" s="107"/>
      <c r="G658" s="107"/>
      <c r="H658" s="107"/>
    </row>
    <row r="659" spans="2:8" x14ac:dyDescent="0.25">
      <c r="B659" s="107"/>
      <c r="C659" s="107"/>
      <c r="D659" s="107"/>
      <c r="E659" s="107"/>
      <c r="F659" s="107"/>
      <c r="G659" s="107"/>
      <c r="H659" s="107"/>
    </row>
    <row r="660" spans="2:8" x14ac:dyDescent="0.25">
      <c r="B660" s="107"/>
      <c r="C660" s="107"/>
      <c r="D660" s="107"/>
      <c r="E660" s="107"/>
      <c r="F660" s="107"/>
      <c r="G660" s="107"/>
      <c r="H660" s="107"/>
    </row>
    <row r="661" spans="2:8" x14ac:dyDescent="0.25">
      <c r="B661" s="107"/>
      <c r="C661" s="107"/>
      <c r="D661" s="107"/>
      <c r="E661" s="107"/>
      <c r="F661" s="107"/>
      <c r="G661" s="107"/>
      <c r="H661" s="107"/>
    </row>
    <row r="662" spans="2:8" x14ac:dyDescent="0.25">
      <c r="B662" s="107"/>
      <c r="C662" s="107"/>
      <c r="D662" s="107"/>
      <c r="E662" s="107"/>
      <c r="F662" s="107"/>
      <c r="G662" s="107"/>
      <c r="H662" s="107"/>
    </row>
    <row r="663" spans="2:8" x14ac:dyDescent="0.25">
      <c r="B663" s="107"/>
      <c r="C663" s="107"/>
      <c r="D663" s="107"/>
      <c r="E663" s="107"/>
      <c r="F663" s="107"/>
      <c r="G663" s="107"/>
      <c r="H663" s="107"/>
    </row>
    <row r="664" spans="2:8" x14ac:dyDescent="0.25">
      <c r="B664" s="107"/>
      <c r="C664" s="107"/>
      <c r="D664" s="107"/>
      <c r="E664" s="107"/>
      <c r="F664" s="107"/>
      <c r="G664" s="107"/>
      <c r="H664" s="107"/>
    </row>
    <row r="665" spans="2:8" x14ac:dyDescent="0.25">
      <c r="B665" s="107"/>
      <c r="C665" s="107"/>
      <c r="D665" s="107"/>
      <c r="E665" s="107"/>
      <c r="F665" s="107"/>
      <c r="G665" s="107"/>
      <c r="H665" s="107"/>
    </row>
    <row r="666" spans="2:8" x14ac:dyDescent="0.25">
      <c r="B666" s="107"/>
      <c r="C666" s="107"/>
      <c r="D666" s="107"/>
      <c r="E666" s="107"/>
      <c r="F666" s="107"/>
      <c r="G666" s="107"/>
      <c r="H666" s="107"/>
    </row>
    <row r="667" spans="2:8" x14ac:dyDescent="0.25">
      <c r="B667" s="107"/>
      <c r="C667" s="107"/>
      <c r="D667" s="107"/>
      <c r="E667" s="107"/>
      <c r="F667" s="107"/>
      <c r="G667" s="107"/>
      <c r="H667" s="107"/>
    </row>
    <row r="668" spans="2:8" x14ac:dyDescent="0.25">
      <c r="B668" s="107"/>
      <c r="C668" s="107"/>
      <c r="D668" s="107"/>
      <c r="E668" s="107"/>
      <c r="F668" s="107"/>
      <c r="G668" s="107"/>
      <c r="H668" s="107"/>
    </row>
    <row r="669" spans="2:8" x14ac:dyDescent="0.25">
      <c r="B669" s="107"/>
      <c r="C669" s="107"/>
      <c r="D669" s="107"/>
      <c r="E669" s="107"/>
      <c r="F669" s="107"/>
      <c r="G669" s="107"/>
      <c r="H669" s="107"/>
    </row>
    <row r="670" spans="2:8" x14ac:dyDescent="0.25">
      <c r="B670" s="107"/>
      <c r="C670" s="107"/>
      <c r="D670" s="107"/>
      <c r="E670" s="107"/>
      <c r="F670" s="107"/>
      <c r="G670" s="107"/>
      <c r="H670" s="107"/>
    </row>
    <row r="671" spans="2:8" x14ac:dyDescent="0.25">
      <c r="B671" s="107"/>
      <c r="C671" s="107"/>
      <c r="D671" s="107"/>
      <c r="E671" s="107"/>
      <c r="F671" s="107"/>
      <c r="G671" s="107"/>
      <c r="H671" s="107"/>
    </row>
    <row r="672" spans="2:8" x14ac:dyDescent="0.25">
      <c r="B672" s="107"/>
      <c r="C672" s="107"/>
      <c r="D672" s="107"/>
      <c r="E672" s="107"/>
      <c r="F672" s="107"/>
      <c r="G672" s="107"/>
      <c r="H672" s="107"/>
    </row>
    <row r="673" spans="2:8" x14ac:dyDescent="0.25">
      <c r="B673" s="107"/>
      <c r="C673" s="107"/>
      <c r="D673" s="107"/>
      <c r="E673" s="107"/>
      <c r="F673" s="107"/>
      <c r="G673" s="107"/>
      <c r="H673" s="107"/>
    </row>
    <row r="674" spans="2:8" x14ac:dyDescent="0.25">
      <c r="B674" s="107"/>
      <c r="C674" s="107"/>
      <c r="D674" s="107"/>
      <c r="E674" s="107"/>
      <c r="F674" s="107"/>
      <c r="G674" s="107"/>
      <c r="H674" s="107"/>
    </row>
    <row r="675" spans="2:8" x14ac:dyDescent="0.25">
      <c r="B675" s="107"/>
      <c r="C675" s="107"/>
      <c r="D675" s="107"/>
      <c r="E675" s="107"/>
      <c r="F675" s="107"/>
      <c r="G675" s="107"/>
      <c r="H675" s="107"/>
    </row>
    <row r="676" spans="2:8" x14ac:dyDescent="0.25">
      <c r="B676" s="107"/>
      <c r="C676" s="107"/>
      <c r="D676" s="107"/>
      <c r="E676" s="107"/>
      <c r="F676" s="107"/>
      <c r="G676" s="107"/>
      <c r="H676" s="107"/>
    </row>
    <row r="677" spans="2:8" x14ac:dyDescent="0.25">
      <c r="B677" s="107"/>
      <c r="C677" s="107"/>
      <c r="D677" s="107"/>
      <c r="E677" s="107"/>
      <c r="F677" s="107"/>
      <c r="G677" s="107"/>
      <c r="H677" s="107"/>
    </row>
    <row r="678" spans="2:8" x14ac:dyDescent="0.25">
      <c r="B678" s="107"/>
      <c r="C678" s="107"/>
      <c r="D678" s="107"/>
      <c r="E678" s="107"/>
      <c r="F678" s="107"/>
      <c r="G678" s="107"/>
      <c r="H678" s="107"/>
    </row>
    <row r="679" spans="2:8" x14ac:dyDescent="0.25">
      <c r="B679" s="107"/>
      <c r="C679" s="107"/>
      <c r="D679" s="107"/>
      <c r="E679" s="107"/>
      <c r="F679" s="107"/>
      <c r="G679" s="107"/>
      <c r="H679" s="107"/>
    </row>
    <row r="680" spans="2:8" x14ac:dyDescent="0.25">
      <c r="B680" s="107"/>
      <c r="C680" s="107"/>
      <c r="D680" s="107"/>
      <c r="E680" s="107"/>
      <c r="F680" s="107"/>
      <c r="G680" s="107"/>
      <c r="H680" s="107"/>
    </row>
    <row r="681" spans="2:8" x14ac:dyDescent="0.25">
      <c r="B681" s="107"/>
      <c r="C681" s="107"/>
      <c r="D681" s="107"/>
      <c r="E681" s="107"/>
      <c r="F681" s="107"/>
      <c r="G681" s="107"/>
      <c r="H681" s="107"/>
    </row>
    <row r="682" spans="2:8" x14ac:dyDescent="0.25">
      <c r="B682" s="107"/>
      <c r="C682" s="107"/>
      <c r="D682" s="107"/>
      <c r="E682" s="107"/>
      <c r="F682" s="107"/>
      <c r="G682" s="107"/>
      <c r="H682" s="107"/>
    </row>
    <row r="683" spans="2:8" x14ac:dyDescent="0.25">
      <c r="B683" s="107"/>
      <c r="C683" s="107"/>
      <c r="D683" s="107"/>
      <c r="E683" s="107"/>
      <c r="F683" s="107"/>
      <c r="G683" s="107"/>
      <c r="H683" s="107"/>
    </row>
    <row r="684" spans="2:8" x14ac:dyDescent="0.25">
      <c r="B684" s="107"/>
      <c r="C684" s="107"/>
      <c r="D684" s="107"/>
      <c r="E684" s="107"/>
      <c r="F684" s="107"/>
      <c r="G684" s="107"/>
      <c r="H684" s="107"/>
    </row>
    <row r="685" spans="2:8" x14ac:dyDescent="0.25">
      <c r="B685" s="107"/>
      <c r="C685" s="107"/>
      <c r="D685" s="107"/>
      <c r="E685" s="107"/>
      <c r="F685" s="107"/>
      <c r="G685" s="107"/>
      <c r="H685" s="107"/>
    </row>
    <row r="686" spans="2:8" x14ac:dyDescent="0.25">
      <c r="B686" s="107"/>
      <c r="C686" s="107"/>
      <c r="D686" s="107"/>
      <c r="E686" s="107"/>
      <c r="F686" s="107"/>
      <c r="G686" s="107"/>
      <c r="H686" s="107"/>
    </row>
    <row r="687" spans="2:8" x14ac:dyDescent="0.25">
      <c r="B687" s="107"/>
      <c r="C687" s="107"/>
      <c r="D687" s="107"/>
      <c r="E687" s="107"/>
      <c r="F687" s="107"/>
      <c r="G687" s="107"/>
      <c r="H687" s="107"/>
    </row>
    <row r="688" spans="2:8" x14ac:dyDescent="0.25">
      <c r="B688" s="107"/>
      <c r="C688" s="107"/>
      <c r="D688" s="107"/>
      <c r="E688" s="107"/>
      <c r="F688" s="107"/>
      <c r="G688" s="107"/>
      <c r="H688" s="107"/>
    </row>
    <row r="689" spans="2:8" x14ac:dyDescent="0.25">
      <c r="B689" s="107"/>
      <c r="C689" s="107"/>
      <c r="D689" s="107"/>
      <c r="E689" s="107"/>
      <c r="F689" s="107"/>
      <c r="G689" s="107"/>
      <c r="H689" s="107"/>
    </row>
    <row r="690" spans="2:8" x14ac:dyDescent="0.25">
      <c r="B690" s="107"/>
      <c r="C690" s="107"/>
      <c r="D690" s="107"/>
      <c r="E690" s="107"/>
      <c r="F690" s="107"/>
      <c r="G690" s="107"/>
      <c r="H690" s="107"/>
    </row>
    <row r="691" spans="2:8" x14ac:dyDescent="0.25">
      <c r="B691" s="107"/>
      <c r="C691" s="107"/>
      <c r="D691" s="107"/>
      <c r="E691" s="107"/>
      <c r="F691" s="107"/>
      <c r="G691" s="107"/>
      <c r="H691" s="107"/>
    </row>
    <row r="692" spans="2:8" x14ac:dyDescent="0.25">
      <c r="B692" s="107"/>
      <c r="C692" s="107"/>
      <c r="D692" s="107"/>
      <c r="E692" s="107"/>
      <c r="F692" s="107"/>
      <c r="G692" s="107"/>
      <c r="H692" s="107"/>
    </row>
    <row r="693" spans="2:8" x14ac:dyDescent="0.25">
      <c r="B693" s="107"/>
      <c r="C693" s="107"/>
      <c r="D693" s="107"/>
      <c r="E693" s="107"/>
      <c r="F693" s="107"/>
      <c r="G693" s="107"/>
      <c r="H693" s="107"/>
    </row>
    <row r="694" spans="2:8" x14ac:dyDescent="0.25">
      <c r="B694" s="107"/>
      <c r="C694" s="107"/>
      <c r="D694" s="107"/>
      <c r="E694" s="107"/>
      <c r="F694" s="107"/>
      <c r="G694" s="107"/>
      <c r="H694" s="107"/>
    </row>
    <row r="695" spans="2:8" x14ac:dyDescent="0.25">
      <c r="B695" s="107"/>
      <c r="C695" s="107"/>
      <c r="D695" s="107"/>
      <c r="E695" s="107"/>
      <c r="F695" s="107"/>
      <c r="G695" s="107"/>
      <c r="H695" s="107"/>
    </row>
    <row r="696" spans="2:8" x14ac:dyDescent="0.25">
      <c r="B696" s="107"/>
      <c r="C696" s="107"/>
      <c r="D696" s="107"/>
      <c r="E696" s="107"/>
      <c r="F696" s="107"/>
      <c r="G696" s="107"/>
      <c r="H696" s="107"/>
    </row>
    <row r="697" spans="2:8" x14ac:dyDescent="0.25">
      <c r="B697" s="107"/>
      <c r="C697" s="107"/>
      <c r="D697" s="107"/>
      <c r="E697" s="107"/>
      <c r="F697" s="107"/>
      <c r="G697" s="107"/>
      <c r="H697" s="107"/>
    </row>
    <row r="698" spans="2:8" x14ac:dyDescent="0.25">
      <c r="B698" s="107"/>
      <c r="C698" s="107"/>
      <c r="D698" s="107"/>
      <c r="E698" s="107"/>
      <c r="F698" s="107"/>
      <c r="G698" s="107"/>
      <c r="H698" s="107"/>
    </row>
    <row r="699" spans="2:8" x14ac:dyDescent="0.25">
      <c r="B699" s="107"/>
      <c r="C699" s="107"/>
      <c r="D699" s="107"/>
      <c r="E699" s="107"/>
      <c r="F699" s="107"/>
      <c r="G699" s="107"/>
      <c r="H699" s="107"/>
    </row>
    <row r="700" spans="2:8" x14ac:dyDescent="0.25">
      <c r="B700" s="107"/>
      <c r="C700" s="107"/>
      <c r="D700" s="107"/>
      <c r="E700" s="107"/>
      <c r="F700" s="107"/>
      <c r="G700" s="107"/>
      <c r="H700" s="107"/>
    </row>
    <row r="701" spans="2:8" x14ac:dyDescent="0.25">
      <c r="B701" s="107"/>
      <c r="C701" s="107"/>
      <c r="D701" s="107"/>
      <c r="E701" s="107"/>
      <c r="F701" s="107"/>
      <c r="G701" s="107"/>
      <c r="H701" s="107"/>
    </row>
    <row r="702" spans="2:8" x14ac:dyDescent="0.25">
      <c r="B702" s="107"/>
      <c r="C702" s="107"/>
      <c r="D702" s="107"/>
      <c r="E702" s="107"/>
      <c r="F702" s="107"/>
      <c r="G702" s="107"/>
      <c r="H702" s="107"/>
    </row>
    <row r="703" spans="2:8" x14ac:dyDescent="0.25">
      <c r="B703" s="107"/>
      <c r="C703" s="107"/>
      <c r="D703" s="107"/>
      <c r="E703" s="107"/>
      <c r="F703" s="107"/>
      <c r="G703" s="107"/>
      <c r="H703" s="107"/>
    </row>
    <row r="704" spans="2:8" x14ac:dyDescent="0.25">
      <c r="B704" s="107"/>
      <c r="C704" s="107"/>
      <c r="D704" s="107"/>
      <c r="E704" s="107"/>
      <c r="F704" s="107"/>
      <c r="G704" s="107"/>
      <c r="H704" s="107"/>
    </row>
    <row r="705" spans="2:8" x14ac:dyDescent="0.25">
      <c r="B705" s="107"/>
      <c r="C705" s="107"/>
      <c r="D705" s="107"/>
      <c r="E705" s="107"/>
      <c r="F705" s="107"/>
      <c r="G705" s="107"/>
      <c r="H705" s="107"/>
    </row>
    <row r="706" spans="2:8" x14ac:dyDescent="0.25">
      <c r="B706" s="107"/>
      <c r="C706" s="107"/>
      <c r="D706" s="107"/>
      <c r="E706" s="107"/>
      <c r="F706" s="107"/>
      <c r="G706" s="107"/>
      <c r="H706" s="107"/>
    </row>
    <row r="707" spans="2:8" x14ac:dyDescent="0.25">
      <c r="B707" s="107"/>
      <c r="C707" s="107"/>
      <c r="D707" s="107"/>
      <c r="E707" s="107"/>
      <c r="F707" s="107"/>
      <c r="G707" s="107"/>
      <c r="H707" s="107"/>
    </row>
    <row r="708" spans="2:8" x14ac:dyDescent="0.25">
      <c r="B708" s="107"/>
      <c r="C708" s="107"/>
      <c r="D708" s="107"/>
      <c r="E708" s="107"/>
      <c r="F708" s="107"/>
      <c r="G708" s="107"/>
      <c r="H708" s="107"/>
    </row>
    <row r="709" spans="2:8" x14ac:dyDescent="0.25">
      <c r="B709" s="107"/>
      <c r="C709" s="107"/>
      <c r="D709" s="107"/>
      <c r="E709" s="107"/>
      <c r="F709" s="107"/>
      <c r="G709" s="107"/>
      <c r="H709" s="107"/>
    </row>
    <row r="710" spans="2:8" x14ac:dyDescent="0.25">
      <c r="B710" s="107"/>
      <c r="C710" s="107"/>
      <c r="D710" s="107"/>
      <c r="E710" s="107"/>
      <c r="F710" s="107"/>
      <c r="G710" s="107"/>
      <c r="H710" s="107"/>
    </row>
    <row r="711" spans="2:8" x14ac:dyDescent="0.25">
      <c r="B711" s="107"/>
      <c r="C711" s="107"/>
      <c r="D711" s="107"/>
      <c r="E711" s="107"/>
      <c r="F711" s="107"/>
      <c r="G711" s="107"/>
      <c r="H711" s="107"/>
    </row>
    <row r="712" spans="2:8" x14ac:dyDescent="0.25">
      <c r="B712" s="107"/>
      <c r="C712" s="107"/>
      <c r="D712" s="107"/>
      <c r="E712" s="107"/>
      <c r="F712" s="107"/>
      <c r="G712" s="107"/>
      <c r="H712" s="107"/>
    </row>
    <row r="713" spans="2:8" x14ac:dyDescent="0.25">
      <c r="B713" s="107"/>
      <c r="C713" s="107"/>
      <c r="D713" s="107"/>
      <c r="E713" s="107"/>
      <c r="F713" s="107"/>
      <c r="G713" s="107"/>
      <c r="H713" s="107"/>
    </row>
    <row r="714" spans="2:8" x14ac:dyDescent="0.25">
      <c r="B714" s="107"/>
      <c r="C714" s="107"/>
      <c r="D714" s="107"/>
      <c r="E714" s="107"/>
      <c r="F714" s="107"/>
      <c r="G714" s="107"/>
      <c r="H714" s="107"/>
    </row>
    <row r="715" spans="2:8" x14ac:dyDescent="0.25">
      <c r="B715" s="107"/>
      <c r="C715" s="107"/>
      <c r="D715" s="107"/>
      <c r="E715" s="107"/>
      <c r="F715" s="107"/>
      <c r="G715" s="107"/>
      <c r="H715" s="107"/>
    </row>
    <row r="716" spans="2:8" x14ac:dyDescent="0.25">
      <c r="B716" s="107"/>
      <c r="C716" s="107"/>
      <c r="D716" s="107"/>
      <c r="E716" s="107"/>
      <c r="F716" s="107"/>
      <c r="G716" s="107"/>
      <c r="H716" s="107"/>
    </row>
    <row r="717" spans="2:8" x14ac:dyDescent="0.25">
      <c r="B717" s="107"/>
      <c r="C717" s="107"/>
      <c r="D717" s="107"/>
      <c r="E717" s="107"/>
      <c r="F717" s="107"/>
      <c r="G717" s="107"/>
      <c r="H717" s="107"/>
    </row>
    <row r="718" spans="2:8" x14ac:dyDescent="0.25">
      <c r="B718" s="107"/>
      <c r="C718" s="107"/>
      <c r="D718" s="107"/>
      <c r="E718" s="107"/>
      <c r="F718" s="107"/>
      <c r="G718" s="107"/>
      <c r="H718" s="107"/>
    </row>
    <row r="719" spans="2:8" x14ac:dyDescent="0.25">
      <c r="B719" s="107"/>
      <c r="C719" s="107"/>
      <c r="D719" s="107"/>
      <c r="E719" s="107"/>
      <c r="F719" s="107"/>
      <c r="G719" s="107"/>
      <c r="H719" s="107"/>
    </row>
    <row r="720" spans="2:8" x14ac:dyDescent="0.25">
      <c r="B720" s="107"/>
      <c r="C720" s="107"/>
      <c r="D720" s="107"/>
      <c r="E720" s="107"/>
      <c r="F720" s="107"/>
      <c r="G720" s="107"/>
      <c r="H720" s="107"/>
    </row>
    <row r="721" spans="2:8" x14ac:dyDescent="0.25">
      <c r="B721" s="107"/>
      <c r="C721" s="107"/>
      <c r="D721" s="107"/>
      <c r="E721" s="107"/>
      <c r="F721" s="107"/>
      <c r="G721" s="107"/>
      <c r="H721" s="107"/>
    </row>
    <row r="722" spans="2:8" x14ac:dyDescent="0.25">
      <c r="B722" s="107"/>
      <c r="C722" s="107"/>
      <c r="D722" s="107"/>
      <c r="E722" s="107"/>
      <c r="F722" s="107"/>
      <c r="G722" s="107"/>
      <c r="H722" s="107"/>
    </row>
    <row r="723" spans="2:8" x14ac:dyDescent="0.25">
      <c r="B723" s="107"/>
      <c r="C723" s="107"/>
      <c r="D723" s="107"/>
      <c r="E723" s="107"/>
      <c r="F723" s="107"/>
      <c r="G723" s="107"/>
      <c r="H723" s="107"/>
    </row>
    <row r="724" spans="2:8" x14ac:dyDescent="0.25">
      <c r="B724" s="107"/>
      <c r="C724" s="107"/>
      <c r="D724" s="107"/>
      <c r="E724" s="107"/>
      <c r="F724" s="107"/>
      <c r="G724" s="107"/>
      <c r="H724" s="107"/>
    </row>
    <row r="725" spans="2:8" x14ac:dyDescent="0.25">
      <c r="B725" s="107"/>
      <c r="C725" s="107"/>
      <c r="D725" s="107"/>
      <c r="E725" s="107"/>
      <c r="F725" s="107"/>
      <c r="G725" s="107"/>
      <c r="H725" s="107"/>
    </row>
    <row r="726" spans="2:8" x14ac:dyDescent="0.25">
      <c r="B726" s="107"/>
      <c r="C726" s="107"/>
      <c r="D726" s="107"/>
      <c r="E726" s="107"/>
      <c r="F726" s="107"/>
      <c r="G726" s="107"/>
      <c r="H726" s="107"/>
    </row>
    <row r="727" spans="2:8" x14ac:dyDescent="0.25">
      <c r="B727" s="107"/>
      <c r="C727" s="107"/>
      <c r="D727" s="107"/>
      <c r="E727" s="107"/>
      <c r="F727" s="107"/>
      <c r="G727" s="107"/>
      <c r="H727" s="107"/>
    </row>
    <row r="728" spans="2:8" x14ac:dyDescent="0.25">
      <c r="B728" s="107"/>
      <c r="C728" s="107"/>
      <c r="D728" s="107"/>
      <c r="E728" s="107"/>
      <c r="F728" s="107"/>
      <c r="G728" s="107"/>
      <c r="H728" s="107"/>
    </row>
    <row r="729" spans="2:8" x14ac:dyDescent="0.25">
      <c r="B729" s="107"/>
      <c r="C729" s="107"/>
      <c r="D729" s="107"/>
      <c r="E729" s="107"/>
      <c r="F729" s="107"/>
      <c r="G729" s="107"/>
      <c r="H729" s="107"/>
    </row>
    <row r="730" spans="2:8" x14ac:dyDescent="0.25">
      <c r="B730" s="107"/>
      <c r="C730" s="107"/>
      <c r="D730" s="107"/>
      <c r="E730" s="107"/>
      <c r="F730" s="107"/>
      <c r="G730" s="107"/>
      <c r="H730" s="107"/>
    </row>
    <row r="731" spans="2:8" x14ac:dyDescent="0.25">
      <c r="B731" s="107"/>
      <c r="C731" s="107"/>
      <c r="D731" s="107"/>
      <c r="E731" s="107"/>
      <c r="F731" s="107"/>
      <c r="G731" s="107"/>
      <c r="H731" s="107"/>
    </row>
    <row r="732" spans="2:8" x14ac:dyDescent="0.25">
      <c r="B732" s="107"/>
      <c r="C732" s="107"/>
      <c r="D732" s="107"/>
      <c r="E732" s="107"/>
      <c r="F732" s="107"/>
      <c r="G732" s="107"/>
      <c r="H732" s="107"/>
    </row>
    <row r="733" spans="2:8" x14ac:dyDescent="0.25">
      <c r="B733" s="107"/>
      <c r="C733" s="107"/>
      <c r="D733" s="107"/>
      <c r="E733" s="107"/>
      <c r="F733" s="107"/>
      <c r="G733" s="107"/>
      <c r="H733" s="107"/>
    </row>
    <row r="734" spans="2:8" x14ac:dyDescent="0.25">
      <c r="B734" s="107"/>
      <c r="C734" s="107"/>
      <c r="D734" s="107"/>
      <c r="E734" s="107"/>
      <c r="F734" s="107"/>
      <c r="G734" s="107"/>
      <c r="H734" s="107"/>
    </row>
    <row r="735" spans="2:8" x14ac:dyDescent="0.25">
      <c r="B735" s="107"/>
      <c r="C735" s="107"/>
      <c r="D735" s="107"/>
      <c r="E735" s="107"/>
      <c r="F735" s="107"/>
      <c r="G735" s="107"/>
      <c r="H735" s="107"/>
    </row>
    <row r="736" spans="2:8" x14ac:dyDescent="0.25">
      <c r="B736" s="107"/>
      <c r="C736" s="107"/>
      <c r="D736" s="107"/>
      <c r="E736" s="107"/>
      <c r="F736" s="107"/>
      <c r="G736" s="107"/>
      <c r="H736" s="107"/>
    </row>
    <row r="737" spans="2:8" x14ac:dyDescent="0.25">
      <c r="B737" s="107"/>
      <c r="C737" s="107"/>
      <c r="D737" s="107"/>
      <c r="E737" s="107"/>
      <c r="F737" s="107"/>
      <c r="G737" s="107"/>
      <c r="H737" s="107"/>
    </row>
    <row r="738" spans="2:8" x14ac:dyDescent="0.25">
      <c r="B738" s="107"/>
      <c r="C738" s="107"/>
      <c r="D738" s="107"/>
      <c r="E738" s="107"/>
      <c r="F738" s="107"/>
      <c r="G738" s="107"/>
      <c r="H738" s="107"/>
    </row>
    <row r="739" spans="2:8" x14ac:dyDescent="0.25">
      <c r="B739" s="107"/>
      <c r="C739" s="107"/>
      <c r="D739" s="107"/>
      <c r="E739" s="107"/>
      <c r="F739" s="107"/>
      <c r="G739" s="107"/>
      <c r="H739" s="107"/>
    </row>
    <row r="740" spans="2:8" x14ac:dyDescent="0.25">
      <c r="B740" s="107"/>
      <c r="C740" s="107"/>
      <c r="D740" s="107"/>
      <c r="E740" s="107"/>
      <c r="F740" s="107"/>
      <c r="G740" s="107"/>
      <c r="H740" s="107"/>
    </row>
    <row r="741" spans="2:8" x14ac:dyDescent="0.25">
      <c r="B741" s="107"/>
      <c r="C741" s="107"/>
      <c r="D741" s="107"/>
      <c r="E741" s="107"/>
      <c r="F741" s="107"/>
      <c r="G741" s="107"/>
      <c r="H741" s="107"/>
    </row>
    <row r="742" spans="2:8" x14ac:dyDescent="0.25">
      <c r="B742" s="107"/>
      <c r="C742" s="107"/>
      <c r="D742" s="107"/>
      <c r="E742" s="107"/>
      <c r="F742" s="107"/>
      <c r="G742" s="107"/>
      <c r="H742" s="107"/>
    </row>
    <row r="743" spans="2:8" x14ac:dyDescent="0.25">
      <c r="B743" s="107"/>
      <c r="C743" s="107"/>
      <c r="D743" s="107"/>
      <c r="E743" s="107"/>
      <c r="F743" s="107"/>
      <c r="G743" s="107"/>
      <c r="H743" s="107"/>
    </row>
    <row r="744" spans="2:8" x14ac:dyDescent="0.25">
      <c r="B744" s="107"/>
      <c r="C744" s="107"/>
      <c r="D744" s="107"/>
      <c r="E744" s="107"/>
      <c r="F744" s="107"/>
      <c r="G744" s="107"/>
      <c r="H744" s="107"/>
    </row>
    <row r="745" spans="2:8" x14ac:dyDescent="0.25">
      <c r="B745" s="107"/>
      <c r="C745" s="107"/>
      <c r="D745" s="107"/>
      <c r="E745" s="107"/>
      <c r="F745" s="107"/>
      <c r="G745" s="107"/>
      <c r="H745" s="107"/>
    </row>
    <row r="746" spans="2:8" x14ac:dyDescent="0.25">
      <c r="B746" s="107"/>
      <c r="C746" s="107"/>
      <c r="D746" s="107"/>
      <c r="E746" s="107"/>
      <c r="F746" s="107"/>
      <c r="G746" s="107"/>
      <c r="H746" s="107"/>
    </row>
    <row r="747" spans="2:8" x14ac:dyDescent="0.25">
      <c r="B747" s="107"/>
      <c r="C747" s="107"/>
      <c r="D747" s="107"/>
      <c r="E747" s="107"/>
      <c r="F747" s="107"/>
      <c r="G747" s="107"/>
      <c r="H747" s="107"/>
    </row>
    <row r="748" spans="2:8" x14ac:dyDescent="0.25">
      <c r="B748" s="107"/>
      <c r="C748" s="107"/>
      <c r="D748" s="107"/>
      <c r="E748" s="107"/>
      <c r="F748" s="107"/>
      <c r="G748" s="107"/>
      <c r="H748" s="107"/>
    </row>
    <row r="749" spans="2:8" x14ac:dyDescent="0.25">
      <c r="B749" s="107"/>
      <c r="C749" s="107"/>
      <c r="D749" s="107"/>
      <c r="E749" s="107"/>
      <c r="F749" s="107"/>
      <c r="G749" s="107"/>
      <c r="H749" s="107"/>
    </row>
    <row r="750" spans="2:8" x14ac:dyDescent="0.25">
      <c r="B750" s="107"/>
      <c r="C750" s="107"/>
      <c r="D750" s="107"/>
      <c r="E750" s="107"/>
      <c r="F750" s="107"/>
      <c r="G750" s="107"/>
      <c r="H750" s="107"/>
    </row>
    <row r="751" spans="2:8" x14ac:dyDescent="0.25">
      <c r="B751" s="107"/>
      <c r="C751" s="107"/>
      <c r="D751" s="107"/>
      <c r="E751" s="107"/>
      <c r="F751" s="107"/>
      <c r="G751" s="107"/>
      <c r="H751" s="107"/>
    </row>
    <row r="752" spans="2:8" x14ac:dyDescent="0.25">
      <c r="B752" s="107"/>
      <c r="C752" s="107"/>
      <c r="D752" s="107"/>
      <c r="E752" s="107"/>
      <c r="F752" s="107"/>
      <c r="G752" s="107"/>
      <c r="H752" s="107"/>
    </row>
    <row r="753" spans="2:8" x14ac:dyDescent="0.25">
      <c r="B753" s="107"/>
      <c r="C753" s="107"/>
      <c r="D753" s="107"/>
      <c r="E753" s="107"/>
      <c r="F753" s="107"/>
      <c r="G753" s="107"/>
      <c r="H753" s="107"/>
    </row>
    <row r="754" spans="2:8" x14ac:dyDescent="0.25">
      <c r="B754" s="107"/>
      <c r="C754" s="107"/>
      <c r="D754" s="107"/>
      <c r="E754" s="107"/>
      <c r="F754" s="107"/>
      <c r="G754" s="107"/>
      <c r="H754" s="107"/>
    </row>
    <row r="755" spans="2:8" x14ac:dyDescent="0.25">
      <c r="B755" s="107"/>
      <c r="C755" s="107"/>
      <c r="D755" s="107"/>
      <c r="E755" s="107"/>
      <c r="F755" s="107"/>
      <c r="G755" s="107"/>
      <c r="H755" s="107"/>
    </row>
    <row r="756" spans="2:8" x14ac:dyDescent="0.25">
      <c r="B756" s="107"/>
      <c r="C756" s="107"/>
      <c r="D756" s="107"/>
      <c r="E756" s="107"/>
      <c r="F756" s="107"/>
      <c r="G756" s="107"/>
      <c r="H756" s="107"/>
    </row>
    <row r="757" spans="2:8" x14ac:dyDescent="0.25">
      <c r="B757" s="107"/>
      <c r="C757" s="107"/>
      <c r="D757" s="107"/>
      <c r="E757" s="107"/>
      <c r="F757" s="107"/>
      <c r="G757" s="107"/>
      <c r="H757" s="107"/>
    </row>
    <row r="758" spans="2:8" x14ac:dyDescent="0.25">
      <c r="B758" s="107"/>
      <c r="C758" s="107"/>
      <c r="D758" s="107"/>
      <c r="E758" s="107"/>
      <c r="F758" s="107"/>
      <c r="G758" s="107"/>
      <c r="H758" s="107"/>
    </row>
    <row r="759" spans="2:8" x14ac:dyDescent="0.25">
      <c r="B759" s="107"/>
      <c r="C759" s="107"/>
      <c r="D759" s="107"/>
      <c r="E759" s="107"/>
      <c r="F759" s="107"/>
      <c r="G759" s="107"/>
      <c r="H759" s="107"/>
    </row>
    <row r="760" spans="2:8" x14ac:dyDescent="0.25">
      <c r="B760" s="107"/>
      <c r="C760" s="107"/>
      <c r="D760" s="107"/>
      <c r="E760" s="107"/>
      <c r="F760" s="107"/>
      <c r="G760" s="107"/>
      <c r="H760" s="107"/>
    </row>
    <row r="761" spans="2:8" x14ac:dyDescent="0.25">
      <c r="B761" s="107"/>
      <c r="C761" s="107"/>
      <c r="D761" s="107"/>
      <c r="E761" s="107"/>
      <c r="F761" s="107"/>
      <c r="G761" s="107"/>
      <c r="H761" s="107"/>
    </row>
    <row r="762" spans="2:8" x14ac:dyDescent="0.25">
      <c r="B762" s="107"/>
      <c r="C762" s="107"/>
      <c r="D762" s="107"/>
      <c r="E762" s="107"/>
      <c r="F762" s="107"/>
      <c r="G762" s="107"/>
      <c r="H762" s="107"/>
    </row>
    <row r="763" spans="2:8" x14ac:dyDescent="0.25">
      <c r="B763" s="107"/>
      <c r="C763" s="107"/>
      <c r="D763" s="107"/>
      <c r="E763" s="107"/>
      <c r="F763" s="107"/>
      <c r="G763" s="107"/>
      <c r="H763" s="107"/>
    </row>
    <row r="764" spans="2:8" x14ac:dyDescent="0.25">
      <c r="B764" s="107"/>
      <c r="C764" s="107"/>
      <c r="D764" s="107"/>
      <c r="E764" s="107"/>
      <c r="F764" s="107"/>
      <c r="G764" s="107"/>
      <c r="H764" s="107"/>
    </row>
    <row r="765" spans="2:8" x14ac:dyDescent="0.25">
      <c r="B765" s="107"/>
      <c r="C765" s="107"/>
      <c r="D765" s="107"/>
      <c r="E765" s="107"/>
      <c r="F765" s="107"/>
      <c r="G765" s="107"/>
      <c r="H765" s="107"/>
    </row>
    <row r="766" spans="2:8" x14ac:dyDescent="0.25">
      <c r="B766" s="107"/>
      <c r="C766" s="107"/>
      <c r="D766" s="107"/>
      <c r="E766" s="107"/>
      <c r="F766" s="107"/>
      <c r="G766" s="107"/>
      <c r="H766" s="107"/>
    </row>
    <row r="767" spans="2:8" x14ac:dyDescent="0.25">
      <c r="B767" s="107"/>
      <c r="C767" s="107"/>
      <c r="D767" s="107"/>
      <c r="E767" s="107"/>
      <c r="F767" s="107"/>
      <c r="G767" s="107"/>
      <c r="H767" s="107"/>
    </row>
    <row r="768" spans="2:8" x14ac:dyDescent="0.25">
      <c r="B768" s="107"/>
      <c r="C768" s="107"/>
      <c r="D768" s="107"/>
      <c r="E768" s="107"/>
      <c r="F768" s="107"/>
      <c r="G768" s="107"/>
      <c r="H768" s="107"/>
    </row>
    <row r="769" spans="2:8" x14ac:dyDescent="0.25">
      <c r="B769" s="107"/>
      <c r="C769" s="107"/>
      <c r="D769" s="107"/>
      <c r="E769" s="107"/>
      <c r="F769" s="107"/>
      <c r="G769" s="107"/>
      <c r="H769" s="107"/>
    </row>
    <row r="770" spans="2:8" x14ac:dyDescent="0.25">
      <c r="B770" s="107"/>
      <c r="C770" s="107"/>
      <c r="D770" s="107"/>
      <c r="E770" s="107"/>
      <c r="F770" s="107"/>
      <c r="G770" s="107"/>
      <c r="H770" s="107"/>
    </row>
    <row r="771" spans="2:8" x14ac:dyDescent="0.25">
      <c r="B771" s="107"/>
      <c r="C771" s="107"/>
      <c r="D771" s="107"/>
      <c r="E771" s="107"/>
      <c r="F771" s="107"/>
      <c r="G771" s="107"/>
      <c r="H771" s="107"/>
    </row>
    <row r="772" spans="2:8" x14ac:dyDescent="0.25">
      <c r="B772" s="107"/>
      <c r="C772" s="107"/>
      <c r="D772" s="107"/>
      <c r="E772" s="107"/>
      <c r="F772" s="107"/>
      <c r="G772" s="107"/>
      <c r="H772" s="107"/>
    </row>
    <row r="773" spans="2:8" x14ac:dyDescent="0.25">
      <c r="B773" s="107"/>
      <c r="C773" s="107"/>
      <c r="D773" s="107"/>
      <c r="E773" s="107"/>
      <c r="F773" s="107"/>
      <c r="G773" s="107"/>
      <c r="H773" s="107"/>
    </row>
    <row r="774" spans="2:8" x14ac:dyDescent="0.25">
      <c r="B774" s="107"/>
      <c r="C774" s="107"/>
      <c r="D774" s="107"/>
      <c r="E774" s="107"/>
      <c r="F774" s="107"/>
      <c r="G774" s="107"/>
      <c r="H774" s="107"/>
    </row>
    <row r="775" spans="2:8" x14ac:dyDescent="0.25">
      <c r="B775" s="107"/>
      <c r="C775" s="107"/>
      <c r="D775" s="107"/>
      <c r="E775" s="107"/>
      <c r="F775" s="107"/>
      <c r="G775" s="107"/>
      <c r="H775" s="107"/>
    </row>
    <row r="776" spans="2:8" x14ac:dyDescent="0.25">
      <c r="B776" s="107"/>
      <c r="C776" s="107"/>
      <c r="D776" s="107"/>
      <c r="E776" s="107"/>
      <c r="F776" s="107"/>
      <c r="G776" s="107"/>
      <c r="H776" s="107"/>
    </row>
    <row r="777" spans="2:8" x14ac:dyDescent="0.25">
      <c r="B777" s="107"/>
      <c r="C777" s="107"/>
      <c r="D777" s="107"/>
      <c r="E777" s="107"/>
      <c r="F777" s="107"/>
      <c r="G777" s="107"/>
      <c r="H777" s="107"/>
    </row>
    <row r="778" spans="2:8" x14ac:dyDescent="0.25">
      <c r="B778" s="107"/>
      <c r="C778" s="107"/>
      <c r="D778" s="107"/>
      <c r="E778" s="107"/>
      <c r="F778" s="107"/>
      <c r="G778" s="107"/>
      <c r="H778" s="107"/>
    </row>
    <row r="779" spans="2:8" x14ac:dyDescent="0.25">
      <c r="B779" s="107"/>
      <c r="C779" s="107"/>
      <c r="D779" s="107"/>
      <c r="E779" s="107"/>
      <c r="F779" s="107"/>
      <c r="G779" s="107"/>
      <c r="H779" s="107"/>
    </row>
    <row r="780" spans="2:8" x14ac:dyDescent="0.25">
      <c r="B780" s="107"/>
      <c r="C780" s="107"/>
      <c r="D780" s="107"/>
      <c r="E780" s="107"/>
      <c r="F780" s="107"/>
      <c r="G780" s="107"/>
      <c r="H780" s="107"/>
    </row>
    <row r="781" spans="2:8" x14ac:dyDescent="0.25">
      <c r="B781" s="107"/>
      <c r="C781" s="107"/>
      <c r="D781" s="107"/>
      <c r="E781" s="107"/>
      <c r="F781" s="107"/>
      <c r="G781" s="107"/>
      <c r="H781" s="107"/>
    </row>
    <row r="782" spans="2:8" x14ac:dyDescent="0.25">
      <c r="B782" s="107"/>
      <c r="C782" s="107"/>
      <c r="D782" s="107"/>
      <c r="E782" s="107"/>
      <c r="F782" s="107"/>
      <c r="G782" s="107"/>
      <c r="H782" s="107"/>
    </row>
    <row r="783" spans="2:8" x14ac:dyDescent="0.25">
      <c r="B783" s="107"/>
      <c r="C783" s="107"/>
      <c r="D783" s="107"/>
      <c r="E783" s="107"/>
      <c r="F783" s="107"/>
      <c r="G783" s="107"/>
      <c r="H783" s="107"/>
    </row>
    <row r="784" spans="2:8" x14ac:dyDescent="0.25">
      <c r="B784" s="107"/>
      <c r="C784" s="107"/>
      <c r="D784" s="107"/>
      <c r="E784" s="107"/>
      <c r="F784" s="107"/>
      <c r="G784" s="107"/>
      <c r="H784" s="107"/>
    </row>
    <row r="785" spans="2:8" x14ac:dyDescent="0.25">
      <c r="B785" s="107"/>
      <c r="C785" s="107"/>
      <c r="D785" s="107"/>
      <c r="E785" s="107"/>
      <c r="F785" s="107"/>
      <c r="G785" s="107"/>
      <c r="H785" s="107"/>
    </row>
    <row r="786" spans="2:8" x14ac:dyDescent="0.25">
      <c r="B786" s="107"/>
      <c r="C786" s="107"/>
      <c r="D786" s="107"/>
      <c r="E786" s="107"/>
      <c r="F786" s="107"/>
      <c r="G786" s="107"/>
      <c r="H786" s="107"/>
    </row>
    <row r="787" spans="2:8" x14ac:dyDescent="0.25">
      <c r="B787" s="107"/>
      <c r="C787" s="107"/>
      <c r="D787" s="107"/>
      <c r="E787" s="107"/>
      <c r="F787" s="107"/>
      <c r="G787" s="107"/>
      <c r="H787" s="107"/>
    </row>
    <row r="788" spans="2:8" x14ac:dyDescent="0.25">
      <c r="B788" s="107"/>
      <c r="C788" s="107"/>
      <c r="D788" s="107"/>
      <c r="E788" s="107"/>
      <c r="F788" s="107"/>
      <c r="G788" s="107"/>
      <c r="H788" s="107"/>
    </row>
    <row r="789" spans="2:8" x14ac:dyDescent="0.25">
      <c r="B789" s="107"/>
      <c r="C789" s="107"/>
      <c r="D789" s="107"/>
      <c r="E789" s="107"/>
      <c r="F789" s="107"/>
      <c r="G789" s="107"/>
      <c r="H789" s="107"/>
    </row>
    <row r="790" spans="2:8" x14ac:dyDescent="0.25">
      <c r="B790" s="107"/>
      <c r="C790" s="107"/>
      <c r="D790" s="107"/>
      <c r="E790" s="107"/>
      <c r="F790" s="107"/>
      <c r="G790" s="107"/>
      <c r="H790" s="107"/>
    </row>
    <row r="791" spans="2:8" x14ac:dyDescent="0.25">
      <c r="B791" s="107"/>
      <c r="C791" s="107"/>
      <c r="D791" s="107"/>
      <c r="E791" s="107"/>
      <c r="F791" s="107"/>
      <c r="G791" s="107"/>
      <c r="H791" s="107"/>
    </row>
    <row r="792" spans="2:8" x14ac:dyDescent="0.25">
      <c r="B792" s="107"/>
      <c r="C792" s="107"/>
      <c r="D792" s="107"/>
      <c r="E792" s="107"/>
      <c r="F792" s="107"/>
      <c r="G792" s="107"/>
      <c r="H792" s="107"/>
    </row>
    <row r="793" spans="2:8" x14ac:dyDescent="0.25">
      <c r="B793" s="107"/>
      <c r="C793" s="107"/>
      <c r="D793" s="107"/>
      <c r="E793" s="107"/>
      <c r="F793" s="107"/>
      <c r="G793" s="107"/>
      <c r="H793" s="107"/>
    </row>
    <row r="794" spans="2:8" x14ac:dyDescent="0.25">
      <c r="B794" s="107"/>
      <c r="C794" s="107"/>
      <c r="D794" s="107"/>
      <c r="E794" s="107"/>
      <c r="F794" s="107"/>
      <c r="G794" s="107"/>
      <c r="H794" s="107"/>
    </row>
    <row r="795" spans="2:8" x14ac:dyDescent="0.25">
      <c r="B795" s="107"/>
      <c r="C795" s="107"/>
      <c r="D795" s="107"/>
      <c r="E795" s="107"/>
      <c r="F795" s="107"/>
      <c r="G795" s="107"/>
      <c r="H795" s="107"/>
    </row>
    <row r="796" spans="2:8" x14ac:dyDescent="0.25">
      <c r="B796" s="107"/>
      <c r="C796" s="107"/>
      <c r="D796" s="107"/>
      <c r="E796" s="107"/>
      <c r="F796" s="107"/>
      <c r="G796" s="107"/>
      <c r="H796" s="107"/>
    </row>
    <row r="797" spans="2:8" x14ac:dyDescent="0.25">
      <c r="B797" s="107"/>
      <c r="C797" s="107"/>
      <c r="D797" s="107"/>
      <c r="E797" s="107"/>
      <c r="F797" s="107"/>
      <c r="G797" s="107"/>
      <c r="H797" s="107"/>
    </row>
    <row r="798" spans="2:8" x14ac:dyDescent="0.25">
      <c r="B798" s="107"/>
      <c r="C798" s="107"/>
      <c r="D798" s="107"/>
      <c r="E798" s="107"/>
      <c r="F798" s="107"/>
      <c r="G798" s="107"/>
      <c r="H798" s="107"/>
    </row>
    <row r="799" spans="2:8" x14ac:dyDescent="0.25">
      <c r="B799" s="107"/>
      <c r="C799" s="107"/>
      <c r="D799" s="107"/>
      <c r="E799" s="107"/>
      <c r="F799" s="107"/>
      <c r="G799" s="107"/>
      <c r="H799" s="107"/>
    </row>
    <row r="800" spans="2:8" x14ac:dyDescent="0.25">
      <c r="B800" s="107"/>
      <c r="C800" s="107"/>
      <c r="D800" s="107"/>
      <c r="E800" s="107"/>
      <c r="F800" s="107"/>
      <c r="G800" s="107"/>
      <c r="H800" s="107"/>
    </row>
    <row r="801" spans="2:8" x14ac:dyDescent="0.25">
      <c r="B801" s="107"/>
      <c r="C801" s="107"/>
      <c r="D801" s="107"/>
      <c r="E801" s="107"/>
      <c r="F801" s="107"/>
      <c r="G801" s="107"/>
      <c r="H801" s="107"/>
    </row>
    <row r="802" spans="2:8" x14ac:dyDescent="0.25">
      <c r="B802" s="107"/>
      <c r="C802" s="107"/>
      <c r="D802" s="107"/>
      <c r="E802" s="107"/>
      <c r="F802" s="107"/>
      <c r="G802" s="107"/>
      <c r="H802" s="107"/>
    </row>
    <row r="803" spans="2:8" x14ac:dyDescent="0.25">
      <c r="B803" s="107"/>
      <c r="C803" s="107"/>
      <c r="D803" s="107"/>
      <c r="E803" s="107"/>
      <c r="F803" s="107"/>
      <c r="G803" s="107"/>
      <c r="H803" s="107"/>
    </row>
    <row r="804" spans="2:8" x14ac:dyDescent="0.25">
      <c r="B804" s="107"/>
      <c r="C804" s="107"/>
      <c r="D804" s="107"/>
      <c r="E804" s="107"/>
      <c r="F804" s="107"/>
      <c r="G804" s="107"/>
      <c r="H804" s="107"/>
    </row>
    <row r="805" spans="2:8" x14ac:dyDescent="0.25">
      <c r="B805" s="107"/>
      <c r="C805" s="107"/>
      <c r="D805" s="107"/>
      <c r="E805" s="107"/>
      <c r="F805" s="107"/>
      <c r="G805" s="107"/>
      <c r="H805" s="107"/>
    </row>
    <row r="806" spans="2:8" x14ac:dyDescent="0.25">
      <c r="B806" s="107"/>
      <c r="C806" s="107"/>
      <c r="D806" s="107"/>
      <c r="E806" s="107"/>
      <c r="F806" s="107"/>
      <c r="G806" s="107"/>
      <c r="H806" s="107"/>
    </row>
    <row r="807" spans="2:8" x14ac:dyDescent="0.25">
      <c r="B807" s="107"/>
      <c r="C807" s="107"/>
      <c r="D807" s="107"/>
      <c r="E807" s="107"/>
      <c r="F807" s="107"/>
      <c r="G807" s="107"/>
      <c r="H807" s="107"/>
    </row>
    <row r="808" spans="2:8" x14ac:dyDescent="0.25">
      <c r="B808" s="107"/>
      <c r="C808" s="107"/>
      <c r="D808" s="107"/>
      <c r="E808" s="107"/>
      <c r="F808" s="107"/>
      <c r="G808" s="107"/>
      <c r="H808" s="107"/>
    </row>
    <row r="809" spans="2:8" x14ac:dyDescent="0.25">
      <c r="B809" s="107"/>
      <c r="C809" s="107"/>
      <c r="D809" s="107"/>
      <c r="E809" s="107"/>
      <c r="F809" s="107"/>
      <c r="G809" s="107"/>
      <c r="H809" s="107"/>
    </row>
    <row r="810" spans="2:8" x14ac:dyDescent="0.25">
      <c r="B810" s="107"/>
      <c r="C810" s="107"/>
      <c r="D810" s="107"/>
      <c r="E810" s="107"/>
      <c r="F810" s="107"/>
      <c r="G810" s="107"/>
      <c r="H810" s="107"/>
    </row>
    <row r="811" spans="2:8" x14ac:dyDescent="0.25">
      <c r="B811" s="107"/>
      <c r="C811" s="107"/>
      <c r="D811" s="107"/>
      <c r="E811" s="107"/>
      <c r="F811" s="107"/>
      <c r="G811" s="107"/>
      <c r="H811" s="107"/>
    </row>
    <row r="812" spans="2:8" x14ac:dyDescent="0.25">
      <c r="B812" s="107"/>
      <c r="C812" s="107"/>
      <c r="D812" s="107"/>
      <c r="E812" s="107"/>
      <c r="F812" s="107"/>
      <c r="G812" s="107"/>
      <c r="H812" s="107"/>
    </row>
    <row r="813" spans="2:8" x14ac:dyDescent="0.25">
      <c r="B813" s="107"/>
      <c r="C813" s="107"/>
      <c r="D813" s="107"/>
      <c r="E813" s="107"/>
      <c r="F813" s="107"/>
      <c r="G813" s="107"/>
      <c r="H813" s="107"/>
    </row>
    <row r="814" spans="2:8" x14ac:dyDescent="0.25">
      <c r="B814" s="107"/>
      <c r="C814" s="107"/>
      <c r="D814" s="107"/>
      <c r="E814" s="107"/>
      <c r="F814" s="107"/>
      <c r="G814" s="107"/>
      <c r="H814" s="107"/>
    </row>
    <row r="815" spans="2:8" x14ac:dyDescent="0.25">
      <c r="B815" s="107"/>
      <c r="C815" s="107"/>
      <c r="D815" s="107"/>
      <c r="E815" s="107"/>
      <c r="F815" s="107"/>
      <c r="G815" s="107"/>
      <c r="H815" s="107"/>
    </row>
    <row r="816" spans="2:8" x14ac:dyDescent="0.25">
      <c r="B816" s="107"/>
      <c r="C816" s="107"/>
      <c r="D816" s="107"/>
      <c r="E816" s="107"/>
      <c r="F816" s="107"/>
      <c r="G816" s="107"/>
      <c r="H816" s="107"/>
    </row>
    <row r="817" spans="2:8" x14ac:dyDescent="0.25">
      <c r="B817" s="107"/>
      <c r="C817" s="107"/>
      <c r="D817" s="107"/>
      <c r="E817" s="107"/>
      <c r="F817" s="107"/>
      <c r="G817" s="107"/>
      <c r="H817" s="107"/>
    </row>
    <row r="818" spans="2:8" x14ac:dyDescent="0.25">
      <c r="B818" s="107"/>
      <c r="C818" s="107"/>
      <c r="D818" s="107"/>
      <c r="E818" s="107"/>
      <c r="F818" s="107"/>
      <c r="G818" s="107"/>
      <c r="H818" s="107"/>
    </row>
    <row r="819" spans="2:8" x14ac:dyDescent="0.25">
      <c r="B819" s="107"/>
      <c r="C819" s="107"/>
      <c r="D819" s="107"/>
      <c r="E819" s="107"/>
      <c r="F819" s="107"/>
      <c r="G819" s="107"/>
      <c r="H819" s="107"/>
    </row>
    <row r="820" spans="2:8" x14ac:dyDescent="0.25">
      <c r="B820" s="107"/>
      <c r="C820" s="107"/>
      <c r="D820" s="107"/>
      <c r="E820" s="107"/>
      <c r="F820" s="107"/>
      <c r="G820" s="107"/>
      <c r="H820" s="107"/>
    </row>
    <row r="821" spans="2:8" x14ac:dyDescent="0.25">
      <c r="B821" s="107"/>
      <c r="C821" s="107"/>
      <c r="D821" s="107"/>
      <c r="E821" s="107"/>
      <c r="F821" s="107"/>
      <c r="G821" s="107"/>
      <c r="H821" s="107"/>
    </row>
    <row r="822" spans="2:8" x14ac:dyDescent="0.25">
      <c r="B822" s="107"/>
      <c r="C822" s="107"/>
      <c r="D822" s="107"/>
      <c r="E822" s="107"/>
      <c r="F822" s="107"/>
      <c r="G822" s="107"/>
      <c r="H822" s="107"/>
    </row>
    <row r="823" spans="2:8" x14ac:dyDescent="0.25">
      <c r="B823" s="107"/>
      <c r="C823" s="107"/>
      <c r="D823" s="107"/>
      <c r="E823" s="107"/>
      <c r="F823" s="107"/>
      <c r="G823" s="107"/>
      <c r="H823" s="107"/>
    </row>
    <row r="824" spans="2:8" x14ac:dyDescent="0.25">
      <c r="B824" s="107"/>
      <c r="C824" s="107"/>
      <c r="D824" s="107"/>
      <c r="E824" s="107"/>
      <c r="F824" s="107"/>
      <c r="G824" s="107"/>
      <c r="H824" s="107"/>
    </row>
    <row r="825" spans="2:8" x14ac:dyDescent="0.25">
      <c r="B825" s="107"/>
      <c r="C825" s="107"/>
      <c r="D825" s="107"/>
      <c r="E825" s="107"/>
      <c r="F825" s="107"/>
      <c r="G825" s="107"/>
      <c r="H825" s="107"/>
    </row>
    <row r="826" spans="2:8" x14ac:dyDescent="0.25">
      <c r="B826" s="107"/>
      <c r="C826" s="107"/>
      <c r="D826" s="107"/>
      <c r="E826" s="107"/>
      <c r="F826" s="107"/>
      <c r="G826" s="107"/>
      <c r="H826" s="107"/>
    </row>
    <row r="827" spans="2:8" x14ac:dyDescent="0.25">
      <c r="B827" s="107"/>
      <c r="C827" s="107"/>
      <c r="D827" s="107"/>
      <c r="E827" s="107"/>
      <c r="F827" s="107"/>
      <c r="G827" s="107"/>
      <c r="H827" s="107"/>
    </row>
    <row r="828" spans="2:8" x14ac:dyDescent="0.25">
      <c r="B828" s="107"/>
      <c r="C828" s="107"/>
      <c r="D828" s="107"/>
      <c r="E828" s="107"/>
      <c r="F828" s="107"/>
      <c r="G828" s="107"/>
      <c r="H828" s="107"/>
    </row>
    <row r="829" spans="2:8" x14ac:dyDescent="0.25">
      <c r="B829" s="107"/>
      <c r="C829" s="107"/>
      <c r="D829" s="107"/>
      <c r="E829" s="107"/>
      <c r="F829" s="107"/>
      <c r="G829" s="107"/>
      <c r="H829" s="107"/>
    </row>
    <row r="830" spans="2:8" x14ac:dyDescent="0.25">
      <c r="B830" s="107"/>
      <c r="C830" s="107"/>
      <c r="D830" s="107"/>
      <c r="E830" s="107"/>
      <c r="F830" s="107"/>
      <c r="G830" s="107"/>
      <c r="H830" s="107"/>
    </row>
    <row r="831" spans="2:8" x14ac:dyDescent="0.25">
      <c r="B831" s="107"/>
      <c r="C831" s="107"/>
      <c r="D831" s="107"/>
      <c r="E831" s="107"/>
      <c r="F831" s="107"/>
      <c r="G831" s="107"/>
      <c r="H831" s="107"/>
    </row>
    <row r="832" spans="2:8" x14ac:dyDescent="0.25">
      <c r="B832" s="107"/>
      <c r="C832" s="107"/>
      <c r="D832" s="107"/>
      <c r="E832" s="107"/>
      <c r="F832" s="107"/>
      <c r="G832" s="107"/>
      <c r="H832" s="107"/>
    </row>
    <row r="833" spans="2:8" x14ac:dyDescent="0.25">
      <c r="B833" s="107"/>
      <c r="C833" s="107"/>
      <c r="D833" s="107"/>
      <c r="E833" s="107"/>
      <c r="F833" s="107"/>
      <c r="G833" s="107"/>
      <c r="H833" s="107"/>
    </row>
    <row r="834" spans="2:8" x14ac:dyDescent="0.25">
      <c r="B834" s="107"/>
      <c r="C834" s="107"/>
      <c r="D834" s="107"/>
      <c r="E834" s="107"/>
      <c r="F834" s="107"/>
      <c r="G834" s="107"/>
      <c r="H834" s="107"/>
    </row>
    <row r="835" spans="2:8" x14ac:dyDescent="0.25">
      <c r="B835" s="107"/>
      <c r="C835" s="107"/>
      <c r="D835" s="107"/>
      <c r="E835" s="107"/>
      <c r="F835" s="107"/>
      <c r="G835" s="107"/>
      <c r="H835" s="107"/>
    </row>
    <row r="836" spans="2:8" x14ac:dyDescent="0.25">
      <c r="B836" s="107"/>
      <c r="C836" s="107"/>
      <c r="D836" s="107"/>
      <c r="E836" s="107"/>
      <c r="F836" s="107"/>
      <c r="G836" s="107"/>
      <c r="H836" s="107"/>
    </row>
    <row r="837" spans="2:8" x14ac:dyDescent="0.25">
      <c r="B837" s="107"/>
      <c r="C837" s="107"/>
      <c r="D837" s="107"/>
      <c r="E837" s="107"/>
      <c r="F837" s="107"/>
      <c r="G837" s="107"/>
      <c r="H837" s="107"/>
    </row>
    <row r="838" spans="2:8" x14ac:dyDescent="0.25">
      <c r="B838" s="107"/>
      <c r="C838" s="107"/>
      <c r="D838" s="107"/>
      <c r="E838" s="107"/>
      <c r="F838" s="107"/>
      <c r="G838" s="107"/>
      <c r="H838" s="107"/>
    </row>
    <row r="839" spans="2:8" x14ac:dyDescent="0.25">
      <c r="B839" s="107"/>
      <c r="C839" s="107"/>
      <c r="D839" s="107"/>
      <c r="E839" s="107"/>
      <c r="F839" s="107"/>
      <c r="G839" s="107"/>
      <c r="H839" s="107"/>
    </row>
    <row r="840" spans="2:8" x14ac:dyDescent="0.25">
      <c r="B840" s="107"/>
      <c r="C840" s="107"/>
      <c r="D840" s="107"/>
      <c r="E840" s="107"/>
      <c r="F840" s="107"/>
      <c r="G840" s="107"/>
      <c r="H840" s="107"/>
    </row>
    <row r="841" spans="2:8" x14ac:dyDescent="0.25">
      <c r="B841" s="107"/>
      <c r="C841" s="107"/>
      <c r="D841" s="107"/>
      <c r="E841" s="107"/>
      <c r="F841" s="107"/>
      <c r="G841" s="107"/>
      <c r="H841" s="107"/>
    </row>
    <row r="842" spans="2:8" x14ac:dyDescent="0.25">
      <c r="B842" s="107"/>
      <c r="C842" s="107"/>
      <c r="D842" s="107"/>
      <c r="E842" s="107"/>
      <c r="F842" s="107"/>
      <c r="G842" s="107"/>
      <c r="H842" s="107"/>
    </row>
    <row r="843" spans="2:8" x14ac:dyDescent="0.25">
      <c r="B843" s="107"/>
      <c r="C843" s="107"/>
      <c r="D843" s="107"/>
      <c r="E843" s="107"/>
      <c r="F843" s="107"/>
      <c r="G843" s="107"/>
      <c r="H843" s="107"/>
    </row>
    <row r="844" spans="2:8" x14ac:dyDescent="0.25">
      <c r="B844" s="107"/>
      <c r="C844" s="107"/>
      <c r="D844" s="107"/>
      <c r="E844" s="107"/>
      <c r="F844" s="107"/>
      <c r="G844" s="107"/>
      <c r="H844" s="107"/>
    </row>
    <row r="845" spans="2:8" x14ac:dyDescent="0.25">
      <c r="B845" s="107"/>
      <c r="C845" s="107"/>
      <c r="D845" s="107"/>
      <c r="E845" s="107"/>
      <c r="F845" s="107"/>
      <c r="G845" s="107"/>
      <c r="H845" s="107"/>
    </row>
    <row r="846" spans="2:8" x14ac:dyDescent="0.25">
      <c r="B846" s="107"/>
      <c r="C846" s="107"/>
      <c r="D846" s="107"/>
      <c r="E846" s="107"/>
      <c r="F846" s="107"/>
      <c r="G846" s="107"/>
      <c r="H846" s="107"/>
    </row>
    <row r="847" spans="2:8" x14ac:dyDescent="0.25">
      <c r="B847" s="107"/>
      <c r="C847" s="107"/>
      <c r="D847" s="107"/>
      <c r="E847" s="107"/>
      <c r="F847" s="107"/>
      <c r="G847" s="107"/>
      <c r="H847" s="107"/>
    </row>
    <row r="848" spans="2:8" x14ac:dyDescent="0.25">
      <c r="B848" s="107"/>
      <c r="C848" s="107"/>
      <c r="D848" s="107"/>
      <c r="E848" s="107"/>
      <c r="F848" s="107"/>
      <c r="G848" s="107"/>
      <c r="H848" s="107"/>
    </row>
    <row r="849" spans="2:8" x14ac:dyDescent="0.25">
      <c r="B849" s="107"/>
      <c r="C849" s="107"/>
      <c r="D849" s="107"/>
      <c r="E849" s="107"/>
      <c r="F849" s="107"/>
      <c r="G849" s="107"/>
      <c r="H849" s="107"/>
    </row>
    <row r="850" spans="2:8" x14ac:dyDescent="0.25">
      <c r="B850" s="107"/>
      <c r="C850" s="107"/>
      <c r="D850" s="107"/>
      <c r="E850" s="107"/>
      <c r="F850" s="107"/>
      <c r="G850" s="107"/>
      <c r="H850" s="107"/>
    </row>
    <row r="851" spans="2:8" x14ac:dyDescent="0.25">
      <c r="B851" s="107"/>
      <c r="C851" s="107"/>
      <c r="D851" s="107"/>
      <c r="E851" s="107"/>
      <c r="F851" s="107"/>
      <c r="G851" s="107"/>
      <c r="H851" s="107"/>
    </row>
    <row r="852" spans="2:8" x14ac:dyDescent="0.25">
      <c r="B852" s="107"/>
      <c r="C852" s="107"/>
      <c r="D852" s="107"/>
      <c r="E852" s="107"/>
      <c r="F852" s="107"/>
      <c r="G852" s="107"/>
      <c r="H852" s="107"/>
    </row>
    <row r="853" spans="2:8" x14ac:dyDescent="0.25">
      <c r="B853" s="107"/>
      <c r="C853" s="107"/>
      <c r="D853" s="107"/>
      <c r="E853" s="107"/>
      <c r="F853" s="107"/>
      <c r="G853" s="107"/>
      <c r="H853" s="107"/>
    </row>
    <row r="854" spans="2:8" x14ac:dyDescent="0.25">
      <c r="B854" s="107"/>
      <c r="C854" s="107"/>
      <c r="D854" s="107"/>
      <c r="E854" s="107"/>
      <c r="F854" s="107"/>
      <c r="G854" s="107"/>
      <c r="H854" s="107"/>
    </row>
    <row r="855" spans="2:8" x14ac:dyDescent="0.25">
      <c r="B855" s="107"/>
      <c r="C855" s="107"/>
      <c r="D855" s="107"/>
      <c r="E855" s="107"/>
      <c r="F855" s="107"/>
      <c r="G855" s="107"/>
      <c r="H855" s="107"/>
    </row>
    <row r="856" spans="2:8" x14ac:dyDescent="0.25">
      <c r="B856" s="107"/>
      <c r="C856" s="107"/>
      <c r="D856" s="107"/>
      <c r="E856" s="107"/>
      <c r="F856" s="107"/>
      <c r="G856" s="107"/>
      <c r="H856" s="107"/>
    </row>
    <row r="857" spans="2:8" x14ac:dyDescent="0.25">
      <c r="B857" s="107"/>
      <c r="C857" s="107"/>
      <c r="D857" s="107"/>
      <c r="E857" s="107"/>
      <c r="F857" s="107"/>
      <c r="G857" s="107"/>
      <c r="H857" s="107"/>
    </row>
    <row r="858" spans="2:8" x14ac:dyDescent="0.25">
      <c r="B858" s="107"/>
      <c r="C858" s="107"/>
      <c r="D858" s="107"/>
      <c r="E858" s="107"/>
      <c r="F858" s="107"/>
      <c r="G858" s="107"/>
      <c r="H858" s="107"/>
    </row>
    <row r="859" spans="2:8" x14ac:dyDescent="0.25">
      <c r="B859" s="107"/>
      <c r="C859" s="107"/>
      <c r="D859" s="107"/>
      <c r="E859" s="107"/>
      <c r="F859" s="107"/>
      <c r="G859" s="107"/>
      <c r="H859" s="107"/>
    </row>
    <row r="860" spans="2:8" x14ac:dyDescent="0.25">
      <c r="B860" s="107"/>
      <c r="C860" s="107"/>
      <c r="D860" s="107"/>
      <c r="E860" s="107"/>
      <c r="F860" s="107"/>
      <c r="G860" s="107"/>
      <c r="H860" s="107"/>
    </row>
    <row r="861" spans="2:8" x14ac:dyDescent="0.25">
      <c r="B861" s="107"/>
      <c r="C861" s="107"/>
      <c r="D861" s="107"/>
      <c r="E861" s="107"/>
      <c r="F861" s="107"/>
      <c r="G861" s="107"/>
      <c r="H861" s="107"/>
    </row>
    <row r="862" spans="2:8" x14ac:dyDescent="0.25">
      <c r="B862" s="107"/>
      <c r="C862" s="107"/>
      <c r="D862" s="107"/>
      <c r="E862" s="107"/>
      <c r="F862" s="107"/>
      <c r="G862" s="107"/>
      <c r="H862" s="107"/>
    </row>
    <row r="863" spans="2:8" x14ac:dyDescent="0.25">
      <c r="B863" s="107"/>
      <c r="C863" s="107"/>
      <c r="D863" s="107"/>
      <c r="E863" s="107"/>
      <c r="F863" s="107"/>
      <c r="G863" s="107"/>
      <c r="H863" s="107"/>
    </row>
    <row r="864" spans="2:8" x14ac:dyDescent="0.25">
      <c r="B864" s="107"/>
      <c r="C864" s="107"/>
      <c r="D864" s="107"/>
      <c r="E864" s="107"/>
      <c r="F864" s="107"/>
      <c r="G864" s="107"/>
      <c r="H864" s="107"/>
    </row>
    <row r="865" spans="2:8" x14ac:dyDescent="0.25">
      <c r="B865" s="107"/>
      <c r="C865" s="107"/>
      <c r="D865" s="107"/>
      <c r="E865" s="107"/>
      <c r="F865" s="107"/>
      <c r="G865" s="107"/>
      <c r="H865" s="107"/>
    </row>
    <row r="866" spans="2:8" x14ac:dyDescent="0.25">
      <c r="B866" s="107"/>
      <c r="C866" s="107"/>
      <c r="D866" s="107"/>
      <c r="E866" s="107"/>
      <c r="F866" s="107"/>
      <c r="G866" s="107"/>
      <c r="H866" s="107"/>
    </row>
    <row r="867" spans="2:8" x14ac:dyDescent="0.25">
      <c r="B867" s="107"/>
      <c r="C867" s="107"/>
      <c r="D867" s="107"/>
      <c r="E867" s="107"/>
      <c r="F867" s="107"/>
      <c r="G867" s="107"/>
      <c r="H867" s="107"/>
    </row>
    <row r="868" spans="2:8" x14ac:dyDescent="0.25">
      <c r="B868" s="107"/>
      <c r="C868" s="107"/>
      <c r="D868" s="107"/>
      <c r="E868" s="107"/>
      <c r="F868" s="107"/>
      <c r="G868" s="107"/>
      <c r="H868" s="107"/>
    </row>
    <row r="869" spans="2:8" x14ac:dyDescent="0.25">
      <c r="B869" s="107"/>
      <c r="C869" s="107"/>
      <c r="D869" s="107"/>
      <c r="E869" s="107"/>
      <c r="F869" s="107"/>
      <c r="G869" s="107"/>
      <c r="H869" s="107"/>
    </row>
    <row r="870" spans="2:8" x14ac:dyDescent="0.25">
      <c r="B870" s="107"/>
      <c r="C870" s="107"/>
      <c r="D870" s="107"/>
      <c r="E870" s="107"/>
      <c r="F870" s="107"/>
      <c r="G870" s="107"/>
      <c r="H870" s="107"/>
    </row>
    <row r="871" spans="2:8" x14ac:dyDescent="0.25">
      <c r="B871" s="107"/>
      <c r="C871" s="107"/>
      <c r="D871" s="107"/>
      <c r="E871" s="107"/>
      <c r="F871" s="107"/>
      <c r="G871" s="107"/>
      <c r="H871" s="107"/>
    </row>
    <row r="872" spans="2:8" x14ac:dyDescent="0.25">
      <c r="B872" s="107"/>
      <c r="C872" s="107"/>
      <c r="D872" s="107"/>
      <c r="E872" s="107"/>
      <c r="F872" s="107"/>
      <c r="G872" s="107"/>
      <c r="H872" s="107"/>
    </row>
    <row r="873" spans="2:8" x14ac:dyDescent="0.25">
      <c r="B873" s="107"/>
      <c r="C873" s="107"/>
      <c r="D873" s="107"/>
      <c r="E873" s="107"/>
      <c r="F873" s="107"/>
      <c r="G873" s="107"/>
      <c r="H873" s="107"/>
    </row>
    <row r="874" spans="2:8" x14ac:dyDescent="0.25">
      <c r="B874" s="107"/>
      <c r="C874" s="107"/>
      <c r="D874" s="107"/>
      <c r="E874" s="107"/>
      <c r="F874" s="107"/>
      <c r="G874" s="107"/>
      <c r="H874" s="107"/>
    </row>
    <row r="875" spans="2:8" x14ac:dyDescent="0.25">
      <c r="B875" s="107"/>
      <c r="C875" s="107"/>
      <c r="D875" s="107"/>
      <c r="E875" s="107"/>
      <c r="F875" s="107"/>
      <c r="G875" s="107"/>
      <c r="H875" s="107"/>
    </row>
    <row r="876" spans="2:8" x14ac:dyDescent="0.25">
      <c r="B876" s="107"/>
      <c r="C876" s="107"/>
      <c r="D876" s="107"/>
      <c r="E876" s="107"/>
      <c r="F876" s="107"/>
      <c r="G876" s="107"/>
      <c r="H876" s="107"/>
    </row>
    <row r="877" spans="2:8" x14ac:dyDescent="0.25">
      <c r="B877" s="107"/>
      <c r="C877" s="107"/>
      <c r="D877" s="107"/>
      <c r="E877" s="107"/>
      <c r="F877" s="107"/>
      <c r="G877" s="107"/>
      <c r="H877" s="107"/>
    </row>
    <row r="878" spans="2:8" x14ac:dyDescent="0.25">
      <c r="B878" s="107"/>
      <c r="C878" s="107"/>
      <c r="D878" s="107"/>
      <c r="E878" s="107"/>
      <c r="F878" s="107"/>
      <c r="G878" s="107"/>
      <c r="H878" s="107"/>
    </row>
    <row r="879" spans="2:8" x14ac:dyDescent="0.25">
      <c r="B879" s="107"/>
      <c r="C879" s="107"/>
      <c r="D879" s="107"/>
      <c r="E879" s="107"/>
      <c r="F879" s="107"/>
      <c r="G879" s="107"/>
      <c r="H879" s="107"/>
    </row>
    <row r="880" spans="2:8" x14ac:dyDescent="0.25">
      <c r="B880" s="107"/>
      <c r="C880" s="107"/>
      <c r="D880" s="107"/>
      <c r="E880" s="107"/>
      <c r="F880" s="107"/>
      <c r="G880" s="107"/>
      <c r="H880" s="107"/>
    </row>
    <row r="881" spans="2:8" x14ac:dyDescent="0.25">
      <c r="B881" s="107"/>
      <c r="C881" s="107"/>
      <c r="D881" s="107"/>
      <c r="E881" s="107"/>
      <c r="F881" s="107"/>
      <c r="G881" s="107"/>
      <c r="H881" s="107"/>
    </row>
    <row r="882" spans="2:8" x14ac:dyDescent="0.25">
      <c r="B882" s="107"/>
      <c r="C882" s="107"/>
      <c r="D882" s="107"/>
      <c r="E882" s="107"/>
      <c r="F882" s="107"/>
      <c r="G882" s="107"/>
      <c r="H882" s="107"/>
    </row>
    <row r="883" spans="2:8" x14ac:dyDescent="0.25">
      <c r="B883" s="107"/>
      <c r="C883" s="107"/>
      <c r="D883" s="107"/>
      <c r="E883" s="107"/>
      <c r="F883" s="107"/>
      <c r="G883" s="107"/>
      <c r="H883" s="107"/>
    </row>
    <row r="884" spans="2:8" x14ac:dyDescent="0.25">
      <c r="B884" s="107"/>
      <c r="C884" s="107"/>
      <c r="D884" s="107"/>
      <c r="E884" s="107"/>
      <c r="F884" s="107"/>
      <c r="G884" s="107"/>
      <c r="H884" s="107"/>
    </row>
    <row r="885" spans="2:8" x14ac:dyDescent="0.25">
      <c r="B885" s="107"/>
      <c r="C885" s="107"/>
      <c r="D885" s="107"/>
      <c r="E885" s="107"/>
      <c r="F885" s="107"/>
      <c r="G885" s="107"/>
      <c r="H885" s="107"/>
    </row>
    <row r="886" spans="2:8" x14ac:dyDescent="0.25">
      <c r="B886" s="107"/>
      <c r="C886" s="107"/>
      <c r="D886" s="107"/>
      <c r="E886" s="107"/>
      <c r="F886" s="107"/>
      <c r="G886" s="107"/>
      <c r="H886" s="107"/>
    </row>
    <row r="887" spans="2:8" x14ac:dyDescent="0.25">
      <c r="B887" s="107"/>
      <c r="C887" s="107"/>
      <c r="D887" s="107"/>
      <c r="E887" s="107"/>
      <c r="F887" s="107"/>
      <c r="G887" s="107"/>
      <c r="H887" s="107"/>
    </row>
    <row r="888" spans="2:8" x14ac:dyDescent="0.25">
      <c r="B888" s="107"/>
      <c r="C888" s="107"/>
      <c r="D888" s="107"/>
      <c r="E888" s="107"/>
      <c r="F888" s="107"/>
      <c r="G888" s="107"/>
      <c r="H888" s="107"/>
    </row>
    <row r="889" spans="2:8" x14ac:dyDescent="0.25">
      <c r="B889" s="107"/>
      <c r="C889" s="107"/>
      <c r="D889" s="107"/>
      <c r="E889" s="107"/>
      <c r="F889" s="107"/>
      <c r="G889" s="107"/>
      <c r="H889" s="107"/>
    </row>
    <row r="890" spans="2:8" x14ac:dyDescent="0.25">
      <c r="B890" s="107"/>
      <c r="C890" s="107"/>
      <c r="D890" s="107"/>
      <c r="E890" s="107"/>
      <c r="F890" s="107"/>
      <c r="G890" s="107"/>
      <c r="H890" s="107"/>
    </row>
    <row r="891" spans="2:8" x14ac:dyDescent="0.25">
      <c r="B891" s="107"/>
      <c r="C891" s="107"/>
      <c r="D891" s="107"/>
      <c r="E891" s="107"/>
      <c r="F891" s="107"/>
      <c r="G891" s="107"/>
      <c r="H891" s="107"/>
    </row>
    <row r="892" spans="2:8" x14ac:dyDescent="0.25">
      <c r="B892" s="107"/>
      <c r="C892" s="107"/>
      <c r="D892" s="107"/>
      <c r="E892" s="107"/>
      <c r="F892" s="107"/>
      <c r="G892" s="107"/>
      <c r="H892" s="107"/>
    </row>
    <row r="893" spans="2:8" x14ac:dyDescent="0.25">
      <c r="B893" s="107"/>
      <c r="C893" s="107"/>
      <c r="D893" s="107"/>
      <c r="E893" s="107"/>
      <c r="F893" s="107"/>
      <c r="G893" s="107"/>
      <c r="H893" s="107"/>
    </row>
    <row r="894" spans="2:8" x14ac:dyDescent="0.25">
      <c r="B894" s="107"/>
      <c r="C894" s="107"/>
      <c r="D894" s="107"/>
      <c r="E894" s="107"/>
      <c r="F894" s="107"/>
      <c r="G894" s="107"/>
      <c r="H894" s="107"/>
    </row>
    <row r="895" spans="2:8" x14ac:dyDescent="0.25">
      <c r="B895" s="107"/>
      <c r="C895" s="107"/>
      <c r="D895" s="107"/>
      <c r="E895" s="107"/>
      <c r="F895" s="107"/>
      <c r="G895" s="107"/>
      <c r="H895" s="107"/>
    </row>
    <row r="896" spans="2:8" x14ac:dyDescent="0.25">
      <c r="B896" s="107"/>
      <c r="C896" s="107"/>
      <c r="D896" s="107"/>
      <c r="E896" s="107"/>
      <c r="F896" s="107"/>
      <c r="G896" s="107"/>
      <c r="H896" s="107"/>
    </row>
    <row r="897" spans="2:8" x14ac:dyDescent="0.25">
      <c r="B897" s="107"/>
      <c r="C897" s="107"/>
      <c r="D897" s="107"/>
      <c r="E897" s="107"/>
      <c r="F897" s="107"/>
      <c r="G897" s="107"/>
      <c r="H897" s="107"/>
    </row>
    <row r="898" spans="2:8" x14ac:dyDescent="0.25">
      <c r="B898" s="107"/>
      <c r="C898" s="107"/>
      <c r="D898" s="107"/>
      <c r="E898" s="107"/>
      <c r="F898" s="107"/>
      <c r="G898" s="107"/>
      <c r="H898" s="107"/>
    </row>
    <row r="899" spans="2:8" x14ac:dyDescent="0.25">
      <c r="B899" s="107"/>
      <c r="C899" s="107"/>
      <c r="D899" s="107"/>
      <c r="E899" s="107"/>
      <c r="F899" s="107"/>
      <c r="G899" s="107"/>
      <c r="H899" s="107"/>
    </row>
    <row r="900" spans="2:8" x14ac:dyDescent="0.25">
      <c r="B900" s="107"/>
      <c r="C900" s="107"/>
      <c r="D900" s="107"/>
      <c r="E900" s="107"/>
      <c r="F900" s="107"/>
      <c r="G900" s="107"/>
      <c r="H900" s="107"/>
    </row>
    <row r="901" spans="2:8" x14ac:dyDescent="0.25">
      <c r="B901" s="107"/>
      <c r="C901" s="107"/>
      <c r="D901" s="107"/>
      <c r="E901" s="107"/>
      <c r="F901" s="107"/>
      <c r="G901" s="107"/>
      <c r="H901" s="107"/>
    </row>
    <row r="902" spans="2:8" x14ac:dyDescent="0.25">
      <c r="B902" s="107"/>
      <c r="C902" s="107"/>
      <c r="D902" s="107"/>
      <c r="E902" s="107"/>
      <c r="F902" s="107"/>
      <c r="G902" s="107"/>
      <c r="H902" s="107"/>
    </row>
    <row r="903" spans="2:8" x14ac:dyDescent="0.25">
      <c r="B903" s="107"/>
      <c r="C903" s="107"/>
      <c r="D903" s="107"/>
      <c r="E903" s="107"/>
      <c r="F903" s="107"/>
      <c r="G903" s="107"/>
      <c r="H903" s="107"/>
    </row>
    <row r="904" spans="2:8" x14ac:dyDescent="0.25">
      <c r="B904" s="107"/>
      <c r="C904" s="107"/>
      <c r="D904" s="107"/>
      <c r="E904" s="107"/>
      <c r="F904" s="107"/>
      <c r="G904" s="107"/>
      <c r="H904" s="107"/>
    </row>
    <row r="905" spans="2:8" x14ac:dyDescent="0.25">
      <c r="B905" s="107"/>
      <c r="C905" s="107"/>
      <c r="D905" s="107"/>
      <c r="E905" s="107"/>
      <c r="F905" s="107"/>
      <c r="G905" s="107"/>
      <c r="H905" s="107"/>
    </row>
    <row r="906" spans="2:8" x14ac:dyDescent="0.25">
      <c r="B906" s="107"/>
      <c r="C906" s="107"/>
      <c r="D906" s="107"/>
      <c r="E906" s="107"/>
      <c r="F906" s="107"/>
      <c r="G906" s="107"/>
      <c r="H906" s="107"/>
    </row>
    <row r="907" spans="2:8" x14ac:dyDescent="0.25">
      <c r="B907" s="107"/>
      <c r="C907" s="107"/>
      <c r="D907" s="107"/>
      <c r="E907" s="107"/>
      <c r="F907" s="107"/>
      <c r="G907" s="107"/>
      <c r="H907" s="107"/>
    </row>
    <row r="908" spans="2:8" x14ac:dyDescent="0.25">
      <c r="B908" s="107"/>
      <c r="C908" s="107"/>
      <c r="D908" s="107"/>
      <c r="E908" s="107"/>
      <c r="F908" s="107"/>
      <c r="G908" s="107"/>
      <c r="H908" s="107"/>
    </row>
    <row r="909" spans="2:8" x14ac:dyDescent="0.25">
      <c r="B909" s="107"/>
      <c r="C909" s="107"/>
      <c r="D909" s="107"/>
      <c r="E909" s="107"/>
      <c r="F909" s="107"/>
      <c r="G909" s="107"/>
      <c r="H909" s="107"/>
    </row>
    <row r="910" spans="2:8" x14ac:dyDescent="0.25">
      <c r="B910" s="107"/>
      <c r="C910" s="107"/>
      <c r="D910" s="107"/>
      <c r="E910" s="107"/>
      <c r="F910" s="107"/>
      <c r="G910" s="107"/>
      <c r="H910" s="107"/>
    </row>
    <row r="911" spans="2:8" x14ac:dyDescent="0.25">
      <c r="B911" s="107"/>
      <c r="C911" s="107"/>
      <c r="D911" s="107"/>
      <c r="E911" s="107"/>
      <c r="F911" s="107"/>
      <c r="G911" s="107"/>
      <c r="H911" s="107"/>
    </row>
    <row r="912" spans="2:8" x14ac:dyDescent="0.25">
      <c r="B912" s="107"/>
      <c r="C912" s="107"/>
      <c r="D912" s="107"/>
      <c r="E912" s="107"/>
      <c r="F912" s="107"/>
      <c r="G912" s="107"/>
      <c r="H912" s="107"/>
    </row>
    <row r="913" spans="2:8" x14ac:dyDescent="0.25">
      <c r="B913" s="107"/>
      <c r="C913" s="107"/>
      <c r="D913" s="107"/>
      <c r="E913" s="107"/>
      <c r="F913" s="107"/>
      <c r="G913" s="107"/>
      <c r="H913" s="107"/>
    </row>
    <row r="914" spans="2:8" x14ac:dyDescent="0.25">
      <c r="B914" s="107"/>
      <c r="C914" s="107"/>
      <c r="D914" s="107"/>
      <c r="E914" s="107"/>
      <c r="F914" s="107"/>
      <c r="G914" s="107"/>
      <c r="H914" s="107"/>
    </row>
    <row r="915" spans="2:8" x14ac:dyDescent="0.25">
      <c r="B915" s="107"/>
      <c r="C915" s="107"/>
      <c r="D915" s="107"/>
      <c r="E915" s="107"/>
      <c r="F915" s="107"/>
      <c r="G915" s="107"/>
      <c r="H915" s="107"/>
    </row>
    <row r="916" spans="2:8" x14ac:dyDescent="0.25">
      <c r="B916" s="107"/>
      <c r="C916" s="107"/>
      <c r="D916" s="107"/>
      <c r="E916" s="107"/>
      <c r="F916" s="107"/>
      <c r="G916" s="107"/>
      <c r="H916" s="107"/>
    </row>
    <row r="917" spans="2:8" x14ac:dyDescent="0.25">
      <c r="B917" s="107"/>
      <c r="C917" s="107"/>
      <c r="D917" s="107"/>
      <c r="E917" s="107"/>
      <c r="F917" s="107"/>
      <c r="G917" s="107"/>
      <c r="H917" s="107"/>
    </row>
    <row r="918" spans="2:8" x14ac:dyDescent="0.25">
      <c r="B918" s="107"/>
      <c r="C918" s="107"/>
      <c r="D918" s="107"/>
      <c r="E918" s="107"/>
      <c r="F918" s="107"/>
      <c r="G918" s="107"/>
      <c r="H918" s="107"/>
    </row>
    <row r="919" spans="2:8" x14ac:dyDescent="0.25">
      <c r="B919" s="107"/>
      <c r="C919" s="107"/>
      <c r="D919" s="107"/>
      <c r="E919" s="107"/>
      <c r="F919" s="107"/>
      <c r="G919" s="107"/>
      <c r="H919" s="107"/>
    </row>
    <row r="920" spans="2:8" x14ac:dyDescent="0.25">
      <c r="B920" s="107"/>
      <c r="C920" s="107"/>
      <c r="D920" s="107"/>
      <c r="E920" s="107"/>
      <c r="F920" s="107"/>
      <c r="G920" s="107"/>
      <c r="H920" s="107"/>
    </row>
    <row r="921" spans="2:8" x14ac:dyDescent="0.25">
      <c r="B921" s="107"/>
      <c r="C921" s="107"/>
      <c r="D921" s="107"/>
      <c r="E921" s="107"/>
      <c r="F921" s="107"/>
      <c r="G921" s="107"/>
      <c r="H921" s="107"/>
    </row>
    <row r="922" spans="2:8" x14ac:dyDescent="0.25">
      <c r="B922" s="107"/>
      <c r="C922" s="107"/>
      <c r="D922" s="107"/>
      <c r="E922" s="107"/>
      <c r="F922" s="107"/>
      <c r="G922" s="107"/>
      <c r="H922" s="107"/>
    </row>
    <row r="923" spans="2:8" x14ac:dyDescent="0.25">
      <c r="B923" s="107"/>
      <c r="C923" s="107"/>
      <c r="D923" s="107"/>
      <c r="E923" s="107"/>
      <c r="F923" s="107"/>
      <c r="G923" s="107"/>
      <c r="H923" s="107"/>
    </row>
    <row r="924" spans="2:8" x14ac:dyDescent="0.25">
      <c r="B924" s="107"/>
      <c r="C924" s="107"/>
      <c r="D924" s="107"/>
      <c r="E924" s="107"/>
      <c r="F924" s="107"/>
      <c r="G924" s="107"/>
      <c r="H924" s="107"/>
    </row>
    <row r="925" spans="2:8" x14ac:dyDescent="0.25">
      <c r="B925" s="107"/>
      <c r="C925" s="107"/>
      <c r="D925" s="107"/>
      <c r="E925" s="107"/>
      <c r="F925" s="107"/>
      <c r="G925" s="107"/>
      <c r="H925" s="107"/>
    </row>
    <row r="926" spans="2:8" x14ac:dyDescent="0.25">
      <c r="B926" s="107"/>
      <c r="C926" s="107"/>
      <c r="D926" s="107"/>
      <c r="E926" s="107"/>
      <c r="F926" s="107"/>
      <c r="G926" s="107"/>
      <c r="H926" s="107"/>
    </row>
    <row r="927" spans="2:8" x14ac:dyDescent="0.25">
      <c r="B927" s="107"/>
      <c r="C927" s="107"/>
      <c r="D927" s="107"/>
      <c r="E927" s="107"/>
      <c r="F927" s="107"/>
      <c r="G927" s="107"/>
      <c r="H927" s="107"/>
    </row>
    <row r="928" spans="2:8" x14ac:dyDescent="0.25">
      <c r="B928" s="107"/>
      <c r="C928" s="107"/>
      <c r="D928" s="107"/>
      <c r="E928" s="107"/>
      <c r="F928" s="107"/>
      <c r="G928" s="107"/>
      <c r="H928" s="107"/>
    </row>
    <row r="929" spans="2:8" x14ac:dyDescent="0.25">
      <c r="B929" s="107"/>
      <c r="C929" s="107"/>
      <c r="D929" s="107"/>
      <c r="E929" s="107"/>
      <c r="F929" s="107"/>
      <c r="G929" s="107"/>
      <c r="H929" s="107"/>
    </row>
    <row r="930" spans="2:8" x14ac:dyDescent="0.25">
      <c r="B930" s="107"/>
      <c r="C930" s="107"/>
      <c r="D930" s="107"/>
      <c r="E930" s="107"/>
      <c r="F930" s="107"/>
      <c r="G930" s="107"/>
      <c r="H930" s="107"/>
    </row>
    <row r="931" spans="2:8" x14ac:dyDescent="0.25">
      <c r="B931" s="107"/>
      <c r="C931" s="107"/>
      <c r="D931" s="107"/>
      <c r="E931" s="107"/>
      <c r="F931" s="107"/>
      <c r="G931" s="107"/>
      <c r="H931" s="107"/>
    </row>
    <row r="932" spans="2:8" x14ac:dyDescent="0.25">
      <c r="B932" s="107"/>
      <c r="C932" s="107"/>
      <c r="D932" s="107"/>
      <c r="E932" s="107"/>
      <c r="F932" s="107"/>
      <c r="G932" s="107"/>
      <c r="H932" s="107"/>
    </row>
    <row r="933" spans="2:8" x14ac:dyDescent="0.25">
      <c r="B933" s="107"/>
      <c r="C933" s="107"/>
      <c r="D933" s="107"/>
      <c r="E933" s="107"/>
      <c r="F933" s="107"/>
      <c r="G933" s="107"/>
      <c r="H933" s="107"/>
    </row>
    <row r="934" spans="2:8" x14ac:dyDescent="0.25">
      <c r="B934" s="107"/>
      <c r="C934" s="107"/>
      <c r="D934" s="107"/>
      <c r="E934" s="107"/>
      <c r="F934" s="107"/>
      <c r="G934" s="107"/>
      <c r="H934" s="107"/>
    </row>
    <row r="935" spans="2:8" x14ac:dyDescent="0.25">
      <c r="B935" s="107"/>
      <c r="C935" s="107"/>
      <c r="D935" s="107"/>
      <c r="E935" s="107"/>
      <c r="F935" s="107"/>
      <c r="G935" s="107"/>
      <c r="H935" s="107"/>
    </row>
    <row r="936" spans="2:8" x14ac:dyDescent="0.25">
      <c r="B936" s="107"/>
      <c r="C936" s="107"/>
      <c r="D936" s="107"/>
      <c r="E936" s="107"/>
      <c r="F936" s="107"/>
      <c r="G936" s="107"/>
      <c r="H936" s="107"/>
    </row>
    <row r="937" spans="2:8" x14ac:dyDescent="0.25">
      <c r="B937" s="107"/>
      <c r="C937" s="107"/>
      <c r="D937" s="107"/>
      <c r="E937" s="107"/>
      <c r="F937" s="107"/>
      <c r="G937" s="107"/>
      <c r="H937" s="107"/>
    </row>
    <row r="938" spans="2:8" x14ac:dyDescent="0.25">
      <c r="B938" s="107"/>
      <c r="C938" s="107"/>
      <c r="D938" s="107"/>
      <c r="E938" s="107"/>
      <c r="F938" s="107"/>
      <c r="G938" s="107"/>
      <c r="H938" s="107"/>
    </row>
    <row r="939" spans="2:8" x14ac:dyDescent="0.25">
      <c r="B939" s="107"/>
      <c r="C939" s="107"/>
      <c r="D939" s="107"/>
      <c r="E939" s="107"/>
      <c r="F939" s="107"/>
      <c r="G939" s="107"/>
      <c r="H939" s="107"/>
    </row>
    <row r="940" spans="2:8" x14ac:dyDescent="0.25">
      <c r="B940" s="107"/>
      <c r="C940" s="107"/>
      <c r="D940" s="107"/>
      <c r="E940" s="107"/>
      <c r="F940" s="107"/>
      <c r="G940" s="107"/>
      <c r="H940" s="107"/>
    </row>
    <row r="941" spans="2:8" x14ac:dyDescent="0.25">
      <c r="B941" s="107"/>
      <c r="C941" s="107"/>
      <c r="D941" s="107"/>
      <c r="E941" s="107"/>
      <c r="F941" s="107"/>
      <c r="G941" s="107"/>
      <c r="H941" s="107"/>
    </row>
    <row r="942" spans="2:8" x14ac:dyDescent="0.25">
      <c r="B942" s="107"/>
      <c r="C942" s="107"/>
      <c r="D942" s="107"/>
      <c r="E942" s="107"/>
      <c r="F942" s="107"/>
      <c r="G942" s="107"/>
      <c r="H942" s="107"/>
    </row>
    <row r="943" spans="2:8" x14ac:dyDescent="0.25">
      <c r="B943" s="107"/>
      <c r="C943" s="107"/>
      <c r="D943" s="107"/>
      <c r="E943" s="107"/>
      <c r="F943" s="107"/>
      <c r="G943" s="107"/>
      <c r="H943" s="107"/>
    </row>
    <row r="944" spans="2:8" x14ac:dyDescent="0.25">
      <c r="B944" s="107"/>
      <c r="C944" s="107"/>
      <c r="D944" s="107"/>
      <c r="E944" s="107"/>
      <c r="F944" s="107"/>
      <c r="G944" s="107"/>
      <c r="H944" s="107"/>
    </row>
    <row r="945" spans="2:8" x14ac:dyDescent="0.25">
      <c r="B945" s="107"/>
      <c r="C945" s="107"/>
      <c r="D945" s="107"/>
      <c r="E945" s="107"/>
      <c r="F945" s="107"/>
      <c r="G945" s="107"/>
      <c r="H945" s="107"/>
    </row>
    <row r="946" spans="2:8" x14ac:dyDescent="0.25">
      <c r="B946" s="107"/>
      <c r="C946" s="107"/>
      <c r="D946" s="107"/>
      <c r="E946" s="107"/>
      <c r="F946" s="107"/>
      <c r="G946" s="107"/>
      <c r="H946" s="107"/>
    </row>
    <row r="947" spans="2:8" x14ac:dyDescent="0.25">
      <c r="B947" s="107"/>
      <c r="C947" s="107"/>
      <c r="D947" s="107"/>
      <c r="E947" s="107"/>
      <c r="F947" s="107"/>
      <c r="G947" s="107"/>
      <c r="H947" s="107"/>
    </row>
    <row r="948" spans="2:8" x14ac:dyDescent="0.25">
      <c r="B948" s="107"/>
      <c r="C948" s="107"/>
      <c r="D948" s="107"/>
      <c r="E948" s="107"/>
      <c r="F948" s="107"/>
      <c r="G948" s="107"/>
      <c r="H948" s="107"/>
    </row>
    <row r="949" spans="2:8" x14ac:dyDescent="0.25">
      <c r="B949" s="107"/>
      <c r="C949" s="107"/>
      <c r="D949" s="107"/>
      <c r="E949" s="107"/>
      <c r="F949" s="107"/>
      <c r="G949" s="107"/>
      <c r="H949" s="107"/>
    </row>
    <row r="950" spans="2:8" x14ac:dyDescent="0.25">
      <c r="B950" s="107"/>
      <c r="C950" s="107"/>
      <c r="D950" s="107"/>
      <c r="E950" s="107"/>
      <c r="F950" s="107"/>
      <c r="G950" s="107"/>
      <c r="H950" s="107"/>
    </row>
    <row r="951" spans="2:8" x14ac:dyDescent="0.25">
      <c r="B951" s="107"/>
      <c r="C951" s="107"/>
      <c r="D951" s="107"/>
      <c r="E951" s="107"/>
      <c r="F951" s="107"/>
      <c r="G951" s="107"/>
      <c r="H951" s="107"/>
    </row>
    <row r="952" spans="2:8" x14ac:dyDescent="0.25">
      <c r="B952" s="107"/>
      <c r="C952" s="107"/>
      <c r="D952" s="107"/>
      <c r="E952" s="107"/>
      <c r="F952" s="107"/>
      <c r="G952" s="107"/>
      <c r="H952" s="107"/>
    </row>
    <row r="953" spans="2:8" x14ac:dyDescent="0.25">
      <c r="B953" s="107"/>
      <c r="C953" s="107"/>
      <c r="D953" s="107"/>
      <c r="E953" s="107"/>
      <c r="F953" s="107"/>
      <c r="G953" s="107"/>
      <c r="H953" s="107"/>
    </row>
    <row r="954" spans="2:8" x14ac:dyDescent="0.25">
      <c r="B954" s="107"/>
      <c r="C954" s="107"/>
      <c r="D954" s="107"/>
      <c r="E954" s="107"/>
      <c r="F954" s="107"/>
      <c r="G954" s="107"/>
      <c r="H954" s="107"/>
    </row>
    <row r="955" spans="2:8" x14ac:dyDescent="0.25">
      <c r="B955" s="107"/>
      <c r="C955" s="107"/>
      <c r="D955" s="107"/>
      <c r="E955" s="107"/>
      <c r="F955" s="107"/>
      <c r="G955" s="107"/>
      <c r="H955" s="107"/>
    </row>
    <row r="956" spans="2:8" x14ac:dyDescent="0.25">
      <c r="B956" s="107"/>
      <c r="C956" s="107"/>
      <c r="D956" s="107"/>
      <c r="E956" s="107"/>
      <c r="F956" s="107"/>
      <c r="G956" s="107"/>
      <c r="H956" s="107"/>
    </row>
    <row r="957" spans="2:8" x14ac:dyDescent="0.25">
      <c r="B957" s="107"/>
      <c r="C957" s="107"/>
      <c r="D957" s="107"/>
      <c r="E957" s="107"/>
      <c r="F957" s="107"/>
      <c r="G957" s="107"/>
      <c r="H957" s="107"/>
    </row>
    <row r="958" spans="2:8" x14ac:dyDescent="0.25">
      <c r="B958" s="107"/>
      <c r="C958" s="107"/>
      <c r="D958" s="107"/>
      <c r="E958" s="107"/>
      <c r="F958" s="107"/>
      <c r="G958" s="107"/>
      <c r="H958" s="107"/>
    </row>
    <row r="959" spans="2:8" x14ac:dyDescent="0.25">
      <c r="B959" s="107"/>
      <c r="C959" s="107"/>
      <c r="D959" s="107"/>
      <c r="E959" s="107"/>
      <c r="F959" s="107"/>
      <c r="G959" s="107"/>
      <c r="H959" s="107"/>
    </row>
    <row r="960" spans="2:8" x14ac:dyDescent="0.25">
      <c r="B960" s="107"/>
      <c r="C960" s="107"/>
      <c r="D960" s="107"/>
      <c r="E960" s="107"/>
      <c r="F960" s="107"/>
      <c r="G960" s="107"/>
      <c r="H960" s="107"/>
    </row>
    <row r="961" spans="2:8" x14ac:dyDescent="0.25">
      <c r="B961" s="107"/>
      <c r="C961" s="107"/>
      <c r="D961" s="107"/>
      <c r="E961" s="107"/>
      <c r="F961" s="107"/>
      <c r="G961" s="107"/>
      <c r="H961" s="107"/>
    </row>
    <row r="962" spans="2:8" x14ac:dyDescent="0.25">
      <c r="B962" s="107"/>
      <c r="C962" s="107"/>
      <c r="D962" s="107"/>
      <c r="E962" s="107"/>
      <c r="F962" s="107"/>
      <c r="G962" s="107"/>
      <c r="H962" s="107"/>
    </row>
    <row r="963" spans="2:8" x14ac:dyDescent="0.25">
      <c r="B963" s="107"/>
      <c r="C963" s="107"/>
      <c r="D963" s="107"/>
      <c r="E963" s="107"/>
      <c r="F963" s="107"/>
      <c r="G963" s="107"/>
      <c r="H963" s="107"/>
    </row>
    <row r="964" spans="2:8" x14ac:dyDescent="0.25">
      <c r="B964" s="107"/>
      <c r="C964" s="107"/>
      <c r="D964" s="107"/>
      <c r="E964" s="107"/>
      <c r="F964" s="107"/>
      <c r="G964" s="107"/>
      <c r="H964" s="107"/>
    </row>
    <row r="965" spans="2:8" x14ac:dyDescent="0.25">
      <c r="B965" s="107"/>
      <c r="C965" s="107"/>
      <c r="D965" s="107"/>
      <c r="E965" s="107"/>
      <c r="F965" s="107"/>
      <c r="G965" s="107"/>
      <c r="H965" s="107"/>
    </row>
    <row r="966" spans="2:8" x14ac:dyDescent="0.25">
      <c r="B966" s="107"/>
      <c r="C966" s="107"/>
      <c r="D966" s="107"/>
      <c r="E966" s="107"/>
      <c r="F966" s="107"/>
      <c r="G966" s="107"/>
      <c r="H966" s="107"/>
    </row>
    <row r="967" spans="2:8" x14ac:dyDescent="0.25">
      <c r="B967" s="107"/>
      <c r="C967" s="107"/>
      <c r="D967" s="107"/>
      <c r="E967" s="107"/>
      <c r="F967" s="107"/>
      <c r="G967" s="107"/>
      <c r="H967" s="107"/>
    </row>
    <row r="968" spans="2:8" x14ac:dyDescent="0.25">
      <c r="B968" s="107"/>
      <c r="C968" s="107"/>
      <c r="D968" s="107"/>
      <c r="E968" s="107"/>
      <c r="F968" s="107"/>
      <c r="G968" s="107"/>
      <c r="H968" s="107"/>
    </row>
    <row r="969" spans="2:8" x14ac:dyDescent="0.25">
      <c r="B969" s="107"/>
      <c r="C969" s="107"/>
      <c r="D969" s="107"/>
      <c r="E969" s="107"/>
      <c r="F969" s="107"/>
      <c r="G969" s="107"/>
      <c r="H969" s="107"/>
    </row>
    <row r="970" spans="2:8" x14ac:dyDescent="0.25">
      <c r="B970" s="107"/>
      <c r="C970" s="107"/>
      <c r="D970" s="107"/>
      <c r="E970" s="107"/>
      <c r="F970" s="107"/>
      <c r="G970" s="107"/>
      <c r="H970" s="107"/>
    </row>
    <row r="971" spans="2:8" x14ac:dyDescent="0.25">
      <c r="B971" s="107"/>
      <c r="C971" s="107"/>
      <c r="D971" s="107"/>
      <c r="E971" s="107"/>
      <c r="F971" s="107"/>
      <c r="G971" s="107"/>
      <c r="H971" s="107"/>
    </row>
    <row r="972" spans="2:8" x14ac:dyDescent="0.25">
      <c r="B972" s="107"/>
      <c r="C972" s="107"/>
      <c r="D972" s="107"/>
      <c r="E972" s="107"/>
      <c r="F972" s="107"/>
      <c r="G972" s="107"/>
      <c r="H972" s="107"/>
    </row>
    <row r="973" spans="2:8" x14ac:dyDescent="0.25">
      <c r="B973" s="107"/>
      <c r="C973" s="107"/>
      <c r="D973" s="107"/>
      <c r="E973" s="107"/>
      <c r="F973" s="107"/>
      <c r="G973" s="107"/>
      <c r="H973" s="107"/>
    </row>
    <row r="974" spans="2:8" x14ac:dyDescent="0.25">
      <c r="B974" s="107"/>
      <c r="C974" s="107"/>
      <c r="D974" s="107"/>
      <c r="E974" s="107"/>
      <c r="F974" s="107"/>
      <c r="G974" s="107"/>
      <c r="H974" s="107"/>
    </row>
    <row r="975" spans="2:8" x14ac:dyDescent="0.25">
      <c r="B975" s="107"/>
      <c r="C975" s="107"/>
      <c r="D975" s="107"/>
      <c r="E975" s="107"/>
      <c r="F975" s="107"/>
      <c r="G975" s="107"/>
      <c r="H975" s="107"/>
    </row>
    <row r="976" spans="2:8" x14ac:dyDescent="0.25">
      <c r="B976" s="107"/>
      <c r="C976" s="107"/>
      <c r="D976" s="107"/>
      <c r="E976" s="107"/>
      <c r="F976" s="107"/>
      <c r="G976" s="107"/>
      <c r="H976" s="107"/>
    </row>
    <row r="977" spans="2:8" x14ac:dyDescent="0.25">
      <c r="B977" s="107"/>
      <c r="C977" s="107"/>
      <c r="D977" s="107"/>
      <c r="E977" s="107"/>
      <c r="F977" s="107"/>
      <c r="G977" s="107"/>
      <c r="H977" s="107"/>
    </row>
    <row r="978" spans="2:8" x14ac:dyDescent="0.25">
      <c r="B978" s="107"/>
      <c r="C978" s="107"/>
      <c r="D978" s="107"/>
      <c r="E978" s="107"/>
      <c r="F978" s="107"/>
      <c r="G978" s="107"/>
      <c r="H978" s="107"/>
    </row>
    <row r="979" spans="2:8" x14ac:dyDescent="0.25">
      <c r="B979" s="107"/>
      <c r="C979" s="107"/>
      <c r="D979" s="107"/>
      <c r="E979" s="107"/>
      <c r="F979" s="107"/>
      <c r="G979" s="107"/>
      <c r="H979" s="107"/>
    </row>
    <row r="980" spans="2:8" x14ac:dyDescent="0.25">
      <c r="B980" s="107"/>
      <c r="C980" s="107"/>
      <c r="D980" s="107"/>
      <c r="E980" s="107"/>
      <c r="F980" s="107"/>
      <c r="G980" s="107"/>
      <c r="H980" s="107"/>
    </row>
    <row r="981" spans="2:8" x14ac:dyDescent="0.25">
      <c r="B981" s="107"/>
      <c r="C981" s="107"/>
      <c r="D981" s="107"/>
      <c r="E981" s="107"/>
      <c r="F981" s="107"/>
      <c r="G981" s="107"/>
      <c r="H981" s="107"/>
    </row>
    <row r="982" spans="2:8" x14ac:dyDescent="0.25">
      <c r="B982" s="107"/>
      <c r="C982" s="107"/>
      <c r="D982" s="107"/>
      <c r="E982" s="107"/>
      <c r="F982" s="107"/>
      <c r="G982" s="107"/>
      <c r="H982" s="107"/>
    </row>
    <row r="983" spans="2:8" x14ac:dyDescent="0.25">
      <c r="B983" s="107"/>
      <c r="C983" s="107"/>
      <c r="D983" s="107"/>
      <c r="E983" s="107"/>
      <c r="F983" s="107"/>
      <c r="G983" s="107"/>
      <c r="H983" s="107"/>
    </row>
    <row r="984" spans="2:8" x14ac:dyDescent="0.25">
      <c r="B984" s="107"/>
      <c r="C984" s="107"/>
      <c r="D984" s="107"/>
      <c r="E984" s="107"/>
      <c r="F984" s="107"/>
      <c r="G984" s="107"/>
      <c r="H984" s="107"/>
    </row>
    <row r="985" spans="2:8" x14ac:dyDescent="0.25">
      <c r="B985" s="107"/>
      <c r="C985" s="107"/>
      <c r="D985" s="107"/>
      <c r="E985" s="107"/>
      <c r="F985" s="107"/>
      <c r="G985" s="107"/>
      <c r="H985" s="107"/>
    </row>
    <row r="986" spans="2:8" x14ac:dyDescent="0.25">
      <c r="B986" s="107"/>
      <c r="C986" s="107"/>
      <c r="D986" s="107"/>
      <c r="E986" s="107"/>
      <c r="F986" s="107"/>
      <c r="G986" s="107"/>
      <c r="H986" s="107"/>
    </row>
    <row r="987" spans="2:8" x14ac:dyDescent="0.25">
      <c r="B987" s="107"/>
      <c r="C987" s="107"/>
      <c r="D987" s="107"/>
      <c r="E987" s="107"/>
      <c r="F987" s="107"/>
      <c r="G987" s="107"/>
      <c r="H987" s="107"/>
    </row>
    <row r="988" spans="2:8" x14ac:dyDescent="0.25">
      <c r="B988" s="107"/>
      <c r="C988" s="107"/>
      <c r="D988" s="107"/>
      <c r="E988" s="107"/>
      <c r="F988" s="107"/>
      <c r="G988" s="107"/>
      <c r="H988" s="107"/>
    </row>
    <row r="989" spans="2:8" x14ac:dyDescent="0.25">
      <c r="B989" s="107"/>
      <c r="C989" s="107"/>
      <c r="D989" s="107"/>
      <c r="E989" s="107"/>
      <c r="F989" s="107"/>
      <c r="G989" s="107"/>
      <c r="H989" s="107"/>
    </row>
    <row r="990" spans="2:8" x14ac:dyDescent="0.25">
      <c r="B990" s="107"/>
      <c r="C990" s="107"/>
      <c r="D990" s="107"/>
      <c r="E990" s="107"/>
      <c r="F990" s="107"/>
      <c r="G990" s="107"/>
      <c r="H990" s="107"/>
    </row>
    <row r="991" spans="2:8" x14ac:dyDescent="0.25">
      <c r="B991" s="107"/>
      <c r="C991" s="107"/>
      <c r="D991" s="107"/>
      <c r="E991" s="107"/>
      <c r="F991" s="107"/>
      <c r="G991" s="107"/>
      <c r="H991" s="107"/>
    </row>
    <row r="992" spans="2:8" x14ac:dyDescent="0.25">
      <c r="B992" s="107"/>
      <c r="C992" s="107"/>
      <c r="D992" s="107"/>
      <c r="E992" s="107"/>
      <c r="F992" s="107"/>
      <c r="G992" s="107"/>
      <c r="H992" s="107"/>
    </row>
    <row r="993" spans="2:8" x14ac:dyDescent="0.25">
      <c r="B993" s="107"/>
      <c r="C993" s="107"/>
      <c r="D993" s="107"/>
      <c r="E993" s="107"/>
      <c r="F993" s="107"/>
      <c r="G993" s="107"/>
      <c r="H993" s="107"/>
    </row>
    <row r="994" spans="2:8" x14ac:dyDescent="0.25">
      <c r="B994" s="107"/>
      <c r="C994" s="107"/>
      <c r="D994" s="107"/>
      <c r="E994" s="107"/>
      <c r="F994" s="107"/>
      <c r="G994" s="107"/>
      <c r="H994" s="107"/>
    </row>
    <row r="995" spans="2:8" x14ac:dyDescent="0.25">
      <c r="B995" s="107"/>
      <c r="C995" s="107"/>
      <c r="D995" s="107"/>
      <c r="E995" s="107"/>
      <c r="F995" s="107"/>
      <c r="G995" s="107"/>
      <c r="H995" s="107"/>
    </row>
    <row r="996" spans="2:8" x14ac:dyDescent="0.25">
      <c r="B996" s="107"/>
      <c r="C996" s="107"/>
      <c r="D996" s="107"/>
      <c r="E996" s="107"/>
      <c r="F996" s="107"/>
      <c r="G996" s="107"/>
      <c r="H996" s="107"/>
    </row>
    <row r="997" spans="2:8" x14ac:dyDescent="0.25">
      <c r="B997" s="107"/>
      <c r="C997" s="107"/>
      <c r="D997" s="107"/>
      <c r="E997" s="107"/>
      <c r="F997" s="107"/>
      <c r="G997" s="107"/>
      <c r="H997" s="107"/>
    </row>
    <row r="998" spans="2:8" x14ac:dyDescent="0.25">
      <c r="B998" s="107"/>
      <c r="C998" s="107"/>
      <c r="D998" s="107"/>
      <c r="E998" s="107"/>
      <c r="F998" s="107"/>
      <c r="G998" s="107"/>
      <c r="H998" s="107"/>
    </row>
    <row r="999" spans="2:8" x14ac:dyDescent="0.25">
      <c r="B999" s="107"/>
      <c r="C999" s="107"/>
      <c r="D999" s="107"/>
      <c r="E999" s="107"/>
      <c r="F999" s="107"/>
      <c r="G999" s="107"/>
      <c r="H999" s="107"/>
    </row>
    <row r="1000" spans="2:8" x14ac:dyDescent="0.25">
      <c r="B1000" s="107"/>
      <c r="C1000" s="107"/>
      <c r="D1000" s="107"/>
      <c r="E1000" s="107"/>
      <c r="F1000" s="107"/>
      <c r="G1000" s="107"/>
      <c r="H1000" s="107"/>
    </row>
    <row r="1001" spans="2:8" x14ac:dyDescent="0.25">
      <c r="B1001" s="107"/>
      <c r="C1001" s="107"/>
      <c r="D1001" s="107"/>
      <c r="E1001" s="107"/>
      <c r="F1001" s="107"/>
      <c r="G1001" s="107"/>
      <c r="H1001" s="107"/>
    </row>
    <row r="1002" spans="2:8" x14ac:dyDescent="0.25">
      <c r="B1002" s="107"/>
      <c r="C1002" s="107"/>
      <c r="D1002" s="107"/>
      <c r="E1002" s="107"/>
      <c r="F1002" s="107"/>
      <c r="G1002" s="107"/>
      <c r="H1002" s="107"/>
    </row>
    <row r="1003" spans="2:8" x14ac:dyDescent="0.25">
      <c r="B1003" s="107"/>
      <c r="C1003" s="107"/>
      <c r="D1003" s="107"/>
      <c r="E1003" s="107"/>
      <c r="F1003" s="107"/>
      <c r="G1003" s="107"/>
      <c r="H1003" s="107"/>
    </row>
    <row r="1004" spans="2:8" x14ac:dyDescent="0.25">
      <c r="B1004" s="107"/>
      <c r="C1004" s="107"/>
      <c r="D1004" s="107"/>
      <c r="E1004" s="107"/>
      <c r="F1004" s="107"/>
      <c r="G1004" s="107"/>
    </row>
    <row r="1005" spans="2:8" x14ac:dyDescent="0.25">
      <c r="B1005" s="107"/>
      <c r="C1005" s="107"/>
      <c r="D1005" s="107"/>
      <c r="E1005" s="107"/>
      <c r="F1005" s="107"/>
      <c r="G1005" s="107"/>
    </row>
  </sheetData>
  <sheetProtection password="E218" sheet="1" objects="1" scenarios="1"/>
  <mergeCells count="6">
    <mergeCell ref="G11:G12"/>
    <mergeCell ref="B2:E3"/>
    <mergeCell ref="E7:E8"/>
    <mergeCell ref="E11:E12"/>
    <mergeCell ref="B10:B11"/>
    <mergeCell ref="F5:F6"/>
  </mergeCells>
  <phoneticPr fontId="0" type="noConversion"/>
  <printOptions horizontalCentered="1" verticalCentered="1"/>
  <pageMargins left="0.67" right="0.75" top="0.97" bottom="1" header="0.5" footer="0.5"/>
  <pageSetup scale="84" orientation="landscape" r:id="rId1"/>
  <headerFooter alignWithMargins="0">
    <oddFooter>&amp;CAWWA Water Loss Control Committee&amp;R&amp;A     &amp;P</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95989-F5F2-49F6-B7D4-1D63ABB987F7}">
  <sheetPr codeName="Sheet7"/>
  <dimension ref="A1:M25"/>
  <sheetViews>
    <sheetView workbookViewId="0">
      <selection activeCell="D14" sqref="D14"/>
    </sheetView>
  </sheetViews>
  <sheetFormatPr defaultRowHeight="12.75" x14ac:dyDescent="0.2"/>
  <cols>
    <col min="1" max="1" width="2.7109375" customWidth="1"/>
    <col min="2" max="2" width="64" customWidth="1"/>
    <col min="3" max="3" width="6.85546875" customWidth="1"/>
    <col min="4" max="4" width="6.85546875" bestFit="1" customWidth="1"/>
    <col min="5" max="5" width="9.28515625" bestFit="1" customWidth="1"/>
    <col min="6" max="6" width="8.7109375" bestFit="1" customWidth="1"/>
    <col min="7" max="7" width="12.5703125" bestFit="1" customWidth="1"/>
    <col min="8" max="8" width="10.140625" customWidth="1"/>
    <col min="9" max="9" width="10.7109375" bestFit="1" customWidth="1"/>
    <col min="10" max="10" width="2.28515625" customWidth="1"/>
    <col min="11" max="11" width="11.42578125" bestFit="1" customWidth="1"/>
    <col min="12" max="12" width="9.42578125" bestFit="1" customWidth="1"/>
    <col min="13" max="13" width="13.5703125" bestFit="1" customWidth="1"/>
  </cols>
  <sheetData>
    <row r="1" spans="1:13" ht="138" customHeight="1" x14ac:dyDescent="0.2"/>
    <row r="2" spans="1:13" x14ac:dyDescent="0.2">
      <c r="G2" s="309" t="s">
        <v>318</v>
      </c>
    </row>
    <row r="3" spans="1:13" x14ac:dyDescent="0.2">
      <c r="C3" s="308" t="s">
        <v>315</v>
      </c>
      <c r="D3" s="308" t="s">
        <v>316</v>
      </c>
      <c r="E3" s="308" t="s">
        <v>319</v>
      </c>
      <c r="F3" s="308" t="s">
        <v>320</v>
      </c>
      <c r="G3" s="308" t="s">
        <v>317</v>
      </c>
      <c r="H3" s="308" t="s">
        <v>321</v>
      </c>
      <c r="I3" s="308" t="s">
        <v>394</v>
      </c>
      <c r="J3" s="308"/>
      <c r="K3" s="308" t="s">
        <v>392</v>
      </c>
      <c r="L3" s="308" t="s">
        <v>391</v>
      </c>
      <c r="M3" s="308" t="s">
        <v>393</v>
      </c>
    </row>
    <row r="4" spans="1:13" ht="13.5" x14ac:dyDescent="0.25">
      <c r="B4" s="318" t="s">
        <v>380</v>
      </c>
      <c r="C4" s="315">
        <f>IF('Reporting Worksheet'!E14="n/a",0,'Reporting Worksheet'!E14)</f>
        <v>7</v>
      </c>
      <c r="D4" s="316">
        <f>IF('Reporting Worksheet'!G14=0,0,IF('Reporting Worksheet'!G14&gt;'Reporting Worksheet'!G16,20,8))</f>
        <v>20</v>
      </c>
      <c r="E4" s="317">
        <f>D4/$D$23</f>
        <v>28.169014084507044</v>
      </c>
      <c r="F4" s="317">
        <f>IF(D4&lt;&gt;0,E4/10,0)</f>
        <v>2.8169014084507045</v>
      </c>
      <c r="G4" s="313">
        <f t="shared" ref="G4:G21" si="0">C4*F4</f>
        <v>19.718309859154932</v>
      </c>
      <c r="H4" s="314">
        <f t="shared" ref="H4:H21" si="1">IF(F4=0,0,E4-G4)</f>
        <v>8.4507042253521121</v>
      </c>
      <c r="I4">
        <f t="array" aca="1" ref="I4" ca="1">SUM(1*(H4&lt;$H$4:$H$21))+1+IF(ROW(H4)-ROW($H$4)=0,0,SUM(1*(H4=OFFSET($H$4,0,0,INDEX(ROW(H4)-ROW($H$4)+1,1)-1,1))))</f>
        <v>1</v>
      </c>
      <c r="J4" s="312" t="s">
        <v>420</v>
      </c>
      <c r="K4">
        <f>IF(D4&lt;&gt;0,1,0)</f>
        <v>1</v>
      </c>
      <c r="L4">
        <f t="shared" ref="L4:L21" si="2">IF(C4&gt;0,1,0)</f>
        <v>1</v>
      </c>
      <c r="M4">
        <f t="shared" ref="M4:M21" si="3">IF(AND(K4=1,L4=0),1,0)</f>
        <v>0</v>
      </c>
    </row>
    <row r="5" spans="1:13" ht="13.5" x14ac:dyDescent="0.25">
      <c r="B5" s="318" t="s">
        <v>381</v>
      </c>
      <c r="C5" s="315">
        <f>IF('Reporting Worksheet'!E15="n/a",0,'Reporting Worksheet'!E15)</f>
        <v>1</v>
      </c>
      <c r="D5" s="316">
        <f>IF('Reporting Worksheet'!G15=0,0,8)</f>
        <v>0</v>
      </c>
      <c r="E5" s="317">
        <f t="shared" ref="E5:E21" si="4">D5/$D$23</f>
        <v>0</v>
      </c>
      <c r="F5" s="317">
        <f t="shared" ref="F5:F21" si="5">IF(D5&lt;&gt;0,E5/10,0)</f>
        <v>0</v>
      </c>
      <c r="G5" s="313">
        <f t="shared" si="0"/>
        <v>0</v>
      </c>
      <c r="H5" s="314">
        <f t="shared" si="1"/>
        <v>0</v>
      </c>
      <c r="I5">
        <f t="array" aca="1" ref="I5" ca="1">SUM(1*(H5&lt;$H$4:$H$21))+1+IF(ROW(H5)-ROW($H$4)=0,0,SUM(1*(H5=OFFSET($H$4,0,0,INDEX(ROW(H5)-ROW($H$4)+1,1)-1,1))))</f>
        <v>15</v>
      </c>
      <c r="J5" s="312" t="s">
        <v>503</v>
      </c>
      <c r="K5">
        <f t="shared" ref="K5:K21" si="6">IF(D5&lt;&gt;0,1,0)</f>
        <v>0</v>
      </c>
      <c r="L5">
        <f t="shared" si="2"/>
        <v>1</v>
      </c>
      <c r="M5">
        <f t="shared" si="3"/>
        <v>0</v>
      </c>
    </row>
    <row r="6" spans="1:13" ht="13.5" x14ac:dyDescent="0.25">
      <c r="B6" s="318" t="s">
        <v>468</v>
      </c>
      <c r="C6" s="315">
        <f>IF('Reporting Worksheet'!E16="n/a",0,'Reporting Worksheet'!E16)</f>
        <v>0</v>
      </c>
      <c r="D6" s="316">
        <f>IF('Reporting Worksheet'!G16=0,0,IF('Reporting Worksheet'!G16&gt;'Reporting Worksheet'!G14,20,8))</f>
        <v>0</v>
      </c>
      <c r="E6" s="317">
        <f t="shared" si="4"/>
        <v>0</v>
      </c>
      <c r="F6" s="317">
        <f t="shared" si="5"/>
        <v>0</v>
      </c>
      <c r="G6" s="313">
        <f t="shared" si="0"/>
        <v>0</v>
      </c>
      <c r="H6" s="314">
        <f t="shared" si="1"/>
        <v>0</v>
      </c>
      <c r="I6">
        <f t="array" aca="1" ref="I6" ca="1">SUM(1*(H6&lt;$H$4:$H$21))+1+IF(ROW(H6)-ROW($H$4)=0,0,SUM(1*(H6=OFFSET($H$4,0,0,INDEX(ROW(H6)-ROW($H$4)+1,1)-1,1))))</f>
        <v>16</v>
      </c>
      <c r="J6" s="312" t="s">
        <v>419</v>
      </c>
      <c r="K6">
        <f t="shared" si="6"/>
        <v>0</v>
      </c>
      <c r="L6">
        <f t="shared" si="2"/>
        <v>0</v>
      </c>
      <c r="M6">
        <f t="shared" si="3"/>
        <v>0</v>
      </c>
    </row>
    <row r="7" spans="1:13" ht="13.5" x14ac:dyDescent="0.25">
      <c r="B7" s="318" t="s">
        <v>469</v>
      </c>
      <c r="C7" s="315">
        <f>IF('Reporting Worksheet'!E17="n/a",0,'Reporting Worksheet'!E17)</f>
        <v>0</v>
      </c>
      <c r="D7" s="316">
        <f>IF('Reporting Worksheet'!G17=0,0,8)</f>
        <v>0</v>
      </c>
      <c r="E7" s="317">
        <f t="shared" si="4"/>
        <v>0</v>
      </c>
      <c r="F7" s="317">
        <f t="shared" si="5"/>
        <v>0</v>
      </c>
      <c r="G7" s="313">
        <f t="shared" si="0"/>
        <v>0</v>
      </c>
      <c r="H7" s="314">
        <f t="shared" si="1"/>
        <v>0</v>
      </c>
      <c r="I7">
        <f t="array" aca="1" ref="I7" ca="1">SUM(1*(H7&lt;$H$4:$H$21))+1+IF(ROW(H7)-ROW($H$4)=0,0,SUM(1*(H7=OFFSET($H$4,0,0,INDEX(ROW(H7)-ROW($H$4)+1,1)-1,1))))</f>
        <v>17</v>
      </c>
      <c r="J7" s="312" t="s">
        <v>423</v>
      </c>
      <c r="K7">
        <f t="shared" si="6"/>
        <v>0</v>
      </c>
      <c r="L7">
        <f t="shared" si="2"/>
        <v>0</v>
      </c>
      <c r="M7">
        <f t="shared" si="3"/>
        <v>0</v>
      </c>
    </row>
    <row r="8" spans="1:13" ht="13.5" x14ac:dyDescent="0.25">
      <c r="B8" s="318" t="s">
        <v>382</v>
      </c>
      <c r="C8" s="315">
        <f>IF('Reporting Worksheet'!E23="n/a",0,'Reporting Worksheet'!E23)</f>
        <v>6</v>
      </c>
      <c r="D8" s="316">
        <f>IF(AND('Reporting Worksheet'!E23="n/a",'Reporting Worksheet'!G23=0),0,8)</f>
        <v>8</v>
      </c>
      <c r="E8" s="317">
        <f t="shared" si="4"/>
        <v>11.267605633802818</v>
      </c>
      <c r="F8" s="317">
        <f t="shared" si="5"/>
        <v>1.1267605633802817</v>
      </c>
      <c r="G8" s="313">
        <f t="shared" si="0"/>
        <v>6.76056338028169</v>
      </c>
      <c r="H8" s="314">
        <f t="shared" si="1"/>
        <v>4.5070422535211279</v>
      </c>
      <c r="I8">
        <f t="array" aca="1" ref="I8" ca="1">SUM(1*(H8&lt;$H$4:$H$21))+1+IF(ROW(H8)-ROW($H$4)=0,0,SUM(1*(H8=OFFSET($H$4,0,0,INDEX(ROW(H8)-ROW($H$4)+1,1)-1,1))))</f>
        <v>3</v>
      </c>
      <c r="J8" s="312" t="s">
        <v>322</v>
      </c>
      <c r="K8">
        <f t="shared" si="6"/>
        <v>1</v>
      </c>
      <c r="L8">
        <f t="shared" si="2"/>
        <v>1</v>
      </c>
      <c r="M8">
        <f t="shared" si="3"/>
        <v>0</v>
      </c>
    </row>
    <row r="9" spans="1:13" ht="13.5" x14ac:dyDescent="0.25">
      <c r="B9" s="318" t="s">
        <v>383</v>
      </c>
      <c r="C9" s="315">
        <f>IF('Reporting Worksheet'!E24="n/a",0,'Reporting Worksheet'!E24)</f>
        <v>0</v>
      </c>
      <c r="D9" s="316">
        <f>IF('Reporting Worksheet'!G24=0,0,6)</f>
        <v>0</v>
      </c>
      <c r="E9" s="317">
        <f t="shared" si="4"/>
        <v>0</v>
      </c>
      <c r="F9" s="317">
        <f t="shared" si="5"/>
        <v>0</v>
      </c>
      <c r="G9" s="313">
        <f t="shared" si="0"/>
        <v>0</v>
      </c>
      <c r="H9" s="314">
        <f t="shared" si="1"/>
        <v>0</v>
      </c>
      <c r="I9">
        <f t="array" aca="1" ref="I9" ca="1">SUM(1*(H9&lt;$H$4:$H$21))+1+IF(ROW(H9)-ROW($H$4)=0,0,SUM(1*(H9=OFFSET($H$4,0,0,INDEX(ROW(H9)-ROW($H$4)+1,1)-1,1))))</f>
        <v>18</v>
      </c>
      <c r="J9" s="312" t="s">
        <v>323</v>
      </c>
      <c r="K9">
        <f t="shared" si="6"/>
        <v>0</v>
      </c>
      <c r="L9">
        <f t="shared" si="2"/>
        <v>0</v>
      </c>
      <c r="M9">
        <f t="shared" si="3"/>
        <v>0</v>
      </c>
    </row>
    <row r="10" spans="1:13" ht="13.5" x14ac:dyDescent="0.25">
      <c r="B10" s="318" t="s">
        <v>384</v>
      </c>
      <c r="C10" s="315">
        <f>IF('Reporting Worksheet'!E25="n/a",0,'Reporting Worksheet'!E25)</f>
        <v>9</v>
      </c>
      <c r="D10" s="316">
        <f>IF('Reporting Worksheet'!G25=0,0,6)</f>
        <v>6</v>
      </c>
      <c r="E10" s="317">
        <f t="shared" si="4"/>
        <v>8.4507042253521139</v>
      </c>
      <c r="F10" s="317">
        <f t="shared" si="5"/>
        <v>0.84507042253521136</v>
      </c>
      <c r="G10" s="313">
        <f t="shared" si="0"/>
        <v>7.6056338028169019</v>
      </c>
      <c r="H10" s="314">
        <f t="shared" si="1"/>
        <v>0.84507042253521192</v>
      </c>
      <c r="I10">
        <f t="array" aca="1" ref="I10" ca="1">SUM(1*(H10&lt;$H$4:$H$21))+1+IF(ROW(H10)-ROW($H$4)=0,0,SUM(1*(H10=OFFSET($H$4,0,0,INDEX(ROW(H10)-ROW($H$4)+1,1)-1,1))))</f>
        <v>13</v>
      </c>
      <c r="J10" s="312" t="s">
        <v>324</v>
      </c>
      <c r="K10">
        <f t="shared" si="6"/>
        <v>1</v>
      </c>
      <c r="L10">
        <f t="shared" si="2"/>
        <v>1</v>
      </c>
      <c r="M10">
        <f t="shared" si="3"/>
        <v>0</v>
      </c>
    </row>
    <row r="11" spans="1:13" ht="13.5" x14ac:dyDescent="0.25">
      <c r="A11" t="s">
        <v>397</v>
      </c>
      <c r="B11" s="318" t="s">
        <v>385</v>
      </c>
      <c r="C11" s="388">
        <f>IF(OR('Reporting Worksheet'!P26=1,AND('Reporting Worksheet'!P26=2,'Reporting Worksheet'!L26=0)),5,'Reporting Worksheet'!E26)</f>
        <v>5</v>
      </c>
      <c r="D11" s="316">
        <v>1</v>
      </c>
      <c r="E11" s="317">
        <f t="shared" si="4"/>
        <v>1.4084507042253522</v>
      </c>
      <c r="F11" s="317">
        <f t="shared" si="5"/>
        <v>0.14084507042253522</v>
      </c>
      <c r="G11" s="313">
        <f t="shared" si="0"/>
        <v>0.70422535211267612</v>
      </c>
      <c r="H11" s="314">
        <f t="shared" si="1"/>
        <v>0.70422535211267612</v>
      </c>
      <c r="I11">
        <f t="array" aca="1" ref="I11" ca="1">SUM(1*(H11&lt;$H$4:$H$21))+1+IF(ROW(H11)-ROW($H$4)=0,0,SUM(1*(H11=OFFSET($H$4,0,0,INDEX(ROW(H11)-ROW($H$4)+1,1)-1,1))))</f>
        <v>14</v>
      </c>
      <c r="J11" s="312" t="s">
        <v>325</v>
      </c>
      <c r="K11">
        <f t="shared" si="6"/>
        <v>1</v>
      </c>
      <c r="L11">
        <f t="shared" si="2"/>
        <v>1</v>
      </c>
      <c r="M11">
        <f t="shared" si="3"/>
        <v>0</v>
      </c>
    </row>
    <row r="12" spans="1:13" ht="13.5" x14ac:dyDescent="0.25">
      <c r="A12" t="s">
        <v>397</v>
      </c>
      <c r="B12" s="318" t="s">
        <v>386</v>
      </c>
      <c r="C12" s="388">
        <f>IF(OR('Reporting Worksheet'!P38=1,AND('Reporting Worksheet'!P38=2,'Reporting Worksheet'!L38=0)),5,'Reporting Worksheet'!E38)</f>
        <v>5</v>
      </c>
      <c r="D12" s="316">
        <v>4</v>
      </c>
      <c r="E12" s="317">
        <f t="shared" si="4"/>
        <v>5.6338028169014089</v>
      </c>
      <c r="F12" s="317">
        <f t="shared" si="5"/>
        <v>0.56338028169014087</v>
      </c>
      <c r="G12" s="313">
        <f t="shared" si="0"/>
        <v>2.8169014084507045</v>
      </c>
      <c r="H12" s="314">
        <f t="shared" si="1"/>
        <v>2.8169014084507045</v>
      </c>
      <c r="I12">
        <f t="array" aca="1" ref="I12" ca="1">SUM(1*(H12&lt;$H$4:$H$21))+1+IF(ROW(H12)-ROW($H$4)=0,0,SUM(1*(H12=OFFSET($H$4,0,0,INDEX(ROW(H12)-ROW($H$4)+1,1)-1,1))))</f>
        <v>4</v>
      </c>
      <c r="J12" s="312" t="s">
        <v>485</v>
      </c>
      <c r="K12">
        <f t="shared" si="6"/>
        <v>1</v>
      </c>
      <c r="L12">
        <f t="shared" si="2"/>
        <v>1</v>
      </c>
      <c r="M12">
        <f t="shared" si="3"/>
        <v>0</v>
      </c>
    </row>
    <row r="13" spans="1:13" ht="13.5" x14ac:dyDescent="0.25">
      <c r="B13" s="318" t="s">
        <v>387</v>
      </c>
      <c r="C13" s="315">
        <f>IF('Reporting Worksheet'!E42="n/a",0,'Reporting Worksheet'!E42)</f>
        <v>3</v>
      </c>
      <c r="D13" s="316">
        <f>IF(AND('Reporting Worksheet'!E42="n/a",'Reporting Worksheet'!G42=0),0,6)</f>
        <v>6</v>
      </c>
      <c r="E13" s="317">
        <f t="shared" si="4"/>
        <v>8.4507042253521139</v>
      </c>
      <c r="F13" s="317">
        <f t="shared" si="5"/>
        <v>0.84507042253521136</v>
      </c>
      <c r="G13" s="313">
        <f t="shared" si="0"/>
        <v>2.535211267605634</v>
      </c>
      <c r="H13" s="314">
        <f t="shared" si="1"/>
        <v>5.9154929577464799</v>
      </c>
      <c r="I13">
        <f t="array" aca="1" ref="I13" ca="1">SUM(1*(H13&lt;$H$4:$H$21))+1+IF(ROW(H13)-ROW($H$4)=0,0,SUM(1*(H13=OFFSET($H$4,0,0,INDEX(ROW(H13)-ROW($H$4)+1,1)-1,1))))</f>
        <v>2</v>
      </c>
      <c r="J13" s="312" t="s">
        <v>426</v>
      </c>
      <c r="K13">
        <f t="shared" si="6"/>
        <v>1</v>
      </c>
      <c r="L13">
        <f t="shared" si="2"/>
        <v>1</v>
      </c>
      <c r="M13">
        <f t="shared" si="3"/>
        <v>0</v>
      </c>
    </row>
    <row r="14" spans="1:13" ht="13.5" x14ac:dyDescent="0.25">
      <c r="B14" s="318" t="s">
        <v>467</v>
      </c>
      <c r="C14" s="315">
        <f>IF('Reporting Worksheet'!E43="n/a",0,IF('Reporting Worksheet'!G43=0,5,'Reporting Worksheet'!E43))</f>
        <v>5</v>
      </c>
      <c r="D14" s="316">
        <v>4</v>
      </c>
      <c r="E14" s="317">
        <f t="shared" si="4"/>
        <v>5.6338028169014089</v>
      </c>
      <c r="F14" s="317">
        <f t="shared" si="5"/>
        <v>0.56338028169014087</v>
      </c>
      <c r="G14" s="313">
        <f t="shared" si="0"/>
        <v>2.8169014084507045</v>
      </c>
      <c r="H14" s="314">
        <f t="shared" si="1"/>
        <v>2.8169014084507045</v>
      </c>
      <c r="I14">
        <f t="array" aca="1" ref="I14" ca="1">SUM(1*(H14&lt;$H$4:$H$21))+1+IF(ROW(H14)-ROW($H$4)=0,0,SUM(1*(H14=OFFSET($H$4,0,0,INDEX(ROW(H14)-ROW($H$4)+1,1)-1,1))))</f>
        <v>5</v>
      </c>
      <c r="J14" s="312" t="s">
        <v>486</v>
      </c>
      <c r="K14">
        <f t="shared" si="6"/>
        <v>1</v>
      </c>
      <c r="L14">
        <f t="shared" si="2"/>
        <v>1</v>
      </c>
      <c r="M14">
        <f t="shared" si="3"/>
        <v>0</v>
      </c>
    </row>
    <row r="15" spans="1:13" ht="13.5" x14ac:dyDescent="0.25">
      <c r="B15" s="318" t="s">
        <v>388</v>
      </c>
      <c r="C15" s="315">
        <f>'Reporting Worksheet'!E62</f>
        <v>3</v>
      </c>
      <c r="D15" s="316">
        <v>1</v>
      </c>
      <c r="E15" s="317">
        <f t="shared" si="4"/>
        <v>1.4084507042253522</v>
      </c>
      <c r="F15" s="317">
        <f t="shared" si="5"/>
        <v>0.14084507042253522</v>
      </c>
      <c r="G15" s="313">
        <f t="shared" si="0"/>
        <v>0.42253521126760563</v>
      </c>
      <c r="H15" s="314">
        <f t="shared" si="1"/>
        <v>0.98591549295774661</v>
      </c>
      <c r="I15">
        <f t="array" aca="1" ref="I15" ca="1">SUM(1*(H15&lt;$H$4:$H$21))+1+IF(ROW(H15)-ROW($H$4)=0,0,SUM(1*(H15=OFFSET($H$4,0,0,INDEX(ROW(H15)-ROW($H$4)+1,1)-1,1))))</f>
        <v>10</v>
      </c>
      <c r="J15" s="312" t="s">
        <v>349</v>
      </c>
      <c r="K15">
        <f t="shared" si="6"/>
        <v>1</v>
      </c>
      <c r="L15">
        <f t="shared" si="2"/>
        <v>1</v>
      </c>
      <c r="M15">
        <f t="shared" si="3"/>
        <v>0</v>
      </c>
    </row>
    <row r="16" spans="1:13" ht="13.5" x14ac:dyDescent="0.25">
      <c r="B16" s="318" t="s">
        <v>377</v>
      </c>
      <c r="C16" s="315">
        <f>'Reporting Worksheet'!E63</f>
        <v>3</v>
      </c>
      <c r="D16" s="316">
        <v>1</v>
      </c>
      <c r="E16" s="317">
        <f t="shared" si="4"/>
        <v>1.4084507042253522</v>
      </c>
      <c r="F16" s="317">
        <f t="shared" si="5"/>
        <v>0.14084507042253522</v>
      </c>
      <c r="G16" s="313">
        <f t="shared" si="0"/>
        <v>0.42253521126760563</v>
      </c>
      <c r="H16" s="314">
        <f t="shared" si="1"/>
        <v>0.98591549295774661</v>
      </c>
      <c r="I16">
        <f t="array" aca="1" ref="I16" ca="1">SUM(1*(H16&lt;$H$4:$H$21))+1+IF(ROW(H16)-ROW($H$4)=0,0,SUM(1*(H16=OFFSET($H$4,0,0,INDEX(ROW(H16)-ROW($H$4)+1,1)-1,1))))</f>
        <v>11</v>
      </c>
      <c r="J16" s="312" t="s">
        <v>326</v>
      </c>
      <c r="K16">
        <f t="shared" si="6"/>
        <v>1</v>
      </c>
      <c r="L16">
        <f t="shared" si="2"/>
        <v>1</v>
      </c>
      <c r="M16">
        <f t="shared" si="3"/>
        <v>0</v>
      </c>
    </row>
    <row r="17" spans="2:13" ht="13.5" x14ac:dyDescent="0.25">
      <c r="B17" s="318" t="s">
        <v>107</v>
      </c>
      <c r="C17" s="315">
        <f>IF('Reporting Worksheet'!E65="n/a",0,'Reporting Worksheet'!E65)</f>
        <v>3</v>
      </c>
      <c r="D17" s="316">
        <v>1</v>
      </c>
      <c r="E17" s="317">
        <f t="shared" si="4"/>
        <v>1.4084507042253522</v>
      </c>
      <c r="F17" s="317">
        <f t="shared" si="5"/>
        <v>0.14084507042253522</v>
      </c>
      <c r="G17" s="313">
        <f t="shared" si="0"/>
        <v>0.42253521126760563</v>
      </c>
      <c r="H17" s="314">
        <f t="shared" si="1"/>
        <v>0.98591549295774661</v>
      </c>
      <c r="I17">
        <f t="array" aca="1" ref="I17" ca="1">SUM(1*(H17&lt;$H$4:$H$21))+1+IF(ROW(H17)-ROW($H$4)=0,0,SUM(1*(H17=OFFSET($H$4,0,0,INDEX(ROW(H17)-ROW($H$4)+1,1)-1,1))))</f>
        <v>12</v>
      </c>
      <c r="J17" s="312" t="s">
        <v>106</v>
      </c>
      <c r="K17">
        <f t="shared" si="6"/>
        <v>1</v>
      </c>
      <c r="L17">
        <f t="shared" si="2"/>
        <v>1</v>
      </c>
      <c r="M17">
        <f t="shared" si="3"/>
        <v>0</v>
      </c>
    </row>
    <row r="18" spans="2:13" ht="13.5" x14ac:dyDescent="0.25">
      <c r="B18" s="318" t="s">
        <v>389</v>
      </c>
      <c r="C18" s="315">
        <f>'Reporting Worksheet'!E67</f>
        <v>2</v>
      </c>
      <c r="D18" s="316">
        <v>1</v>
      </c>
      <c r="E18" s="317">
        <f t="shared" si="4"/>
        <v>1.4084507042253522</v>
      </c>
      <c r="F18" s="317">
        <f t="shared" si="5"/>
        <v>0.14084507042253522</v>
      </c>
      <c r="G18" s="313">
        <f t="shared" si="0"/>
        <v>0.28169014084507044</v>
      </c>
      <c r="H18" s="314">
        <f t="shared" si="1"/>
        <v>1.1267605633802817</v>
      </c>
      <c r="I18">
        <f t="array" aca="1" ref="I18" ca="1">SUM(1*(H18&lt;$H$4:$H$21))+1+IF(ROW(H18)-ROW($H$4)=0,0,SUM(1*(H18=OFFSET($H$4,0,0,INDEX(ROW(H18)-ROW($H$4)+1,1)-1,1))))</f>
        <v>9</v>
      </c>
      <c r="J18" s="312" t="s">
        <v>488</v>
      </c>
      <c r="K18">
        <f t="shared" si="6"/>
        <v>1</v>
      </c>
      <c r="L18">
        <f t="shared" si="2"/>
        <v>1</v>
      </c>
      <c r="M18">
        <f t="shared" si="3"/>
        <v>0</v>
      </c>
    </row>
    <row r="19" spans="2:13" ht="13.5" x14ac:dyDescent="0.25">
      <c r="B19" s="318" t="s">
        <v>390</v>
      </c>
      <c r="C19" s="315">
        <f>'Reporting Worksheet'!E74</f>
        <v>8</v>
      </c>
      <c r="D19" s="316">
        <v>6</v>
      </c>
      <c r="E19" s="317">
        <f t="shared" si="4"/>
        <v>8.4507042253521139</v>
      </c>
      <c r="F19" s="317">
        <f t="shared" si="5"/>
        <v>0.84507042253521136</v>
      </c>
      <c r="G19" s="313">
        <f t="shared" si="0"/>
        <v>6.7605633802816909</v>
      </c>
      <c r="H19" s="314">
        <f t="shared" si="1"/>
        <v>1.6901408450704229</v>
      </c>
      <c r="I19">
        <f t="array" aca="1" ref="I19" ca="1">SUM(1*(H19&lt;$H$4:$H$21))+1+IF(ROW(H19)-ROW($H$4)=0,0,SUM(1*(H19=OFFSET($H$4,0,0,INDEX(ROW(H19)-ROW($H$4)+1,1)-1,1))))</f>
        <v>6</v>
      </c>
      <c r="J19" s="312" t="s">
        <v>327</v>
      </c>
      <c r="K19">
        <f t="shared" si="6"/>
        <v>1</v>
      </c>
      <c r="L19">
        <f t="shared" si="2"/>
        <v>1</v>
      </c>
      <c r="M19">
        <f t="shared" si="3"/>
        <v>0</v>
      </c>
    </row>
    <row r="20" spans="2:13" ht="13.5" x14ac:dyDescent="0.25">
      <c r="B20" s="318" t="s">
        <v>378</v>
      </c>
      <c r="C20" s="315">
        <f>'Reporting Worksheet'!E75</f>
        <v>8</v>
      </c>
      <c r="D20" s="316">
        <v>6</v>
      </c>
      <c r="E20" s="317">
        <f t="shared" si="4"/>
        <v>8.4507042253521139</v>
      </c>
      <c r="F20" s="317">
        <f t="shared" si="5"/>
        <v>0.84507042253521136</v>
      </c>
      <c r="G20" s="313">
        <f t="shared" si="0"/>
        <v>6.7605633802816909</v>
      </c>
      <c r="H20" s="314">
        <f t="shared" si="1"/>
        <v>1.6901408450704229</v>
      </c>
      <c r="I20">
        <f t="array" aca="1" ref="I20" ca="1">SUM(1*(H20&lt;$H$4:$H$21))+1+IF(ROW(H20)-ROW($H$4)=0,0,SUM(1*(H20=OFFSET($H$4,0,0,INDEX(ROW(H20)-ROW($H$4)+1,1)-1,1))))</f>
        <v>7</v>
      </c>
      <c r="J20" s="312" t="s">
        <v>376</v>
      </c>
      <c r="K20">
        <f t="shared" si="6"/>
        <v>1</v>
      </c>
      <c r="L20">
        <f t="shared" si="2"/>
        <v>1</v>
      </c>
      <c r="M20">
        <f t="shared" si="3"/>
        <v>0</v>
      </c>
    </row>
    <row r="21" spans="2:13" ht="13.5" x14ac:dyDescent="0.25">
      <c r="B21" s="318" t="s">
        <v>379</v>
      </c>
      <c r="C21" s="315">
        <f>IF('Reporting Worksheet'!E76="n/a",0,'Reporting Worksheet'!E76)</f>
        <v>8</v>
      </c>
      <c r="D21" s="316">
        <v>6</v>
      </c>
      <c r="E21" s="317">
        <f t="shared" si="4"/>
        <v>8.4507042253521139</v>
      </c>
      <c r="F21" s="317">
        <f t="shared" si="5"/>
        <v>0.84507042253521136</v>
      </c>
      <c r="G21" s="313">
        <f t="shared" si="0"/>
        <v>6.7605633802816909</v>
      </c>
      <c r="H21" s="314">
        <f t="shared" si="1"/>
        <v>1.6901408450704229</v>
      </c>
      <c r="I21">
        <f t="array" aca="1" ref="I21" ca="1">SUM(1*(H21&lt;$H$4:$H$21))+1+IF(ROW(H21)-ROW($H$4)=0,0,SUM(1*(H21=OFFSET($H$4,0,0,INDEX(ROW(H21)-ROW($H$4)+1,1)-1,1))))</f>
        <v>8</v>
      </c>
      <c r="J21" s="312" t="s">
        <v>33</v>
      </c>
      <c r="K21">
        <f t="shared" si="6"/>
        <v>1</v>
      </c>
      <c r="L21">
        <f t="shared" si="2"/>
        <v>1</v>
      </c>
      <c r="M21">
        <f t="shared" si="3"/>
        <v>0</v>
      </c>
    </row>
    <row r="22" spans="2:13" x14ac:dyDescent="0.2">
      <c r="D22" s="311">
        <f>SUM(D4:D21)</f>
        <v>71</v>
      </c>
      <c r="E22" s="311">
        <f>SUM(E4:E21)</f>
        <v>100.00000000000003</v>
      </c>
      <c r="F22" s="311">
        <f>SUM(F4:F21)</f>
        <v>10</v>
      </c>
      <c r="G22" s="321">
        <f>SUM(G4:G21)</f>
        <v>64.788732394366207</v>
      </c>
      <c r="M22" s="320">
        <f>SUM(M4:M21)</f>
        <v>0</v>
      </c>
    </row>
    <row r="23" spans="2:13" x14ac:dyDescent="0.2">
      <c r="D23" s="310">
        <f>D22/100</f>
        <v>0.71</v>
      </c>
      <c r="M23" s="319"/>
    </row>
    <row r="25" spans="2:13" x14ac:dyDescent="0.2">
      <c r="B25" s="333" t="s">
        <v>175</v>
      </c>
      <c r="L25">
        <f>IF(SUM('Reporting Worksheet'!P26,'Reporting Worksheet'!P38)=2,2,IF(SUM('Reporting Worksheet'!P26,'Reporting Worksheet'!P38)=3,1,0))</f>
        <v>2</v>
      </c>
      <c r="M25" t="s">
        <v>395</v>
      </c>
    </row>
  </sheetData>
  <sheetProtection password="E218" sheet="1" objects="1" scenarios="1"/>
  <phoneticPr fontId="59" type="noConversion"/>
  <conditionalFormatting sqref="B4:H21">
    <cfRule type="expression" dxfId="114" priority="1" stopIfTrue="1">
      <formula>$I4=1</formula>
    </cfRule>
    <cfRule type="expression" dxfId="113" priority="2" stopIfTrue="1">
      <formula>$I4=2</formula>
    </cfRule>
    <cfRule type="expression" dxfId="112" priority="3" stopIfTrue="1">
      <formula>$I4=3</formula>
    </cfRule>
  </conditionalFormatting>
  <conditionalFormatting sqref="I4:I21">
    <cfRule type="cellIs" dxfId="111" priority="4" stopIfTrue="1" operator="equal">
      <formula>1</formula>
    </cfRule>
    <cfRule type="cellIs" dxfId="110" priority="5" stopIfTrue="1" operator="equal">
      <formula>2</formula>
    </cfRule>
    <cfRule type="cellIs" dxfId="109" priority="6"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D9CF9-0773-457B-8D12-77DCC14ED3AC}">
  <sheetPr codeName="Sheet8">
    <tabColor indexed="48"/>
  </sheetPr>
  <dimension ref="A1:S167"/>
  <sheetViews>
    <sheetView showGridLines="0" showRowColHeaders="0" view="pageBreakPreview" zoomScaleNormal="75" workbookViewId="0">
      <pane xSplit="3" ySplit="8" topLeftCell="D9" activePane="bottomRight" state="frozen"/>
      <selection pane="topRight" activeCell="D1" sqref="D1"/>
      <selection pane="bottomLeft" activeCell="A9" sqref="A9"/>
      <selection pane="bottomRight"/>
    </sheetView>
  </sheetViews>
  <sheetFormatPr defaultColWidth="0" defaultRowHeight="13.5" customHeight="1" zeroHeight="1" x14ac:dyDescent="0.25"/>
  <cols>
    <col min="1" max="1" width="1.42578125" style="418" customWidth="1"/>
    <col min="2" max="2" width="1.7109375" style="418" customWidth="1"/>
    <col min="3" max="3" width="20.42578125" style="104" customWidth="1"/>
    <col min="4" max="4" width="13.5703125" style="104" customWidth="1"/>
    <col min="5" max="5" width="20.85546875" style="104" customWidth="1"/>
    <col min="6" max="6" width="22.85546875" style="104" customWidth="1"/>
    <col min="7" max="7" width="8.7109375" style="104" customWidth="1"/>
    <col min="8" max="8" width="22.85546875" style="104" customWidth="1"/>
    <col min="9" max="9" width="8.7109375" style="104" customWidth="1"/>
    <col min="10" max="10" width="22.85546875" style="104" customWidth="1"/>
    <col min="11" max="11" width="8.7109375" style="104" customWidth="1"/>
    <col min="12" max="12" width="22.85546875" style="104" customWidth="1"/>
    <col min="13" max="13" width="8.7109375" style="104" customWidth="1"/>
    <col min="14" max="14" width="22.85546875" style="104" customWidth="1"/>
    <col min="15" max="15" width="1.42578125" style="104" customWidth="1"/>
    <col min="16" max="16" width="1.42578125" style="133" customWidth="1"/>
    <col min="17" max="17" width="3.85546875" style="104" hidden="1" customWidth="1"/>
    <col min="18" max="18" width="34.7109375" style="113" hidden="1" customWidth="1"/>
    <col min="19" max="19" width="0" style="419" hidden="1" customWidth="1"/>
    <col min="20" max="16384" width="0" style="104" hidden="1"/>
  </cols>
  <sheetData>
    <row r="1" spans="1:19" s="113" customFormat="1" ht="8.25" customHeight="1" thickBot="1" x14ac:dyDescent="0.3">
      <c r="A1" s="418"/>
      <c r="B1" s="418"/>
      <c r="P1" s="133"/>
      <c r="S1" s="419"/>
    </row>
    <row r="2" spans="1:19" ht="36.75" customHeight="1" thickTop="1" thickBot="1" x14ac:dyDescent="0.3">
      <c r="B2" s="420"/>
      <c r="C2" s="583" t="s">
        <v>494</v>
      </c>
      <c r="D2" s="584"/>
      <c r="E2" s="584"/>
      <c r="F2" s="585"/>
      <c r="G2" s="585"/>
      <c r="H2" s="585"/>
      <c r="I2" s="585"/>
      <c r="J2" s="585"/>
      <c r="K2" s="585"/>
      <c r="L2" s="585"/>
      <c r="M2" s="421"/>
      <c r="N2" s="421"/>
      <c r="O2" s="422"/>
      <c r="P2" s="423"/>
    </row>
    <row r="3" spans="1:19" ht="4.5" customHeight="1" thickTop="1" thickBot="1" x14ac:dyDescent="0.3">
      <c r="B3" s="424"/>
      <c r="C3" s="4"/>
      <c r="D3" s="4"/>
      <c r="E3" s="4"/>
      <c r="F3" s="4"/>
      <c r="G3" s="4"/>
      <c r="H3" s="4"/>
      <c r="I3" s="4"/>
      <c r="J3" s="4"/>
      <c r="K3" s="4"/>
      <c r="L3" s="4"/>
      <c r="M3" s="4"/>
      <c r="N3" s="4"/>
      <c r="O3" s="137"/>
      <c r="P3" s="162"/>
      <c r="R3" s="425" t="str">
        <f ca="1">VLOOKUP(1,GradingAssessment!$I$4:$J$21,2,FALSE)&amp;":"</f>
        <v>Volume from own sources:</v>
      </c>
    </row>
    <row r="4" spans="1:19" ht="37.5" customHeight="1" thickBot="1" x14ac:dyDescent="0.3">
      <c r="B4" s="424"/>
      <c r="C4" s="586" t="s">
        <v>19</v>
      </c>
      <c r="D4" s="587"/>
      <c r="E4" s="587"/>
      <c r="F4" s="587"/>
      <c r="G4" s="587"/>
      <c r="H4" s="587"/>
      <c r="I4" s="587"/>
      <c r="J4" s="587"/>
      <c r="K4" s="587"/>
      <c r="L4" s="587"/>
      <c r="M4" s="587"/>
      <c r="N4" s="588"/>
      <c r="O4" s="137"/>
      <c r="P4" s="162"/>
      <c r="R4" s="426" t="str">
        <f ca="1">VLOOKUP(2,GradingAssessment!$I$4:$J$21,2,FALSE)&amp;":"</f>
        <v>Customer metering inaccuracies:</v>
      </c>
    </row>
    <row r="5" spans="1:19" ht="3.75" customHeight="1" thickBot="1" x14ac:dyDescent="0.3">
      <c r="B5" s="424"/>
      <c r="C5" s="13"/>
      <c r="D5" s="13"/>
      <c r="E5" s="13"/>
      <c r="F5" s="13"/>
      <c r="G5" s="13"/>
      <c r="H5" s="4"/>
      <c r="I5" s="4"/>
      <c r="J5" s="4"/>
      <c r="K5" s="4"/>
      <c r="L5" s="4"/>
      <c r="M5" s="4"/>
      <c r="N5" s="4"/>
      <c r="O5" s="137"/>
      <c r="P5" s="162"/>
      <c r="R5" s="427" t="str">
        <f ca="1">VLOOKUP(3,GradingAssessment!$I$4:$J$21,2,FALSE)&amp;":"</f>
        <v>Billed metered:</v>
      </c>
    </row>
    <row r="6" spans="1:19" ht="19.5" customHeight="1" thickTop="1" thickBot="1" x14ac:dyDescent="0.3">
      <c r="B6" s="424"/>
      <c r="C6" s="589" t="s">
        <v>396</v>
      </c>
      <c r="D6" s="590"/>
      <c r="E6" s="590"/>
      <c r="F6" s="591"/>
      <c r="G6" s="591"/>
      <c r="H6" s="591"/>
      <c r="I6" s="591"/>
      <c r="J6" s="591"/>
      <c r="K6" s="591"/>
      <c r="L6" s="591"/>
      <c r="M6" s="591"/>
      <c r="N6" s="592"/>
      <c r="O6" s="137"/>
      <c r="P6" s="162"/>
      <c r="R6" s="39"/>
    </row>
    <row r="7" spans="1:19" ht="15.75" customHeight="1" thickBot="1" x14ac:dyDescent="0.3">
      <c r="B7" s="424"/>
      <c r="C7" s="428"/>
      <c r="D7" s="429" t="s">
        <v>613</v>
      </c>
      <c r="E7" s="430">
        <v>1</v>
      </c>
      <c r="F7" s="430">
        <v>2</v>
      </c>
      <c r="G7" s="430">
        <v>3</v>
      </c>
      <c r="H7" s="430">
        <v>4</v>
      </c>
      <c r="I7" s="430">
        <v>5</v>
      </c>
      <c r="J7" s="430">
        <v>6</v>
      </c>
      <c r="K7" s="430">
        <v>7</v>
      </c>
      <c r="L7" s="430">
        <v>8</v>
      </c>
      <c r="M7" s="430">
        <v>9</v>
      </c>
      <c r="N7" s="430">
        <v>10</v>
      </c>
      <c r="O7" s="137"/>
      <c r="P7" s="162"/>
    </row>
    <row r="8" spans="1:19" ht="9.75" customHeight="1" x14ac:dyDescent="0.25">
      <c r="B8" s="424"/>
      <c r="C8" s="593"/>
      <c r="D8" s="594"/>
      <c r="E8" s="594"/>
      <c r="F8" s="594"/>
      <c r="G8" s="594"/>
      <c r="H8" s="594"/>
      <c r="I8" s="594"/>
      <c r="J8" s="594"/>
      <c r="K8" s="594"/>
      <c r="L8" s="594"/>
      <c r="M8" s="594"/>
      <c r="N8" s="595"/>
      <c r="O8" s="137"/>
      <c r="P8" s="162"/>
    </row>
    <row r="9" spans="1:19" s="442" customFormat="1" ht="122.25" customHeight="1" x14ac:dyDescent="0.2">
      <c r="A9" s="431"/>
      <c r="B9" s="432"/>
      <c r="C9" s="339" t="s">
        <v>380</v>
      </c>
      <c r="D9" s="433" t="s">
        <v>138</v>
      </c>
      <c r="E9" s="433" t="s">
        <v>139</v>
      </c>
      <c r="F9" s="434" t="s">
        <v>432</v>
      </c>
      <c r="G9" s="435" t="s">
        <v>40</v>
      </c>
      <c r="H9" s="434" t="s">
        <v>433</v>
      </c>
      <c r="I9" s="435" t="s">
        <v>41</v>
      </c>
      <c r="J9" s="434" t="s">
        <v>434</v>
      </c>
      <c r="K9" s="435" t="s">
        <v>42</v>
      </c>
      <c r="L9" s="434" t="s">
        <v>436</v>
      </c>
      <c r="M9" s="435" t="s">
        <v>43</v>
      </c>
      <c r="N9" s="436" t="s">
        <v>435</v>
      </c>
      <c r="O9" s="437"/>
      <c r="P9" s="438"/>
      <c r="Q9" s="439">
        <f>'Reporting Worksheet'!E14</f>
        <v>7</v>
      </c>
      <c r="R9" s="440">
        <f ca="1">IF(OR(C9=$R$3,C9=$R$4,C9=$R$5),1,0)</f>
        <v>1</v>
      </c>
      <c r="S9" s="441"/>
    </row>
    <row r="10" spans="1:19" s="442" customFormat="1" ht="99.75" customHeight="1" thickBot="1" x14ac:dyDescent="0.25">
      <c r="A10" s="431"/>
      <c r="B10" s="432"/>
      <c r="C10" s="340" t="s">
        <v>140</v>
      </c>
      <c r="D10" s="378"/>
      <c r="E10" s="443" t="s">
        <v>575</v>
      </c>
      <c r="F10" s="571" t="s">
        <v>576</v>
      </c>
      <c r="G10" s="578"/>
      <c r="H10" s="571" t="s">
        <v>577</v>
      </c>
      <c r="I10" s="579"/>
      <c r="J10" s="571" t="s">
        <v>290</v>
      </c>
      <c r="K10" s="572"/>
      <c r="L10" s="571" t="s">
        <v>291</v>
      </c>
      <c r="M10" s="572"/>
      <c r="N10" s="444" t="s">
        <v>292</v>
      </c>
      <c r="O10" s="437"/>
      <c r="P10" s="438"/>
      <c r="Q10" s="439">
        <f>Q9</f>
        <v>7</v>
      </c>
      <c r="R10" s="440"/>
      <c r="S10" s="441"/>
    </row>
    <row r="11" spans="1:19" s="442" customFormat="1" ht="136.5" customHeight="1" x14ac:dyDescent="0.2">
      <c r="A11" s="431"/>
      <c r="B11" s="432"/>
      <c r="C11" s="339" t="s">
        <v>381</v>
      </c>
      <c r="D11" s="433" t="s">
        <v>141</v>
      </c>
      <c r="E11" s="433" t="s">
        <v>293</v>
      </c>
      <c r="F11" s="434" t="s">
        <v>375</v>
      </c>
      <c r="G11" s="435" t="s">
        <v>40</v>
      </c>
      <c r="H11" s="434" t="s">
        <v>294</v>
      </c>
      <c r="I11" s="435" t="s">
        <v>41</v>
      </c>
      <c r="J11" s="434" t="s">
        <v>624</v>
      </c>
      <c r="K11" s="435" t="s">
        <v>42</v>
      </c>
      <c r="L11" s="434" t="s">
        <v>625</v>
      </c>
      <c r="M11" s="435" t="s">
        <v>43</v>
      </c>
      <c r="N11" s="436" t="s">
        <v>36</v>
      </c>
      <c r="O11" s="437"/>
      <c r="P11" s="438"/>
      <c r="Q11" s="439">
        <f>'Reporting Worksheet'!E15</f>
        <v>1</v>
      </c>
      <c r="R11" s="440">
        <f ca="1">IF(OR(C11=$R$3,C11=$R$4,C11=$R$5),1,0)</f>
        <v>0</v>
      </c>
      <c r="S11" s="441"/>
    </row>
    <row r="12" spans="1:19" s="442" customFormat="1" ht="107.25" customHeight="1" thickBot="1" x14ac:dyDescent="0.25">
      <c r="A12" s="431"/>
      <c r="B12" s="432"/>
      <c r="C12" s="340" t="s">
        <v>142</v>
      </c>
      <c r="D12" s="378"/>
      <c r="E12" s="443" t="s">
        <v>459</v>
      </c>
      <c r="F12" s="571" t="s">
        <v>128</v>
      </c>
      <c r="G12" s="578"/>
      <c r="H12" s="571" t="s">
        <v>460</v>
      </c>
      <c r="I12" s="579"/>
      <c r="J12" s="571" t="s">
        <v>626</v>
      </c>
      <c r="K12" s="572"/>
      <c r="L12" s="571" t="s">
        <v>304</v>
      </c>
      <c r="M12" s="572"/>
      <c r="N12" s="444" t="s">
        <v>364</v>
      </c>
      <c r="O12" s="437"/>
      <c r="P12" s="438"/>
      <c r="Q12" s="439">
        <f>Q11</f>
        <v>1</v>
      </c>
      <c r="R12" s="440"/>
      <c r="S12" s="441"/>
    </row>
    <row r="13" spans="1:19" s="442" customFormat="1" ht="97.5" customHeight="1" x14ac:dyDescent="0.2">
      <c r="A13" s="431"/>
      <c r="B13" s="432"/>
      <c r="C13" s="339" t="s">
        <v>286</v>
      </c>
      <c r="D13" s="433" t="s">
        <v>566</v>
      </c>
      <c r="E13" s="433" t="s">
        <v>567</v>
      </c>
      <c r="F13" s="434" t="s">
        <v>568</v>
      </c>
      <c r="G13" s="435" t="s">
        <v>40</v>
      </c>
      <c r="H13" s="434" t="s">
        <v>546</v>
      </c>
      <c r="I13" s="435" t="s">
        <v>41</v>
      </c>
      <c r="J13" s="434" t="s">
        <v>544</v>
      </c>
      <c r="K13" s="435" t="s">
        <v>42</v>
      </c>
      <c r="L13" s="434" t="s">
        <v>130</v>
      </c>
      <c r="M13" s="435" t="s">
        <v>43</v>
      </c>
      <c r="N13" s="436" t="s">
        <v>571</v>
      </c>
      <c r="O13" s="437"/>
      <c r="P13" s="438"/>
      <c r="Q13" s="439" t="str">
        <f>'Reporting Worksheet'!E16</f>
        <v>n/a</v>
      </c>
      <c r="R13" s="440">
        <f ca="1">IF(OR(C13=$R$3,C13=$R$4,C13=$R$5),1,0)</f>
        <v>0</v>
      </c>
      <c r="S13" s="441"/>
    </row>
    <row r="14" spans="1:19" s="442" customFormat="1" ht="118.5" customHeight="1" thickBot="1" x14ac:dyDescent="0.25">
      <c r="A14" s="431"/>
      <c r="B14" s="432"/>
      <c r="C14" s="340" t="s">
        <v>211</v>
      </c>
      <c r="D14" s="378"/>
      <c r="E14" s="443" t="s">
        <v>604</v>
      </c>
      <c r="F14" s="571" t="s">
        <v>605</v>
      </c>
      <c r="G14" s="578"/>
      <c r="H14" s="571" t="s">
        <v>606</v>
      </c>
      <c r="I14" s="579"/>
      <c r="J14" s="571" t="s">
        <v>131</v>
      </c>
      <c r="K14" s="572"/>
      <c r="L14" s="571" t="s">
        <v>291</v>
      </c>
      <c r="M14" s="572"/>
      <c r="N14" s="444" t="s">
        <v>292</v>
      </c>
      <c r="O14" s="437"/>
      <c r="P14" s="438"/>
      <c r="Q14" s="439" t="str">
        <f>Q13</f>
        <v>n/a</v>
      </c>
      <c r="R14" s="440"/>
      <c r="S14" s="441"/>
    </row>
    <row r="15" spans="1:19" s="442" customFormat="1" ht="99.75" customHeight="1" x14ac:dyDescent="0.2">
      <c r="A15" s="431"/>
      <c r="B15" s="432"/>
      <c r="C15" s="339" t="s">
        <v>287</v>
      </c>
      <c r="D15" s="433" t="s">
        <v>569</v>
      </c>
      <c r="E15" s="433" t="s">
        <v>570</v>
      </c>
      <c r="F15" s="434" t="s">
        <v>132</v>
      </c>
      <c r="G15" s="435" t="s">
        <v>40</v>
      </c>
      <c r="H15" s="434" t="s">
        <v>572</v>
      </c>
      <c r="I15" s="435" t="s">
        <v>41</v>
      </c>
      <c r="J15" s="434" t="s">
        <v>3</v>
      </c>
      <c r="K15" s="435" t="s">
        <v>42</v>
      </c>
      <c r="L15" s="434" t="s">
        <v>2</v>
      </c>
      <c r="M15" s="435" t="s">
        <v>43</v>
      </c>
      <c r="N15" s="436" t="s">
        <v>573</v>
      </c>
      <c r="O15" s="437"/>
      <c r="P15" s="438"/>
      <c r="Q15" s="439" t="str">
        <f>'Reporting Worksheet'!E17</f>
        <v>n/a</v>
      </c>
      <c r="R15" s="440">
        <f ca="1">IF(OR(C15=$R$3,C15=$R$4,C15=$R$5),1,0)</f>
        <v>0</v>
      </c>
      <c r="S15" s="441"/>
    </row>
    <row r="16" spans="1:19" s="442" customFormat="1" ht="109.5" customHeight="1" thickBot="1" x14ac:dyDescent="0.25">
      <c r="A16" s="431"/>
      <c r="B16" s="432"/>
      <c r="C16" s="340" t="s">
        <v>212</v>
      </c>
      <c r="D16" s="378"/>
      <c r="E16" s="443" t="s">
        <v>607</v>
      </c>
      <c r="F16" s="571" t="s">
        <v>608</v>
      </c>
      <c r="G16" s="578"/>
      <c r="H16" s="571" t="s">
        <v>609</v>
      </c>
      <c r="I16" s="579"/>
      <c r="J16" s="571" t="s">
        <v>133</v>
      </c>
      <c r="K16" s="572"/>
      <c r="L16" s="571" t="s">
        <v>291</v>
      </c>
      <c r="M16" s="572"/>
      <c r="N16" s="444" t="s">
        <v>292</v>
      </c>
      <c r="O16" s="437"/>
      <c r="P16" s="438"/>
      <c r="Q16" s="439" t="str">
        <f>Q15</f>
        <v>n/a</v>
      </c>
      <c r="R16" s="440"/>
      <c r="S16" s="441"/>
    </row>
    <row r="17" spans="1:19" s="448" customFormat="1" ht="22.5" customHeight="1" x14ac:dyDescent="0.25">
      <c r="A17" s="445"/>
      <c r="B17" s="446"/>
      <c r="C17" s="580" t="s">
        <v>194</v>
      </c>
      <c r="D17" s="581"/>
      <c r="E17" s="581"/>
      <c r="F17" s="581"/>
      <c r="G17" s="581"/>
      <c r="H17" s="581"/>
      <c r="I17" s="581"/>
      <c r="J17" s="581"/>
      <c r="K17" s="581"/>
      <c r="L17" s="581"/>
      <c r="M17" s="581"/>
      <c r="N17" s="582"/>
      <c r="O17" s="141"/>
      <c r="P17" s="447"/>
      <c r="R17" s="449"/>
      <c r="S17" s="450"/>
    </row>
    <row r="18" spans="1:19" s="442" customFormat="1" ht="221.25" customHeight="1" x14ac:dyDescent="0.2">
      <c r="A18" s="431"/>
      <c r="B18" s="432"/>
      <c r="C18" s="339" t="s">
        <v>382</v>
      </c>
      <c r="D18" s="433" t="s">
        <v>208</v>
      </c>
      <c r="E18" s="433" t="s">
        <v>366</v>
      </c>
      <c r="F18" s="434" t="s">
        <v>600</v>
      </c>
      <c r="G18" s="435" t="s">
        <v>40</v>
      </c>
      <c r="H18" s="434" t="s">
        <v>627</v>
      </c>
      <c r="I18" s="435" t="s">
        <v>41</v>
      </c>
      <c r="J18" s="434" t="s">
        <v>628</v>
      </c>
      <c r="K18" s="435" t="s">
        <v>42</v>
      </c>
      <c r="L18" s="434" t="s">
        <v>0</v>
      </c>
      <c r="M18" s="435" t="s">
        <v>43</v>
      </c>
      <c r="N18" s="436" t="s">
        <v>146</v>
      </c>
      <c r="O18" s="437"/>
      <c r="P18" s="438"/>
      <c r="Q18" s="439">
        <f>'Reporting Worksheet'!E23</f>
        <v>6</v>
      </c>
      <c r="R18" s="440">
        <f ca="1">IF(OR(C18=$R$3,C18=$R$4,C18=$R$5),1,0)</f>
        <v>1</v>
      </c>
      <c r="S18" s="441"/>
    </row>
    <row r="19" spans="1:19" s="442" customFormat="1" ht="175.5" customHeight="1" thickBot="1" x14ac:dyDescent="0.25">
      <c r="A19" s="431"/>
      <c r="B19" s="432"/>
      <c r="C19" s="340" t="s">
        <v>213</v>
      </c>
      <c r="D19" s="451" t="s">
        <v>214</v>
      </c>
      <c r="E19" s="443" t="s">
        <v>134</v>
      </c>
      <c r="F19" s="571" t="s">
        <v>1</v>
      </c>
      <c r="G19" s="578"/>
      <c r="H19" s="571" t="s">
        <v>518</v>
      </c>
      <c r="I19" s="579"/>
      <c r="J19" s="571" t="s">
        <v>519</v>
      </c>
      <c r="K19" s="572"/>
      <c r="L19" s="571" t="s">
        <v>135</v>
      </c>
      <c r="M19" s="572"/>
      <c r="N19" s="444" t="s">
        <v>520</v>
      </c>
      <c r="O19" s="437"/>
      <c r="P19" s="438"/>
      <c r="Q19" s="439">
        <f>Q18</f>
        <v>6</v>
      </c>
      <c r="R19" s="440"/>
      <c r="S19" s="441"/>
    </row>
    <row r="20" spans="1:19" s="442" customFormat="1" ht="203.25" customHeight="1" x14ac:dyDescent="0.2">
      <c r="A20" s="431"/>
      <c r="B20" s="432"/>
      <c r="C20" s="339" t="s">
        <v>383</v>
      </c>
      <c r="D20" s="433" t="s">
        <v>451</v>
      </c>
      <c r="E20" s="433" t="s">
        <v>522</v>
      </c>
      <c r="F20" s="434" t="s">
        <v>523</v>
      </c>
      <c r="G20" s="435" t="s">
        <v>40</v>
      </c>
      <c r="H20" s="434" t="s">
        <v>215</v>
      </c>
      <c r="I20" s="435" t="s">
        <v>41</v>
      </c>
      <c r="J20" s="434" t="s">
        <v>452</v>
      </c>
      <c r="K20" s="435" t="s">
        <v>42</v>
      </c>
      <c r="L20" s="434" t="s">
        <v>601</v>
      </c>
      <c r="M20" s="435" t="s">
        <v>43</v>
      </c>
      <c r="N20" s="436" t="s">
        <v>453</v>
      </c>
      <c r="O20" s="437"/>
      <c r="P20" s="438"/>
      <c r="Q20" s="439" t="str">
        <f>'Reporting Worksheet'!E24</f>
        <v>n/a</v>
      </c>
      <c r="R20" s="440">
        <f ca="1">IF(OR(C20=$R$3,C20=$R$4,C20=$R$5),1,0)</f>
        <v>0</v>
      </c>
      <c r="S20" s="452"/>
    </row>
    <row r="21" spans="1:19" s="442" customFormat="1" ht="135.75" customHeight="1" thickBot="1" x14ac:dyDescent="0.25">
      <c r="A21" s="431"/>
      <c r="B21" s="432"/>
      <c r="C21" s="340" t="s">
        <v>216</v>
      </c>
      <c r="D21" s="378"/>
      <c r="E21" s="443" t="s">
        <v>524</v>
      </c>
      <c r="F21" s="571" t="s">
        <v>90</v>
      </c>
      <c r="G21" s="572"/>
      <c r="H21" s="571" t="s">
        <v>610</v>
      </c>
      <c r="I21" s="572"/>
      <c r="J21" s="571" t="s">
        <v>454</v>
      </c>
      <c r="K21" s="572"/>
      <c r="L21" s="571" t="s">
        <v>147</v>
      </c>
      <c r="M21" s="572"/>
      <c r="N21" s="444" t="s">
        <v>611</v>
      </c>
      <c r="O21" s="437"/>
      <c r="P21" s="438"/>
      <c r="Q21" s="439" t="str">
        <f>Q20</f>
        <v>n/a</v>
      </c>
      <c r="R21" s="440"/>
      <c r="S21" s="441"/>
    </row>
    <row r="22" spans="1:19" s="442" customFormat="1" ht="202.5" customHeight="1" x14ac:dyDescent="0.2">
      <c r="A22" s="431"/>
      <c r="B22" s="432"/>
      <c r="C22" s="339" t="s">
        <v>384</v>
      </c>
      <c r="D22" s="433" t="s">
        <v>367</v>
      </c>
      <c r="E22" s="433" t="s">
        <v>54</v>
      </c>
      <c r="F22" s="434" t="s">
        <v>55</v>
      </c>
      <c r="G22" s="435" t="s">
        <v>40</v>
      </c>
      <c r="H22" s="434" t="s">
        <v>508</v>
      </c>
      <c r="I22" s="435" t="s">
        <v>41</v>
      </c>
      <c r="J22" s="434" t="s">
        <v>126</v>
      </c>
      <c r="K22" s="435" t="s">
        <v>42</v>
      </c>
      <c r="L22" s="434" t="s">
        <v>127</v>
      </c>
      <c r="M22" s="435" t="s">
        <v>43</v>
      </c>
      <c r="N22" s="436" t="s">
        <v>428</v>
      </c>
      <c r="O22" s="437"/>
      <c r="P22" s="438"/>
      <c r="Q22" s="439">
        <f>'Reporting Worksheet'!E25</f>
        <v>9</v>
      </c>
      <c r="R22" s="440">
        <f ca="1">IF(OR(C22=$R$3,C22=$R$4,C22=$R$5),1,0)</f>
        <v>0</v>
      </c>
      <c r="S22" s="441"/>
    </row>
    <row r="23" spans="1:19" s="442" customFormat="1" ht="158.25" thickBot="1" x14ac:dyDescent="0.25">
      <c r="A23" s="431"/>
      <c r="B23" s="432"/>
      <c r="C23" s="340" t="s">
        <v>217</v>
      </c>
      <c r="D23" s="378"/>
      <c r="E23" s="443" t="s">
        <v>509</v>
      </c>
      <c r="F23" s="571" t="s">
        <v>305</v>
      </c>
      <c r="G23" s="572"/>
      <c r="H23" s="571" t="s">
        <v>354</v>
      </c>
      <c r="I23" s="572"/>
      <c r="J23" s="571" t="s">
        <v>148</v>
      </c>
      <c r="K23" s="572"/>
      <c r="L23" s="571" t="s">
        <v>306</v>
      </c>
      <c r="M23" s="572"/>
      <c r="N23" s="444" t="s">
        <v>149</v>
      </c>
      <c r="O23" s="437"/>
      <c r="P23" s="438"/>
      <c r="Q23" s="439">
        <f>Q22</f>
        <v>9</v>
      </c>
      <c r="R23" s="440"/>
      <c r="S23" s="441"/>
    </row>
    <row r="24" spans="1:19" s="442" customFormat="1" ht="180.75" customHeight="1" x14ac:dyDescent="0.2">
      <c r="A24" s="431"/>
      <c r="B24" s="432"/>
      <c r="C24" s="339" t="s">
        <v>385</v>
      </c>
      <c r="D24" s="410"/>
      <c r="E24" s="433" t="s">
        <v>207</v>
      </c>
      <c r="F24" s="434" t="s">
        <v>218</v>
      </c>
      <c r="G24" s="435" t="s">
        <v>40</v>
      </c>
      <c r="H24" s="434" t="s">
        <v>307</v>
      </c>
      <c r="I24" s="435" t="s">
        <v>368</v>
      </c>
      <c r="J24" s="434" t="s">
        <v>296</v>
      </c>
      <c r="K24" s="435" t="s">
        <v>42</v>
      </c>
      <c r="L24" s="434" t="s">
        <v>167</v>
      </c>
      <c r="M24" s="435" t="s">
        <v>43</v>
      </c>
      <c r="N24" s="436" t="s">
        <v>411</v>
      </c>
      <c r="O24" s="437"/>
      <c r="P24" s="438"/>
      <c r="Q24" s="439">
        <f>'Reporting Worksheet'!E26</f>
        <v>0</v>
      </c>
      <c r="R24" s="440">
        <f ca="1">IF(OR(C24=$R$3,C24=$R$4,C24=$R$5),1,0)</f>
        <v>0</v>
      </c>
      <c r="S24" s="441"/>
    </row>
    <row r="25" spans="1:19" s="442" customFormat="1" ht="183.75" customHeight="1" thickBot="1" x14ac:dyDescent="0.25">
      <c r="A25" s="431"/>
      <c r="B25" s="432"/>
      <c r="C25" s="340" t="s">
        <v>455</v>
      </c>
      <c r="D25" s="378"/>
      <c r="E25" s="443" t="s">
        <v>308</v>
      </c>
      <c r="F25" s="571" t="s">
        <v>227</v>
      </c>
      <c r="G25" s="572"/>
      <c r="H25" s="443" t="s">
        <v>351</v>
      </c>
      <c r="I25" s="443" t="s">
        <v>355</v>
      </c>
      <c r="J25" s="571" t="s">
        <v>356</v>
      </c>
      <c r="K25" s="572"/>
      <c r="L25" s="571" t="s">
        <v>115</v>
      </c>
      <c r="M25" s="572"/>
      <c r="N25" s="444" t="s">
        <v>618</v>
      </c>
      <c r="O25" s="437"/>
      <c r="P25" s="438"/>
      <c r="Q25" s="439">
        <f>Q24</f>
        <v>0</v>
      </c>
      <c r="R25" s="440"/>
      <c r="S25" s="441"/>
    </row>
    <row r="26" spans="1:19" s="448" customFormat="1" ht="22.5" customHeight="1" x14ac:dyDescent="0.25">
      <c r="A26" s="445"/>
      <c r="B26" s="446"/>
      <c r="C26" s="580" t="s">
        <v>160</v>
      </c>
      <c r="D26" s="581"/>
      <c r="E26" s="581"/>
      <c r="F26" s="581"/>
      <c r="G26" s="581"/>
      <c r="H26" s="581"/>
      <c r="I26" s="581"/>
      <c r="J26" s="581"/>
      <c r="K26" s="581"/>
      <c r="L26" s="581"/>
      <c r="M26" s="581"/>
      <c r="N26" s="582"/>
      <c r="O26" s="141"/>
      <c r="P26" s="447"/>
      <c r="R26" s="449"/>
      <c r="S26" s="450"/>
    </row>
    <row r="27" spans="1:19" s="442" customFormat="1" ht="120" customHeight="1" x14ac:dyDescent="0.2">
      <c r="A27" s="431"/>
      <c r="B27" s="432"/>
      <c r="C27" s="339" t="s">
        <v>386</v>
      </c>
      <c r="D27" s="380"/>
      <c r="E27" s="433" t="s">
        <v>498</v>
      </c>
      <c r="F27" s="434" t="s">
        <v>538</v>
      </c>
      <c r="G27" s="435" t="s">
        <v>539</v>
      </c>
      <c r="H27" s="434" t="s">
        <v>412</v>
      </c>
      <c r="I27" s="435" t="s">
        <v>369</v>
      </c>
      <c r="J27" s="434" t="s">
        <v>297</v>
      </c>
      <c r="K27" s="435" t="s">
        <v>42</v>
      </c>
      <c r="L27" s="434" t="s">
        <v>525</v>
      </c>
      <c r="M27" s="435" t="s">
        <v>43</v>
      </c>
      <c r="N27" s="436" t="s">
        <v>370</v>
      </c>
      <c r="O27" s="437"/>
      <c r="P27" s="438"/>
      <c r="Q27" s="439">
        <f>'Reporting Worksheet'!E38</f>
        <v>0</v>
      </c>
      <c r="R27" s="440">
        <f ca="1">IF(OR(C27=$R$3,C27=$R$4,C27=$R$5),1,0)</f>
        <v>0</v>
      </c>
      <c r="S27" s="441"/>
    </row>
    <row r="28" spans="1:19" s="442" customFormat="1" ht="177.75" customHeight="1" thickBot="1" x14ac:dyDescent="0.25">
      <c r="A28" s="431"/>
      <c r="B28" s="432"/>
      <c r="C28" s="340" t="s">
        <v>456</v>
      </c>
      <c r="D28" s="381"/>
      <c r="E28" s="443" t="s">
        <v>169</v>
      </c>
      <c r="F28" s="571" t="s">
        <v>170</v>
      </c>
      <c r="G28" s="572"/>
      <c r="H28" s="443" t="s">
        <v>171</v>
      </c>
      <c r="I28" s="443" t="s">
        <v>355</v>
      </c>
      <c r="J28" s="571" t="s">
        <v>172</v>
      </c>
      <c r="K28" s="572"/>
      <c r="L28" s="571" t="s">
        <v>619</v>
      </c>
      <c r="M28" s="572"/>
      <c r="N28" s="444" t="s">
        <v>620</v>
      </c>
      <c r="O28" s="437"/>
      <c r="P28" s="438"/>
      <c r="Q28" s="439">
        <f>Q27</f>
        <v>0</v>
      </c>
      <c r="R28" s="440"/>
      <c r="S28" s="441"/>
    </row>
    <row r="29" spans="1:19" s="442" customFormat="1" ht="124.5" customHeight="1" x14ac:dyDescent="0.2">
      <c r="A29" s="431"/>
      <c r="B29" s="432"/>
      <c r="C29" s="339" t="s">
        <v>387</v>
      </c>
      <c r="D29" s="433" t="s">
        <v>602</v>
      </c>
      <c r="E29" s="433" t="s">
        <v>173</v>
      </c>
      <c r="F29" s="434" t="s">
        <v>457</v>
      </c>
      <c r="G29" s="435" t="s">
        <v>40</v>
      </c>
      <c r="H29" s="434" t="s">
        <v>174</v>
      </c>
      <c r="I29" s="435" t="s">
        <v>41</v>
      </c>
      <c r="J29" s="434" t="s">
        <v>437</v>
      </c>
      <c r="K29" s="435" t="s">
        <v>42</v>
      </c>
      <c r="L29" s="434" t="s">
        <v>371</v>
      </c>
      <c r="M29" s="435" t="s">
        <v>43</v>
      </c>
      <c r="N29" s="436" t="s">
        <v>450</v>
      </c>
      <c r="O29" s="437"/>
      <c r="P29" s="438"/>
      <c r="Q29" s="439">
        <f>'Reporting Worksheet'!E42</f>
        <v>3</v>
      </c>
      <c r="R29" s="440">
        <f ca="1">IF(OR(C29=$R$3,C29=$R$4,C29=$R$5),1,0)</f>
        <v>1</v>
      </c>
      <c r="S29" s="441"/>
    </row>
    <row r="30" spans="1:19" s="442" customFormat="1" ht="158.25" thickBot="1" x14ac:dyDescent="0.25">
      <c r="A30" s="431"/>
      <c r="B30" s="432"/>
      <c r="C30" s="340" t="s">
        <v>438</v>
      </c>
      <c r="D30" s="451" t="s">
        <v>214</v>
      </c>
      <c r="E30" s="443" t="s">
        <v>17</v>
      </c>
      <c r="F30" s="571" t="s">
        <v>136</v>
      </c>
      <c r="G30" s="572"/>
      <c r="H30" s="571" t="s">
        <v>621</v>
      </c>
      <c r="I30" s="572"/>
      <c r="J30" s="571" t="s">
        <v>622</v>
      </c>
      <c r="K30" s="572"/>
      <c r="L30" s="571" t="s">
        <v>309</v>
      </c>
      <c r="M30" s="572"/>
      <c r="N30" s="444" t="s">
        <v>310</v>
      </c>
      <c r="O30" s="437"/>
      <c r="P30" s="438"/>
      <c r="Q30" s="439">
        <f>Q29</f>
        <v>3</v>
      </c>
      <c r="R30" s="440"/>
      <c r="S30" s="441"/>
    </row>
    <row r="31" spans="1:19" s="442" customFormat="1" ht="173.25" customHeight="1" x14ac:dyDescent="0.2">
      <c r="A31" s="431"/>
      <c r="B31" s="432"/>
      <c r="C31" s="339" t="s">
        <v>288</v>
      </c>
      <c r="D31" s="433" t="s">
        <v>603</v>
      </c>
      <c r="E31" s="433" t="s">
        <v>541</v>
      </c>
      <c r="F31" s="434" t="s">
        <v>542</v>
      </c>
      <c r="G31" s="435" t="s">
        <v>40</v>
      </c>
      <c r="H31" s="434" t="s">
        <v>543</v>
      </c>
      <c r="I31" s="435" t="s">
        <v>41</v>
      </c>
      <c r="J31" s="434" t="s">
        <v>18</v>
      </c>
      <c r="K31" s="435" t="s">
        <v>42</v>
      </c>
      <c r="L31" s="434" t="s">
        <v>302</v>
      </c>
      <c r="M31" s="435" t="s">
        <v>43</v>
      </c>
      <c r="N31" s="436" t="s">
        <v>303</v>
      </c>
      <c r="O31" s="437"/>
      <c r="P31" s="438"/>
      <c r="Q31" s="439">
        <f>'Reporting Worksheet'!E43</f>
        <v>4</v>
      </c>
      <c r="R31" s="440">
        <f ca="1">IF(OR(C31=$R$3,C31=$R$4,C31=$R$5),1,0)</f>
        <v>0</v>
      </c>
      <c r="S31" s="441"/>
    </row>
    <row r="32" spans="1:19" s="442" customFormat="1" ht="135.75" customHeight="1" thickBot="1" x14ac:dyDescent="0.25">
      <c r="A32" s="431"/>
      <c r="B32" s="432"/>
      <c r="C32" s="340" t="s">
        <v>439</v>
      </c>
      <c r="D32" s="378"/>
      <c r="E32" s="443" t="s">
        <v>88</v>
      </c>
      <c r="F32" s="571" t="s">
        <v>209</v>
      </c>
      <c r="G32" s="572"/>
      <c r="H32" s="571" t="s">
        <v>60</v>
      </c>
      <c r="I32" s="572"/>
      <c r="J32" s="571" t="s">
        <v>210</v>
      </c>
      <c r="K32" s="572"/>
      <c r="L32" s="571" t="s">
        <v>337</v>
      </c>
      <c r="M32" s="572"/>
      <c r="N32" s="444" t="s">
        <v>89</v>
      </c>
      <c r="O32" s="437"/>
      <c r="P32" s="438"/>
      <c r="Q32" s="439">
        <f>Q31</f>
        <v>4</v>
      </c>
      <c r="R32" s="440"/>
      <c r="S32" s="441"/>
    </row>
    <row r="33" spans="1:19" s="448" customFormat="1" ht="18" customHeight="1" x14ac:dyDescent="0.25">
      <c r="A33" s="445"/>
      <c r="B33" s="446"/>
      <c r="C33" s="580" t="s">
        <v>29</v>
      </c>
      <c r="D33" s="581"/>
      <c r="E33" s="581"/>
      <c r="F33" s="581"/>
      <c r="G33" s="581"/>
      <c r="H33" s="581"/>
      <c r="I33" s="581"/>
      <c r="J33" s="581"/>
      <c r="K33" s="581"/>
      <c r="L33" s="581"/>
      <c r="M33" s="581"/>
      <c r="N33" s="582"/>
      <c r="O33" s="141"/>
      <c r="P33" s="447"/>
      <c r="R33" s="449"/>
      <c r="S33" s="450"/>
    </row>
    <row r="34" spans="1:19" s="442" customFormat="1" ht="107.25" customHeight="1" x14ac:dyDescent="0.2">
      <c r="A34" s="431"/>
      <c r="B34" s="432"/>
      <c r="C34" s="339" t="s">
        <v>388</v>
      </c>
      <c r="D34" s="410"/>
      <c r="E34" s="433" t="s">
        <v>298</v>
      </c>
      <c r="F34" s="434" t="s">
        <v>242</v>
      </c>
      <c r="G34" s="435" t="s">
        <v>40</v>
      </c>
      <c r="H34" s="434" t="s">
        <v>243</v>
      </c>
      <c r="I34" s="435" t="s">
        <v>41</v>
      </c>
      <c r="J34" s="434" t="s">
        <v>491</v>
      </c>
      <c r="K34" s="435" t="s">
        <v>42</v>
      </c>
      <c r="L34" s="434" t="s">
        <v>143</v>
      </c>
      <c r="M34" s="435" t="s">
        <v>43</v>
      </c>
      <c r="N34" s="436" t="s">
        <v>365</v>
      </c>
      <c r="O34" s="437"/>
      <c r="P34" s="438"/>
      <c r="Q34" s="439">
        <f>'Reporting Worksheet'!E62</f>
        <v>3</v>
      </c>
      <c r="R34" s="440">
        <f ca="1">IF(OR(C34=$R$3,C34=$R$4,C34=$R$5),1,0)</f>
        <v>0</v>
      </c>
      <c r="S34" s="441"/>
    </row>
    <row r="35" spans="1:19" s="442" customFormat="1" ht="153.75" customHeight="1" thickBot="1" x14ac:dyDescent="0.25">
      <c r="A35" s="431"/>
      <c r="B35" s="432"/>
      <c r="C35" s="340" t="s">
        <v>440</v>
      </c>
      <c r="D35" s="378"/>
      <c r="E35" s="443" t="s">
        <v>334</v>
      </c>
      <c r="F35" s="571" t="s">
        <v>145</v>
      </c>
      <c r="G35" s="572"/>
      <c r="H35" s="571" t="s">
        <v>547</v>
      </c>
      <c r="I35" s="572"/>
      <c r="J35" s="571" t="s">
        <v>548</v>
      </c>
      <c r="K35" s="572"/>
      <c r="L35" s="571" t="s">
        <v>549</v>
      </c>
      <c r="M35" s="572"/>
      <c r="N35" s="444" t="s">
        <v>550</v>
      </c>
      <c r="O35" s="437"/>
      <c r="P35" s="438"/>
      <c r="Q35" s="439">
        <f>Q34</f>
        <v>3</v>
      </c>
      <c r="R35" s="440"/>
      <c r="S35" s="441"/>
    </row>
    <row r="36" spans="1:19" s="442" customFormat="1" ht="146.25" x14ac:dyDescent="0.2">
      <c r="A36" s="431"/>
      <c r="B36" s="432"/>
      <c r="C36" s="339" t="s">
        <v>377</v>
      </c>
      <c r="D36" s="410"/>
      <c r="E36" s="433" t="s">
        <v>61</v>
      </c>
      <c r="F36" s="434" t="s">
        <v>62</v>
      </c>
      <c r="G36" s="435" t="s">
        <v>40</v>
      </c>
      <c r="H36" s="434" t="s">
        <v>87</v>
      </c>
      <c r="I36" s="435" t="s">
        <v>41</v>
      </c>
      <c r="J36" s="434" t="s">
        <v>441</v>
      </c>
      <c r="K36" s="435" t="s">
        <v>42</v>
      </c>
      <c r="L36" s="434" t="s">
        <v>574</v>
      </c>
      <c r="M36" s="435" t="s">
        <v>43</v>
      </c>
      <c r="N36" s="436" t="s">
        <v>335</v>
      </c>
      <c r="O36" s="437"/>
      <c r="P36" s="438"/>
      <c r="Q36" s="439">
        <f>'Reporting Worksheet'!E63</f>
        <v>3</v>
      </c>
      <c r="R36" s="440">
        <f ca="1">IF(OR(C36=$R$3,C36=$R$4,C36=$R$5),1,0)</f>
        <v>0</v>
      </c>
      <c r="S36" s="441"/>
    </row>
    <row r="37" spans="1:19" s="442" customFormat="1" ht="120.75" customHeight="1" thickBot="1" x14ac:dyDescent="0.25">
      <c r="A37" s="431"/>
      <c r="B37" s="432"/>
      <c r="C37" s="340" t="s">
        <v>442</v>
      </c>
      <c r="D37" s="378"/>
      <c r="E37" s="443" t="s">
        <v>551</v>
      </c>
      <c r="F37" s="571" t="s">
        <v>96</v>
      </c>
      <c r="G37" s="572"/>
      <c r="H37" s="571" t="s">
        <v>97</v>
      </c>
      <c r="I37" s="572"/>
      <c r="J37" s="571" t="s">
        <v>552</v>
      </c>
      <c r="K37" s="572"/>
      <c r="L37" s="571" t="s">
        <v>623</v>
      </c>
      <c r="M37" s="572"/>
      <c r="N37" s="444" t="s">
        <v>550</v>
      </c>
      <c r="O37" s="437"/>
      <c r="P37" s="438"/>
      <c r="Q37" s="439">
        <f>Q36</f>
        <v>3</v>
      </c>
      <c r="R37" s="440"/>
      <c r="S37" s="441"/>
    </row>
    <row r="38" spans="1:19" s="442" customFormat="1" ht="51.75" customHeight="1" x14ac:dyDescent="0.2">
      <c r="A38" s="431"/>
      <c r="B38" s="432"/>
      <c r="C38" s="567" t="s">
        <v>107</v>
      </c>
      <c r="D38" s="569" t="s">
        <v>614</v>
      </c>
      <c r="E38" s="575" t="s">
        <v>517</v>
      </c>
      <c r="F38" s="576"/>
      <c r="G38" s="576"/>
      <c r="H38" s="576"/>
      <c r="I38" s="576"/>
      <c r="J38" s="576"/>
      <c r="K38" s="576"/>
      <c r="L38" s="576"/>
      <c r="M38" s="577"/>
      <c r="N38" s="573" t="s">
        <v>238</v>
      </c>
      <c r="O38" s="437"/>
      <c r="P38" s="438"/>
      <c r="Q38" s="439">
        <f>Q39</f>
        <v>3</v>
      </c>
      <c r="R38" s="440">
        <f ca="1">IF(OR(C38=$R$3,C38=$R$4,C38=$R$5),1,0)</f>
        <v>0</v>
      </c>
      <c r="S38" s="441"/>
    </row>
    <row r="39" spans="1:19" s="442" customFormat="1" ht="206.25" customHeight="1" x14ac:dyDescent="0.2">
      <c r="A39" s="431"/>
      <c r="B39" s="432"/>
      <c r="C39" s="568"/>
      <c r="D39" s="570"/>
      <c r="E39" s="433" t="s">
        <v>336</v>
      </c>
      <c r="F39" s="434" t="s">
        <v>429</v>
      </c>
      <c r="G39" s="435" t="s">
        <v>40</v>
      </c>
      <c r="H39" s="434" t="s">
        <v>464</v>
      </c>
      <c r="I39" s="435" t="s">
        <v>41</v>
      </c>
      <c r="J39" s="434" t="s">
        <v>447</v>
      </c>
      <c r="K39" s="435" t="s">
        <v>42</v>
      </c>
      <c r="L39" s="434" t="s">
        <v>129</v>
      </c>
      <c r="M39" s="435" t="s">
        <v>43</v>
      </c>
      <c r="N39" s="574"/>
      <c r="O39" s="437"/>
      <c r="P39" s="438"/>
      <c r="Q39" s="439">
        <f>'Reporting Worksheet'!E65</f>
        <v>3</v>
      </c>
      <c r="R39" s="440">
        <f ca="1">IF(OR(C39=$R$3,C39=$R$4,C39=$R$5),1,0)</f>
        <v>0</v>
      </c>
      <c r="S39" s="441"/>
    </row>
    <row r="40" spans="1:19" s="442" customFormat="1" ht="113.25" customHeight="1" thickBot="1" x14ac:dyDescent="0.25">
      <c r="A40" s="431"/>
      <c r="B40" s="432"/>
      <c r="C40" s="340" t="s">
        <v>448</v>
      </c>
      <c r="D40" s="378"/>
      <c r="E40" s="443" t="s">
        <v>357</v>
      </c>
      <c r="F40" s="571" t="s">
        <v>449</v>
      </c>
      <c r="G40" s="572"/>
      <c r="H40" s="571" t="s">
        <v>358</v>
      </c>
      <c r="I40" s="572"/>
      <c r="J40" s="571" t="s">
        <v>359</v>
      </c>
      <c r="K40" s="572"/>
      <c r="L40" s="571" t="s">
        <v>360</v>
      </c>
      <c r="M40" s="572"/>
      <c r="N40" s="444" t="s">
        <v>550</v>
      </c>
      <c r="O40" s="437"/>
      <c r="P40" s="438"/>
      <c r="Q40" s="439">
        <f>Q39</f>
        <v>3</v>
      </c>
      <c r="R40" s="440"/>
      <c r="S40" s="441"/>
    </row>
    <row r="41" spans="1:19" s="442" customFormat="1" ht="221.25" customHeight="1" x14ac:dyDescent="0.2">
      <c r="A41" s="431"/>
      <c r="B41" s="432"/>
      <c r="C41" s="339" t="s">
        <v>389</v>
      </c>
      <c r="D41" s="382"/>
      <c r="E41" s="433" t="s">
        <v>557</v>
      </c>
      <c r="F41" s="434" t="s">
        <v>430</v>
      </c>
      <c r="G41" s="435" t="s">
        <v>40</v>
      </c>
      <c r="H41" s="434" t="s">
        <v>241</v>
      </c>
      <c r="I41" s="435" t="s">
        <v>41</v>
      </c>
      <c r="J41" s="434" t="s">
        <v>556</v>
      </c>
      <c r="K41" s="435" t="s">
        <v>42</v>
      </c>
      <c r="L41" s="434" t="s">
        <v>352</v>
      </c>
      <c r="M41" s="435" t="s">
        <v>43</v>
      </c>
      <c r="N41" s="436" t="s">
        <v>163</v>
      </c>
      <c r="O41" s="437"/>
      <c r="P41" s="438"/>
      <c r="Q41" s="439">
        <f>'Reporting Worksheet'!E67</f>
        <v>2</v>
      </c>
      <c r="R41" s="440">
        <f ca="1">IF(OR(C41=$R$3,C41=$R$4,C41=$R$5),1,0)</f>
        <v>0</v>
      </c>
      <c r="S41" s="441"/>
    </row>
    <row r="42" spans="1:19" s="442" customFormat="1" ht="161.25" customHeight="1" thickBot="1" x14ac:dyDescent="0.25">
      <c r="A42" s="431"/>
      <c r="B42" s="432"/>
      <c r="C42" s="340" t="s">
        <v>164</v>
      </c>
      <c r="D42" s="379"/>
      <c r="E42" s="443" t="s">
        <v>295</v>
      </c>
      <c r="F42" s="596" t="s">
        <v>540</v>
      </c>
      <c r="G42" s="597"/>
      <c r="H42" s="596" t="s">
        <v>165</v>
      </c>
      <c r="I42" s="597"/>
      <c r="J42" s="596" t="s">
        <v>463</v>
      </c>
      <c r="K42" s="597"/>
      <c r="L42" s="596" t="s">
        <v>361</v>
      </c>
      <c r="M42" s="597"/>
      <c r="N42" s="444" t="s">
        <v>612</v>
      </c>
      <c r="O42" s="437"/>
      <c r="P42" s="438"/>
      <c r="Q42" s="439">
        <f>Q41</f>
        <v>2</v>
      </c>
      <c r="R42" s="440"/>
      <c r="S42" s="441"/>
    </row>
    <row r="43" spans="1:19" s="448" customFormat="1" ht="23.25" customHeight="1" x14ac:dyDescent="0.25">
      <c r="A43" s="445"/>
      <c r="B43" s="446"/>
      <c r="C43" s="580" t="s">
        <v>249</v>
      </c>
      <c r="D43" s="581"/>
      <c r="E43" s="581"/>
      <c r="F43" s="581"/>
      <c r="G43" s="581"/>
      <c r="H43" s="581"/>
      <c r="I43" s="581"/>
      <c r="J43" s="581"/>
      <c r="K43" s="581"/>
      <c r="L43" s="581"/>
      <c r="M43" s="581"/>
      <c r="N43" s="582"/>
      <c r="O43" s="141"/>
      <c r="P43" s="447"/>
      <c r="R43" s="449"/>
      <c r="S43" s="450"/>
    </row>
    <row r="44" spans="1:19" s="442" customFormat="1" ht="90" x14ac:dyDescent="0.2">
      <c r="A44" s="431"/>
      <c r="B44" s="432"/>
      <c r="C44" s="339" t="s">
        <v>390</v>
      </c>
      <c r="D44" s="382"/>
      <c r="E44" s="433" t="s">
        <v>362</v>
      </c>
      <c r="F44" s="434" t="s">
        <v>177</v>
      </c>
      <c r="G44" s="435" t="s">
        <v>40</v>
      </c>
      <c r="H44" s="434" t="s">
        <v>48</v>
      </c>
      <c r="I44" s="435" t="s">
        <v>41</v>
      </c>
      <c r="J44" s="434" t="s">
        <v>178</v>
      </c>
      <c r="K44" s="435" t="s">
        <v>42</v>
      </c>
      <c r="L44" s="434" t="s">
        <v>179</v>
      </c>
      <c r="M44" s="435" t="s">
        <v>43</v>
      </c>
      <c r="N44" s="436" t="s">
        <v>219</v>
      </c>
      <c r="O44" s="437"/>
      <c r="P44" s="438"/>
      <c r="Q44" s="439">
        <f>'Reporting Worksheet'!E74</f>
        <v>8</v>
      </c>
      <c r="R44" s="440">
        <f ca="1">IF(OR(C44=$R$3,C44=$R$4,C44=$R$5),1,0)</f>
        <v>0</v>
      </c>
      <c r="S44" s="441"/>
    </row>
    <row r="45" spans="1:19" s="442" customFormat="1" ht="79.5" thickBot="1" x14ac:dyDescent="0.25">
      <c r="A45" s="431"/>
      <c r="B45" s="432"/>
      <c r="C45" s="340" t="s">
        <v>220</v>
      </c>
      <c r="D45" s="378"/>
      <c r="E45" s="443" t="s">
        <v>49</v>
      </c>
      <c r="F45" s="571" t="s">
        <v>400</v>
      </c>
      <c r="G45" s="572"/>
      <c r="H45" s="571" t="s">
        <v>50</v>
      </c>
      <c r="I45" s="572"/>
      <c r="J45" s="571" t="s">
        <v>401</v>
      </c>
      <c r="K45" s="572"/>
      <c r="L45" s="571" t="s">
        <v>402</v>
      </c>
      <c r="M45" s="572"/>
      <c r="N45" s="444" t="s">
        <v>403</v>
      </c>
      <c r="O45" s="437"/>
      <c r="P45" s="438"/>
      <c r="Q45" s="439">
        <f>Q44</f>
        <v>8</v>
      </c>
      <c r="R45" s="440"/>
      <c r="S45" s="441"/>
    </row>
    <row r="46" spans="1:19" s="442" customFormat="1" ht="168.75" x14ac:dyDescent="0.2">
      <c r="A46" s="431"/>
      <c r="B46" s="432"/>
      <c r="C46" s="339" t="s">
        <v>378</v>
      </c>
      <c r="D46" s="382"/>
      <c r="E46" s="433" t="s">
        <v>443</v>
      </c>
      <c r="F46" s="434" t="s">
        <v>404</v>
      </c>
      <c r="G46" s="435" t="s">
        <v>40</v>
      </c>
      <c r="H46" s="434" t="s">
        <v>405</v>
      </c>
      <c r="I46" s="435" t="s">
        <v>406</v>
      </c>
      <c r="J46" s="434" t="s">
        <v>333</v>
      </c>
      <c r="K46" s="435" t="s">
        <v>42</v>
      </c>
      <c r="L46" s="434" t="s">
        <v>444</v>
      </c>
      <c r="M46" s="435" t="s">
        <v>43</v>
      </c>
      <c r="N46" s="436" t="s">
        <v>445</v>
      </c>
      <c r="O46" s="437"/>
      <c r="P46" s="438"/>
      <c r="Q46" s="439">
        <f>'Reporting Worksheet'!E75</f>
        <v>8</v>
      </c>
      <c r="R46" s="440">
        <f ca="1">IF(OR(C46=$R$3,C46=$R$4,C46=$R$5),1,0)</f>
        <v>0</v>
      </c>
      <c r="S46" s="441"/>
    </row>
    <row r="47" spans="1:19" s="442" customFormat="1" ht="102" thickBot="1" x14ac:dyDescent="0.25">
      <c r="A47" s="431"/>
      <c r="B47" s="432"/>
      <c r="C47" s="340" t="s">
        <v>271</v>
      </c>
      <c r="D47" s="378"/>
      <c r="E47" s="443" t="s">
        <v>446</v>
      </c>
      <c r="F47" s="571" t="s">
        <v>272</v>
      </c>
      <c r="G47" s="572"/>
      <c r="H47" s="443" t="s">
        <v>273</v>
      </c>
      <c r="I47" s="443" t="s">
        <v>274</v>
      </c>
      <c r="J47" s="571" t="s">
        <v>275</v>
      </c>
      <c r="K47" s="572"/>
      <c r="L47" s="571" t="s">
        <v>276</v>
      </c>
      <c r="M47" s="572"/>
      <c r="N47" s="444" t="s">
        <v>277</v>
      </c>
      <c r="O47" s="437"/>
      <c r="P47" s="438"/>
      <c r="Q47" s="439">
        <f>Q46</f>
        <v>8</v>
      </c>
      <c r="R47" s="440"/>
      <c r="S47" s="441"/>
    </row>
    <row r="48" spans="1:19" s="442" customFormat="1" ht="146.25" x14ac:dyDescent="0.2">
      <c r="A48" s="431"/>
      <c r="B48" s="432"/>
      <c r="C48" s="339" t="s">
        <v>379</v>
      </c>
      <c r="D48" s="403" t="s">
        <v>431</v>
      </c>
      <c r="E48" s="433" t="s">
        <v>363</v>
      </c>
      <c r="F48" s="434" t="s">
        <v>221</v>
      </c>
      <c r="G48" s="435" t="s">
        <v>40</v>
      </c>
      <c r="H48" s="434" t="s">
        <v>278</v>
      </c>
      <c r="I48" s="435" t="s">
        <v>41</v>
      </c>
      <c r="J48" s="434" t="s">
        <v>222</v>
      </c>
      <c r="K48" s="435" t="s">
        <v>42</v>
      </c>
      <c r="L48" s="434" t="s">
        <v>279</v>
      </c>
      <c r="M48" s="435" t="s">
        <v>43</v>
      </c>
      <c r="N48" s="436" t="s">
        <v>223</v>
      </c>
      <c r="O48" s="437"/>
      <c r="P48" s="438"/>
      <c r="Q48" s="439">
        <f>'Reporting Worksheet'!E76</f>
        <v>8</v>
      </c>
      <c r="R48" s="440">
        <f ca="1">IF(OR(C48=$R$3,C48=$R$4,C48=$R$5),1,0)</f>
        <v>0</v>
      </c>
      <c r="S48" s="441"/>
    </row>
    <row r="49" spans="1:19" s="442" customFormat="1" ht="84" customHeight="1" thickBot="1" x14ac:dyDescent="0.25">
      <c r="A49" s="431"/>
      <c r="B49" s="432"/>
      <c r="C49" s="340" t="s">
        <v>51</v>
      </c>
      <c r="D49" s="378"/>
      <c r="E49" s="443" t="s">
        <v>565</v>
      </c>
      <c r="F49" s="571" t="s">
        <v>400</v>
      </c>
      <c r="G49" s="572"/>
      <c r="H49" s="571" t="s">
        <v>224</v>
      </c>
      <c r="I49" s="572"/>
      <c r="J49" s="571" t="s">
        <v>52</v>
      </c>
      <c r="K49" s="572"/>
      <c r="L49" s="571" t="s">
        <v>402</v>
      </c>
      <c r="M49" s="572"/>
      <c r="N49" s="444" t="s">
        <v>403</v>
      </c>
      <c r="O49" s="437"/>
      <c r="P49" s="438"/>
      <c r="Q49" s="439">
        <f>Q48</f>
        <v>8</v>
      </c>
      <c r="R49" s="440"/>
      <c r="S49" s="441"/>
    </row>
    <row r="50" spans="1:19" ht="12" customHeight="1" thickBot="1" x14ac:dyDescent="0.3">
      <c r="B50" s="453"/>
      <c r="C50" s="160"/>
      <c r="D50" s="160"/>
      <c r="E50" s="160"/>
      <c r="F50" s="160"/>
      <c r="G50" s="160"/>
      <c r="H50" s="160"/>
      <c r="I50" s="160"/>
      <c r="J50" s="160"/>
      <c r="K50" s="160"/>
      <c r="L50" s="160"/>
      <c r="M50" s="160"/>
      <c r="N50" s="160"/>
      <c r="O50" s="161"/>
      <c r="P50" s="162"/>
    </row>
    <row r="51" spans="1:19" ht="9.75" customHeight="1" thickTop="1" x14ac:dyDescent="0.25"/>
    <row r="52" spans="1:19" hidden="1" x14ac:dyDescent="0.25"/>
    <row r="53" spans="1:19" hidden="1" x14ac:dyDescent="0.25"/>
    <row r="54" spans="1:19" hidden="1" x14ac:dyDescent="0.25"/>
    <row r="55" spans="1:19" hidden="1" x14ac:dyDescent="0.25"/>
    <row r="56" spans="1:19" hidden="1" x14ac:dyDescent="0.25"/>
    <row r="57" spans="1:19" hidden="1" x14ac:dyDescent="0.25"/>
    <row r="58" spans="1:19" hidden="1" x14ac:dyDescent="0.25"/>
    <row r="59" spans="1:19" hidden="1" x14ac:dyDescent="0.25"/>
    <row r="60" spans="1:19" hidden="1" x14ac:dyDescent="0.25"/>
    <row r="61" spans="1:19" hidden="1" x14ac:dyDescent="0.25"/>
    <row r="62" spans="1:19" hidden="1" x14ac:dyDescent="0.25"/>
    <row r="63" spans="1:19" hidden="1" x14ac:dyDescent="0.25"/>
    <row r="64" spans="1:19"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sheetData>
  <sheetProtection password="E218" sheet="1" objects="1" scenarios="1"/>
  <mergeCells count="81">
    <mergeCell ref="F49:G49"/>
    <mergeCell ref="H49:I49"/>
    <mergeCell ref="J49:K49"/>
    <mergeCell ref="L49:M49"/>
    <mergeCell ref="F45:G45"/>
    <mergeCell ref="H45:I45"/>
    <mergeCell ref="J45:K45"/>
    <mergeCell ref="L45:M45"/>
    <mergeCell ref="F47:G47"/>
    <mergeCell ref="J47:K47"/>
    <mergeCell ref="L47:M47"/>
    <mergeCell ref="F35:G35"/>
    <mergeCell ref="H35:I35"/>
    <mergeCell ref="J35:K35"/>
    <mergeCell ref="L35:M35"/>
    <mergeCell ref="F42:G42"/>
    <mergeCell ref="H42:I42"/>
    <mergeCell ref="J42:K42"/>
    <mergeCell ref="L42:M42"/>
    <mergeCell ref="F37:G37"/>
    <mergeCell ref="F25:G25"/>
    <mergeCell ref="J25:K25"/>
    <mergeCell ref="L25:M25"/>
    <mergeCell ref="F28:G28"/>
    <mergeCell ref="J28:K28"/>
    <mergeCell ref="L28:M28"/>
    <mergeCell ref="C33:N33"/>
    <mergeCell ref="F32:G32"/>
    <mergeCell ref="H32:I32"/>
    <mergeCell ref="C43:N43"/>
    <mergeCell ref="C2:L2"/>
    <mergeCell ref="C4:N4"/>
    <mergeCell ref="C6:N6"/>
    <mergeCell ref="C8:N8"/>
    <mergeCell ref="H12:I12"/>
    <mergeCell ref="J12:K12"/>
    <mergeCell ref="L10:M10"/>
    <mergeCell ref="C17:N17"/>
    <mergeCell ref="C26:N26"/>
    <mergeCell ref="F10:G10"/>
    <mergeCell ref="H10:I10"/>
    <mergeCell ref="J10:K10"/>
    <mergeCell ref="L12:M12"/>
    <mergeCell ref="F12:G12"/>
    <mergeCell ref="F14:G14"/>
    <mergeCell ref="H14:I14"/>
    <mergeCell ref="L23:M23"/>
    <mergeCell ref="F21:G21"/>
    <mergeCell ref="H21:I21"/>
    <mergeCell ref="J14:K14"/>
    <mergeCell ref="L14:M14"/>
    <mergeCell ref="F16:G16"/>
    <mergeCell ref="H16:I16"/>
    <mergeCell ref="J16:K16"/>
    <mergeCell ref="L16:M16"/>
    <mergeCell ref="H30:I30"/>
    <mergeCell ref="J30:K30"/>
    <mergeCell ref="L30:M30"/>
    <mergeCell ref="F19:G19"/>
    <mergeCell ref="H19:I19"/>
    <mergeCell ref="J19:K19"/>
    <mergeCell ref="L19:M19"/>
    <mergeCell ref="F23:G23"/>
    <mergeCell ref="H23:I23"/>
    <mergeCell ref="J23:K23"/>
    <mergeCell ref="L37:M37"/>
    <mergeCell ref="J40:K40"/>
    <mergeCell ref="L40:M40"/>
    <mergeCell ref="N38:N39"/>
    <mergeCell ref="E38:M38"/>
    <mergeCell ref="J21:K21"/>
    <mergeCell ref="L21:M21"/>
    <mergeCell ref="J32:K32"/>
    <mergeCell ref="L32:M32"/>
    <mergeCell ref="F30:G30"/>
    <mergeCell ref="C38:C39"/>
    <mergeCell ref="D38:D39"/>
    <mergeCell ref="F40:G40"/>
    <mergeCell ref="H40:I40"/>
    <mergeCell ref="H37:I37"/>
    <mergeCell ref="J37:K37"/>
  </mergeCells>
  <phoneticPr fontId="0" type="noConversion"/>
  <conditionalFormatting sqref="S20">
    <cfRule type="expression" dxfId="108" priority="1" stopIfTrue="1">
      <formula>S$7=$Q20</formula>
    </cfRule>
  </conditionalFormatting>
  <conditionalFormatting sqref="N37 N42 N23 N16 N30 N32 N45 N40 N12 N47 N35 N14 N10 N19 N25 N28 N21 E38 N49">
    <cfRule type="expression" dxfId="107" priority="2" stopIfTrue="1">
      <formula>E$7=$Q10</formula>
    </cfRule>
  </conditionalFormatting>
  <conditionalFormatting sqref="D46 D41 C9 C11 C15 C18 D44 C13 C20 C22 D27:D28">
    <cfRule type="expression" dxfId="106" priority="3" stopIfTrue="1">
      <formula>R9=1</formula>
    </cfRule>
  </conditionalFormatting>
  <conditionalFormatting sqref="D9:N9 D11:N11 D13:N13 D15:N15 D18:N18 E19 E10 E12 E14 E16 D20:N20 E21 D22:N22 E23 E24:N24 E25 H25:I25 E27:N27 E28 H28:I28 D29:N29 E30 D31:N31 E32 E35 E34:N34 E37 E36:N36 E39:M39 E40 E42 E41:N41 E45 E44:N44 E46:N46 E47 H47:I47 E49 E48:N48">
    <cfRule type="expression" dxfId="105" priority="4" stopIfTrue="1">
      <formula>D$7=$Q9</formula>
    </cfRule>
  </conditionalFormatting>
  <conditionalFormatting sqref="F10:M10 F12:M12 F14:M14 F16:M16 F19:M19 L21 J21 F21 H21 L23 J23 F23 H23 F25 L25 J25 F28 L28 J28 L30 J30 F30 H30 L32 J32 F32 H32 L35 J35 F35 H35 L37 J37 F37 H37 L40 J40 F40 H40 L42 J42 F42 H42 L45 J45 F45 H45 F47 L47 J47 L49 J49 F49 H49">
    <cfRule type="expression" dxfId="104" priority="5" stopIfTrue="1">
      <formula>OR(F$7=$Q10,G$7=$Q10)</formula>
    </cfRule>
  </conditionalFormatting>
  <conditionalFormatting sqref="D19">
    <cfRule type="expression" dxfId="103" priority="6" stopIfTrue="1">
      <formula>D$7=$Q19</formula>
    </cfRule>
  </conditionalFormatting>
  <conditionalFormatting sqref="D38:D39">
    <cfRule type="expression" dxfId="102" priority="7" stopIfTrue="1">
      <formula>D$7=$Q39</formula>
    </cfRule>
  </conditionalFormatting>
  <conditionalFormatting sqref="N38:N39">
    <cfRule type="expression" dxfId="101" priority="8" stopIfTrue="1">
      <formula>D$7=$Q$39</formula>
    </cfRule>
  </conditionalFormatting>
  <conditionalFormatting sqref="D48">
    <cfRule type="expression" dxfId="100" priority="9" stopIfTrue="1">
      <formula>D$7=$Q48</formula>
    </cfRule>
  </conditionalFormatting>
  <conditionalFormatting sqref="C48 C46 C44 C41 C36 C34 C31 C29 C27 C24">
    <cfRule type="expression" dxfId="99" priority="10" stopIfTrue="1">
      <formula>R24=1</formula>
    </cfRule>
  </conditionalFormatting>
  <conditionalFormatting sqref="C38:C39">
    <cfRule type="expression" dxfId="98" priority="11" stopIfTrue="1">
      <formula>$R$39</formula>
    </cfRule>
  </conditionalFormatting>
  <printOptions horizontalCentered="1" verticalCentered="1"/>
  <pageMargins left="0.75" right="0.75" top="0.67" bottom="0.76" header="0.5" footer="0.5"/>
  <pageSetup scale="59" fitToHeight="7" orientation="landscape" r:id="rId1"/>
  <headerFooter alignWithMargins="0">
    <oddFooter>&amp;CAWWA Water Loss Control Committee&amp;R&amp;A     &amp;P</oddFooter>
  </headerFooter>
  <rowBreaks count="1" manualBreakCount="1">
    <brk id="42"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B9B9-6438-4805-B5AA-A2C0AEF85A78}">
  <sheetPr codeName="Sheet9">
    <tabColor indexed="48"/>
  </sheetPr>
  <dimension ref="B1:G25"/>
  <sheetViews>
    <sheetView showGridLines="0" showRowColHeaders="0" zoomScaleNormal="100" workbookViewId="0">
      <selection activeCell="B2" sqref="B2:F3"/>
    </sheetView>
  </sheetViews>
  <sheetFormatPr defaultColWidth="0" defaultRowHeight="13.5" zeroHeight="1" x14ac:dyDescent="0.25"/>
  <cols>
    <col min="1" max="1" width="0.85546875" style="104" customWidth="1"/>
    <col min="2" max="2" width="18.5703125" style="104" customWidth="1"/>
    <col min="3" max="3" width="17.140625" style="104" customWidth="1"/>
    <col min="4" max="4" width="17.42578125" style="104" customWidth="1"/>
    <col min="5" max="5" width="59.7109375" style="104" customWidth="1"/>
    <col min="6" max="6" width="1.5703125" style="104" customWidth="1"/>
    <col min="7" max="7" width="1.140625" style="133" customWidth="1"/>
    <col min="8" max="16384" width="0" style="104" hidden="1"/>
  </cols>
  <sheetData>
    <row r="1" spans="2:7" ht="3.75" customHeight="1" thickBot="1" x14ac:dyDescent="0.3"/>
    <row r="2" spans="2:7" ht="15" customHeight="1" thickTop="1" x14ac:dyDescent="0.25">
      <c r="B2" s="598" t="s">
        <v>176</v>
      </c>
      <c r="C2" s="599"/>
      <c r="D2" s="599"/>
      <c r="E2" s="599"/>
      <c r="F2" s="600"/>
      <c r="G2" s="411"/>
    </row>
    <row r="3" spans="2:7" ht="38.25" customHeight="1" thickBot="1" x14ac:dyDescent="0.3">
      <c r="B3" s="601"/>
      <c r="C3" s="602"/>
      <c r="D3" s="602"/>
      <c r="E3" s="602"/>
      <c r="F3" s="603"/>
      <c r="G3" s="411"/>
    </row>
    <row r="4" spans="2:7" s="113" customFormat="1" ht="36.75" customHeight="1" thickTop="1" x14ac:dyDescent="0.3">
      <c r="B4" s="392"/>
      <c r="C4" s="393"/>
      <c r="D4" s="394"/>
      <c r="E4" s="395" t="str">
        <f>IF(ISBLANK(Instructions!H24),"","All Units in "&amp;Instructions!H24)</f>
        <v/>
      </c>
      <c r="F4" s="396"/>
      <c r="G4" s="411"/>
    </row>
    <row r="5" spans="2:7" s="113" customFormat="1" ht="36.75" customHeight="1" x14ac:dyDescent="0.3">
      <c r="B5" s="214"/>
      <c r="C5" s="389"/>
      <c r="D5" s="390"/>
      <c r="E5" s="391"/>
      <c r="F5" s="397"/>
      <c r="G5" s="411"/>
    </row>
    <row r="6" spans="2:7" s="113" customFormat="1" ht="36.75" customHeight="1" x14ac:dyDescent="0.3">
      <c r="B6" s="214"/>
      <c r="C6" s="389"/>
      <c r="D6" s="390"/>
      <c r="E6" s="391"/>
      <c r="F6" s="397"/>
      <c r="G6" s="411"/>
    </row>
    <row r="7" spans="2:7" s="113" customFormat="1" ht="36.75" customHeight="1" x14ac:dyDescent="0.3">
      <c r="B7" s="214"/>
      <c r="C7" s="389"/>
      <c r="D7" s="390"/>
      <c r="E7" s="391"/>
      <c r="F7" s="397"/>
      <c r="G7" s="411"/>
    </row>
    <row r="8" spans="2:7" s="113" customFormat="1" ht="36.75" customHeight="1" x14ac:dyDescent="0.3">
      <c r="B8" s="214"/>
      <c r="C8" s="389"/>
      <c r="D8" s="390"/>
      <c r="E8" s="391"/>
      <c r="F8" s="397"/>
      <c r="G8" s="411"/>
    </row>
    <row r="9" spans="2:7" s="113" customFormat="1" ht="36.75" customHeight="1" x14ac:dyDescent="0.3">
      <c r="B9" s="214"/>
      <c r="C9" s="389"/>
      <c r="D9" s="390"/>
      <c r="E9" s="391"/>
      <c r="F9" s="397"/>
      <c r="G9" s="411"/>
    </row>
    <row r="10" spans="2:7" s="113" customFormat="1" ht="36.75" customHeight="1" x14ac:dyDescent="0.3">
      <c r="B10" s="214"/>
      <c r="C10" s="389"/>
      <c r="D10" s="390"/>
      <c r="E10" s="391"/>
      <c r="F10" s="397"/>
      <c r="G10" s="411"/>
    </row>
    <row r="11" spans="2:7" s="113" customFormat="1" ht="36.75" customHeight="1" x14ac:dyDescent="0.3">
      <c r="B11" s="214"/>
      <c r="C11" s="389"/>
      <c r="D11" s="390"/>
      <c r="E11" s="391"/>
      <c r="F11" s="397"/>
      <c r="G11" s="411"/>
    </row>
    <row r="12" spans="2:7" s="113" customFormat="1" ht="36.75" customHeight="1" x14ac:dyDescent="0.3">
      <c r="B12" s="214"/>
      <c r="C12" s="389"/>
      <c r="D12" s="390"/>
      <c r="E12" s="391"/>
      <c r="F12" s="397"/>
      <c r="G12" s="411"/>
    </row>
    <row r="13" spans="2:7" s="113" customFormat="1" ht="36.75" customHeight="1" x14ac:dyDescent="0.3">
      <c r="B13" s="214"/>
      <c r="C13" s="389"/>
      <c r="D13" s="390"/>
      <c r="E13" s="391"/>
      <c r="F13" s="397"/>
      <c r="G13" s="411"/>
    </row>
    <row r="14" spans="2:7" s="113" customFormat="1" ht="36.75" customHeight="1" x14ac:dyDescent="0.3">
      <c r="B14" s="214"/>
      <c r="C14" s="389"/>
      <c r="D14" s="390"/>
      <c r="E14" s="391"/>
      <c r="F14" s="397"/>
      <c r="G14" s="411"/>
    </row>
    <row r="15" spans="2:7" s="113" customFormat="1" ht="36.75" customHeight="1" x14ac:dyDescent="0.3">
      <c r="B15" s="214"/>
      <c r="C15" s="389"/>
      <c r="D15" s="390"/>
      <c r="E15" s="391"/>
      <c r="F15" s="397"/>
      <c r="G15" s="411"/>
    </row>
    <row r="16" spans="2:7" s="113" customFormat="1" ht="36.75" customHeight="1" x14ac:dyDescent="0.3">
      <c r="B16" s="214"/>
      <c r="C16" s="389"/>
      <c r="D16" s="390"/>
      <c r="E16" s="391"/>
      <c r="F16" s="397"/>
      <c r="G16" s="411"/>
    </row>
    <row r="17" spans="2:7" s="113" customFormat="1" ht="36.75" customHeight="1" x14ac:dyDescent="0.3">
      <c r="B17" s="214"/>
      <c r="C17" s="389"/>
      <c r="D17" s="390"/>
      <c r="E17" s="391"/>
      <c r="F17" s="397"/>
      <c r="G17" s="411"/>
    </row>
    <row r="18" spans="2:7" s="113" customFormat="1" ht="36.75" customHeight="1" x14ac:dyDescent="0.3">
      <c r="B18" s="214"/>
      <c r="C18" s="389"/>
      <c r="D18" s="390"/>
      <c r="E18" s="391"/>
      <c r="F18" s="397"/>
      <c r="G18" s="411"/>
    </row>
    <row r="19" spans="2:7" s="113" customFormat="1" ht="36.75" customHeight="1" x14ac:dyDescent="0.3">
      <c r="B19" s="214"/>
      <c r="C19" s="389"/>
      <c r="D19" s="390"/>
      <c r="E19" s="391"/>
      <c r="F19" s="397"/>
      <c r="G19" s="411"/>
    </row>
    <row r="20" spans="2:7" s="113" customFormat="1" ht="36.75" customHeight="1" x14ac:dyDescent="0.3">
      <c r="B20" s="214"/>
      <c r="C20" s="389"/>
      <c r="D20" s="390"/>
      <c r="E20" s="391"/>
      <c r="F20" s="397"/>
      <c r="G20" s="411"/>
    </row>
    <row r="21" spans="2:7" s="113" customFormat="1" ht="36.75" customHeight="1" x14ac:dyDescent="0.3">
      <c r="B21" s="214"/>
      <c r="C21" s="389"/>
      <c r="D21" s="390"/>
      <c r="E21" s="391"/>
      <c r="F21" s="397"/>
      <c r="G21" s="411"/>
    </row>
    <row r="22" spans="2:7" s="113" customFormat="1" ht="36.75" customHeight="1" x14ac:dyDescent="0.3">
      <c r="B22" s="214"/>
      <c r="C22" s="389"/>
      <c r="D22" s="390"/>
      <c r="E22" s="391"/>
      <c r="F22" s="397"/>
      <c r="G22" s="411"/>
    </row>
    <row r="23" spans="2:7" s="113" customFormat="1" ht="36.75" customHeight="1" x14ac:dyDescent="0.3">
      <c r="B23" s="214"/>
      <c r="C23" s="389"/>
      <c r="D23" s="390"/>
      <c r="E23" s="391"/>
      <c r="F23" s="397"/>
      <c r="G23" s="411"/>
    </row>
    <row r="24" spans="2:7" s="113" customFormat="1" ht="5.25" customHeight="1" thickBot="1" x14ac:dyDescent="0.35">
      <c r="B24" s="398"/>
      <c r="C24" s="399"/>
      <c r="D24" s="400"/>
      <c r="E24" s="401"/>
      <c r="F24" s="402"/>
      <c r="G24" s="411"/>
    </row>
    <row r="25" spans="2:7" ht="14.25" hidden="1" thickTop="1" x14ac:dyDescent="0.25"/>
  </sheetData>
  <sheetProtection password="E218"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Water Loss Control Committee&amp;R&amp;A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7C1A7-D827-444D-96FB-3D2DDDEF2E25}">
  <sheetPr codeName="Sheet10">
    <tabColor indexed="48"/>
  </sheetPr>
  <dimension ref="A1:N74"/>
  <sheetViews>
    <sheetView showGridLines="0" showRowColHeaders="0" zoomScaleNormal="100" zoomScaleSheetLayoutView="100" workbookViewId="0">
      <pane xSplit="2" ySplit="5" topLeftCell="C56" activePane="bottomRight" state="frozen"/>
      <selection activeCell="K26" sqref="K26"/>
      <selection pane="topRight" activeCell="K26" sqref="K26"/>
      <selection pane="bottomLeft" activeCell="K26" sqref="K26"/>
      <selection pane="bottomRight" activeCell="C63" sqref="C63:L63"/>
    </sheetView>
  </sheetViews>
  <sheetFormatPr defaultColWidth="0" defaultRowHeight="13.5" zeroHeight="1" x14ac:dyDescent="0.25"/>
  <cols>
    <col min="1" max="1" width="1.28515625" style="225" customWidth="1"/>
    <col min="2" max="2" width="1.28515625" style="26" customWidth="1"/>
    <col min="3" max="3" width="41.28515625" style="1" customWidth="1"/>
    <col min="4" max="4" width="6.42578125" style="1" customWidth="1"/>
    <col min="5" max="5" width="2.7109375" style="1" customWidth="1"/>
    <col min="6" max="6" width="7.85546875" style="1" customWidth="1"/>
    <col min="7" max="7" width="29.7109375" style="1" customWidth="1"/>
    <col min="8" max="8" width="3.140625" style="1" customWidth="1"/>
    <col min="9" max="9" width="8.7109375" style="1" customWidth="1"/>
    <col min="10" max="10" width="29.7109375" style="1" customWidth="1"/>
    <col min="11" max="11" width="2.85546875" style="1" customWidth="1"/>
    <col min="12" max="12" width="2.42578125" style="1" customWidth="1"/>
    <col min="13" max="13" width="1.140625" style="1" customWidth="1"/>
    <col min="14" max="14" width="1.28515625" style="1" customWidth="1"/>
    <col min="15" max="16384" width="0" style="1" hidden="1"/>
  </cols>
  <sheetData>
    <row r="1" spans="1:14" s="18" customFormat="1" ht="6" customHeight="1" thickBot="1" x14ac:dyDescent="0.3">
      <c r="A1" s="225"/>
      <c r="B1" s="26"/>
      <c r="N1" s="102"/>
    </row>
    <row r="2" spans="1:14" ht="40.5" customHeight="1" thickTop="1" thickBot="1" x14ac:dyDescent="0.3">
      <c r="B2" s="52"/>
      <c r="C2" s="653" t="s">
        <v>495</v>
      </c>
      <c r="D2" s="654"/>
      <c r="E2" s="654"/>
      <c r="F2" s="654"/>
      <c r="G2" s="654"/>
      <c r="H2" s="654"/>
      <c r="I2" s="654"/>
      <c r="J2" s="48"/>
      <c r="K2" s="48"/>
      <c r="L2" s="48"/>
      <c r="M2" s="49"/>
      <c r="N2" s="102"/>
    </row>
    <row r="3" spans="1:14" ht="9.75" customHeight="1" thickTop="1" thickBot="1" x14ac:dyDescent="0.3">
      <c r="B3" s="53"/>
      <c r="C3" s="2"/>
      <c r="D3" s="2"/>
      <c r="E3" s="2"/>
      <c r="F3" s="2"/>
      <c r="G3" s="2"/>
      <c r="H3" s="2"/>
      <c r="I3" s="2"/>
      <c r="J3" s="2"/>
      <c r="K3" s="2"/>
      <c r="L3" s="2"/>
      <c r="M3" s="29"/>
      <c r="N3" s="102"/>
    </row>
    <row r="4" spans="1:14" s="25" customFormat="1" ht="15" customHeight="1" thickBot="1" x14ac:dyDescent="0.35">
      <c r="A4" s="226"/>
      <c r="B4" s="54"/>
      <c r="C4" s="69" t="s">
        <v>230</v>
      </c>
      <c r="D4" s="66"/>
      <c r="E4" s="634" t="s">
        <v>231</v>
      </c>
      <c r="F4" s="635"/>
      <c r="G4" s="635"/>
      <c r="H4" s="635"/>
      <c r="I4" s="635"/>
      <c r="J4" s="635"/>
      <c r="K4" s="635"/>
      <c r="L4" s="636"/>
      <c r="M4" s="56"/>
      <c r="N4" s="102"/>
    </row>
    <row r="5" spans="1:14" ht="6.75" customHeight="1" thickBot="1" x14ac:dyDescent="0.3">
      <c r="B5" s="53"/>
      <c r="C5" s="50"/>
      <c r="D5" s="50"/>
      <c r="E5" s="50"/>
      <c r="F5" s="50"/>
      <c r="G5" s="28"/>
      <c r="H5" s="2"/>
      <c r="I5" s="2"/>
      <c r="J5" s="2"/>
      <c r="K5" s="2"/>
      <c r="L5" s="2"/>
      <c r="M5" s="29"/>
      <c r="N5" s="102"/>
    </row>
    <row r="6" spans="1:14" ht="89.25" customHeight="1" thickBot="1" x14ac:dyDescent="0.3">
      <c r="B6" s="53"/>
      <c r="C6" s="70" t="s">
        <v>347</v>
      </c>
      <c r="D6" s="67"/>
      <c r="E6" s="604" t="s">
        <v>270</v>
      </c>
      <c r="F6" s="605"/>
      <c r="G6" s="605"/>
      <c r="H6" s="605"/>
      <c r="I6" s="605"/>
      <c r="J6" s="605"/>
      <c r="K6" s="605"/>
      <c r="L6" s="606"/>
      <c r="M6" s="29"/>
      <c r="N6" s="102"/>
    </row>
    <row r="7" spans="1:14" ht="6.75" customHeight="1" thickBot="1" x14ac:dyDescent="0.3">
      <c r="B7" s="53"/>
      <c r="C7" s="50"/>
      <c r="D7" s="50"/>
      <c r="E7" s="50"/>
      <c r="F7" s="50"/>
      <c r="G7" s="28"/>
      <c r="H7" s="2"/>
      <c r="I7" s="2"/>
      <c r="J7" s="2"/>
      <c r="K7" s="2"/>
      <c r="L7" s="2"/>
      <c r="M7" s="29"/>
      <c r="N7" s="102"/>
    </row>
    <row r="8" spans="1:14" ht="124.5" customHeight="1" thickBot="1" x14ac:dyDescent="0.3">
      <c r="B8" s="53"/>
      <c r="C8" s="65" t="s">
        <v>194</v>
      </c>
      <c r="D8" s="61"/>
      <c r="E8" s="640" t="s">
        <v>553</v>
      </c>
      <c r="F8" s="641"/>
      <c r="G8" s="641"/>
      <c r="H8" s="641"/>
      <c r="I8" s="641"/>
      <c r="J8" s="641"/>
      <c r="K8" s="641"/>
      <c r="L8" s="642"/>
      <c r="M8" s="29"/>
      <c r="N8" s="102"/>
    </row>
    <row r="9" spans="1:14" ht="6.75" customHeight="1" thickBot="1" x14ac:dyDescent="0.3">
      <c r="B9" s="53"/>
      <c r="C9" s="50"/>
      <c r="D9" s="50"/>
      <c r="E9" s="50"/>
      <c r="F9" s="50"/>
      <c r="G9" s="28"/>
      <c r="H9" s="2"/>
      <c r="I9" s="2"/>
      <c r="J9" s="2"/>
      <c r="K9" s="2"/>
      <c r="L9" s="2"/>
      <c r="M9" s="29"/>
      <c r="N9" s="102"/>
    </row>
    <row r="10" spans="1:14" ht="292.5" customHeight="1" thickBot="1" x14ac:dyDescent="0.3">
      <c r="B10" s="53"/>
      <c r="C10" s="71" t="s">
        <v>106</v>
      </c>
      <c r="D10" s="67"/>
      <c r="E10" s="655"/>
      <c r="F10" s="656"/>
      <c r="G10" s="656"/>
      <c r="H10" s="656"/>
      <c r="I10" s="656"/>
      <c r="J10" s="656"/>
      <c r="K10" s="656"/>
      <c r="L10" s="657"/>
      <c r="M10" s="29"/>
      <c r="N10" s="102"/>
    </row>
    <row r="11" spans="1:14" ht="6.75" customHeight="1" thickBot="1" x14ac:dyDescent="0.3">
      <c r="B11" s="53"/>
      <c r="C11" s="50"/>
      <c r="D11" s="50"/>
      <c r="E11" s="50"/>
      <c r="F11" s="50"/>
      <c r="G11" s="28"/>
      <c r="H11" s="2"/>
      <c r="I11" s="2"/>
      <c r="J11" s="2"/>
      <c r="K11" s="2"/>
      <c r="L11" s="2"/>
      <c r="M11" s="29"/>
      <c r="N11" s="102"/>
    </row>
    <row r="12" spans="1:14" ht="87" customHeight="1" thickBot="1" x14ac:dyDescent="0.3">
      <c r="B12" s="53"/>
      <c r="C12" s="70" t="s">
        <v>488</v>
      </c>
      <c r="D12" s="67"/>
      <c r="E12" s="607" t="s">
        <v>65</v>
      </c>
      <c r="F12" s="608"/>
      <c r="G12" s="608"/>
      <c r="H12" s="608"/>
      <c r="I12" s="608"/>
      <c r="J12" s="608"/>
      <c r="K12" s="608"/>
      <c r="L12" s="609"/>
      <c r="M12" s="29"/>
      <c r="N12" s="102"/>
    </row>
    <row r="13" spans="1:14" ht="6.75" customHeight="1" thickBot="1" x14ac:dyDescent="0.3">
      <c r="B13" s="53"/>
      <c r="C13" s="50"/>
      <c r="D13" s="50"/>
      <c r="E13" s="50"/>
      <c r="F13" s="50"/>
      <c r="G13" s="28"/>
      <c r="H13" s="2"/>
      <c r="I13" s="2"/>
      <c r="J13" s="2"/>
      <c r="K13" s="2"/>
      <c r="L13" s="2"/>
      <c r="M13" s="29"/>
      <c r="N13" s="102"/>
    </row>
    <row r="14" spans="1:14" ht="25.5" customHeight="1" thickBot="1" x14ac:dyDescent="0.3">
      <c r="B14" s="53"/>
      <c r="C14" s="70" t="s">
        <v>471</v>
      </c>
      <c r="D14" s="67"/>
      <c r="E14" s="610" t="s">
        <v>229</v>
      </c>
      <c r="F14" s="611"/>
      <c r="G14" s="611"/>
      <c r="H14" s="611"/>
      <c r="I14" s="611"/>
      <c r="J14" s="611"/>
      <c r="K14" s="611"/>
      <c r="L14" s="612"/>
      <c r="M14" s="29"/>
      <c r="N14" s="102"/>
    </row>
    <row r="15" spans="1:14" ht="6.75" customHeight="1" thickBot="1" x14ac:dyDescent="0.3">
      <c r="B15" s="53"/>
      <c r="C15" s="50"/>
      <c r="D15" s="50"/>
      <c r="E15" s="50"/>
      <c r="F15" s="50"/>
      <c r="G15" s="28"/>
      <c r="H15" s="2"/>
      <c r="I15" s="2"/>
      <c r="J15" s="2"/>
      <c r="K15" s="2"/>
      <c r="L15" s="2"/>
      <c r="M15" s="29"/>
      <c r="N15" s="102"/>
    </row>
    <row r="16" spans="1:14" ht="107.25" customHeight="1" thickBot="1" x14ac:dyDescent="0.3">
      <c r="B16" s="53"/>
      <c r="C16" s="70" t="s">
        <v>421</v>
      </c>
      <c r="D16" s="67"/>
      <c r="E16" s="610" t="s">
        <v>483</v>
      </c>
      <c r="F16" s="611"/>
      <c r="G16" s="611"/>
      <c r="H16" s="611"/>
      <c r="I16" s="611"/>
      <c r="J16" s="611"/>
      <c r="K16" s="611"/>
      <c r="L16" s="612"/>
      <c r="M16" s="29"/>
      <c r="N16" s="102"/>
    </row>
    <row r="17" spans="1:14" ht="6.75" customHeight="1" thickBot="1" x14ac:dyDescent="0.3">
      <c r="B17" s="53"/>
      <c r="C17" s="50"/>
      <c r="D17" s="50"/>
      <c r="E17" s="50"/>
      <c r="F17" s="50"/>
      <c r="G17" s="28"/>
      <c r="H17" s="2"/>
      <c r="I17" s="2"/>
      <c r="J17" s="2"/>
      <c r="K17" s="2"/>
      <c r="L17" s="2"/>
      <c r="M17" s="29"/>
      <c r="N17" s="102"/>
    </row>
    <row r="18" spans="1:14" ht="77.25" customHeight="1" thickBot="1" x14ac:dyDescent="0.3">
      <c r="B18" s="53"/>
      <c r="C18" s="70" t="s">
        <v>422</v>
      </c>
      <c r="D18" s="67"/>
      <c r="E18" s="610" t="s">
        <v>554</v>
      </c>
      <c r="F18" s="611"/>
      <c r="G18" s="611"/>
      <c r="H18" s="611"/>
      <c r="I18" s="611"/>
      <c r="J18" s="611"/>
      <c r="K18" s="611"/>
      <c r="L18" s="612"/>
      <c r="M18" s="29"/>
      <c r="N18" s="102"/>
    </row>
    <row r="19" spans="1:14" ht="6.75" customHeight="1" thickBot="1" x14ac:dyDescent="0.3">
      <c r="B19" s="53"/>
      <c r="C19" s="50"/>
      <c r="D19" s="50"/>
      <c r="E19" s="50"/>
      <c r="F19" s="50"/>
      <c r="G19" s="28"/>
      <c r="H19" s="2"/>
      <c r="I19" s="2"/>
      <c r="J19" s="2"/>
      <c r="K19" s="2"/>
      <c r="L19" s="2"/>
      <c r="M19" s="29"/>
      <c r="N19" s="102"/>
    </row>
    <row r="20" spans="1:14" ht="18.75" customHeight="1" thickBot="1" x14ac:dyDescent="0.3">
      <c r="B20" s="53"/>
      <c r="C20" s="70" t="s">
        <v>350</v>
      </c>
      <c r="D20" s="67"/>
      <c r="E20" s="604" t="s">
        <v>507</v>
      </c>
      <c r="F20" s="605"/>
      <c r="G20" s="605"/>
      <c r="H20" s="605"/>
      <c r="I20" s="605"/>
      <c r="J20" s="605"/>
      <c r="K20" s="605"/>
      <c r="L20" s="606"/>
      <c r="M20" s="29"/>
      <c r="N20" s="102"/>
    </row>
    <row r="21" spans="1:14" ht="6.75" customHeight="1" thickBot="1" x14ac:dyDescent="0.3">
      <c r="B21" s="53"/>
      <c r="C21" s="50"/>
      <c r="D21" s="50"/>
      <c r="E21" s="50"/>
      <c r="F21" s="50"/>
      <c r="G21" s="28"/>
      <c r="H21" s="2"/>
      <c r="I21" s="2"/>
      <c r="J21" s="2"/>
      <c r="K21" s="2"/>
      <c r="L21" s="2"/>
      <c r="M21" s="29"/>
      <c r="N21" s="102"/>
    </row>
    <row r="22" spans="1:14" s="64" customFormat="1" ht="158.25" customHeight="1" thickBot="1" x14ac:dyDescent="0.25">
      <c r="A22" s="228"/>
      <c r="B22" s="63"/>
      <c r="C22" s="71" t="s">
        <v>426</v>
      </c>
      <c r="D22" s="68"/>
      <c r="E22" s="607" t="s">
        <v>44</v>
      </c>
      <c r="F22" s="608"/>
      <c r="G22" s="608"/>
      <c r="H22" s="608"/>
      <c r="I22" s="608"/>
      <c r="J22" s="608"/>
      <c r="K22" s="608"/>
      <c r="L22" s="609"/>
      <c r="M22" s="40"/>
      <c r="N22" s="103"/>
    </row>
    <row r="23" spans="1:14" ht="6.75" customHeight="1" thickBot="1" x14ac:dyDescent="0.3">
      <c r="B23" s="53"/>
      <c r="C23" s="50"/>
      <c r="D23" s="50"/>
      <c r="E23" s="50"/>
      <c r="F23" s="50"/>
      <c r="G23" s="28"/>
      <c r="H23" s="2"/>
      <c r="I23" s="2"/>
      <c r="J23" s="2"/>
      <c r="K23" s="2"/>
      <c r="L23" s="2"/>
      <c r="M23" s="29"/>
      <c r="N23" s="102"/>
    </row>
    <row r="24" spans="1:14" ht="192" customHeight="1" thickBot="1" x14ac:dyDescent="0.3">
      <c r="B24" s="53"/>
      <c r="C24" s="70" t="s">
        <v>490</v>
      </c>
      <c r="D24" s="67"/>
      <c r="E24" s="607" t="s">
        <v>137</v>
      </c>
      <c r="F24" s="608"/>
      <c r="G24" s="608"/>
      <c r="H24" s="608"/>
      <c r="I24" s="608"/>
      <c r="J24" s="608"/>
      <c r="K24" s="608"/>
      <c r="L24" s="609"/>
      <c r="M24" s="29"/>
      <c r="N24" s="102"/>
    </row>
    <row r="25" spans="1:14" ht="6.75" customHeight="1" thickBot="1" x14ac:dyDescent="0.3">
      <c r="B25" s="53"/>
      <c r="C25" s="50"/>
      <c r="D25" s="50"/>
      <c r="E25" s="50"/>
      <c r="F25" s="50"/>
      <c r="G25" s="28"/>
      <c r="H25" s="2"/>
      <c r="I25" s="2"/>
      <c r="J25" s="2"/>
      <c r="K25" s="2"/>
      <c r="L25" s="2"/>
      <c r="M25" s="29"/>
      <c r="N25" s="102"/>
    </row>
    <row r="26" spans="1:14" ht="39.75" customHeight="1" thickBot="1" x14ac:dyDescent="0.3">
      <c r="B26" s="53"/>
      <c r="C26" s="65" t="s">
        <v>260</v>
      </c>
      <c r="D26" s="101"/>
      <c r="E26" s="658" t="s">
        <v>345</v>
      </c>
      <c r="F26" s="659"/>
      <c r="G26" s="659"/>
      <c r="H26" s="659"/>
      <c r="I26" s="659"/>
      <c r="J26" s="659"/>
      <c r="K26" s="659"/>
      <c r="L26" s="660"/>
      <c r="M26" s="29"/>
      <c r="N26" s="102"/>
    </row>
    <row r="27" spans="1:14" ht="6.75" customHeight="1" thickBot="1" x14ac:dyDescent="0.3">
      <c r="B27" s="53"/>
      <c r="C27" s="50"/>
      <c r="D27" s="50"/>
      <c r="E27" s="50"/>
      <c r="F27" s="50"/>
      <c r="G27" s="28"/>
      <c r="H27" s="2"/>
      <c r="I27" s="2"/>
      <c r="J27" s="2"/>
      <c r="K27" s="2"/>
      <c r="L27" s="2"/>
      <c r="M27" s="29"/>
      <c r="N27" s="102"/>
    </row>
    <row r="28" spans="1:14" ht="197.25" customHeight="1" thickBot="1" x14ac:dyDescent="0.3">
      <c r="B28" s="53"/>
      <c r="C28" s="70" t="s">
        <v>349</v>
      </c>
      <c r="D28" s="67"/>
      <c r="E28" s="607" t="s">
        <v>344</v>
      </c>
      <c r="F28" s="608"/>
      <c r="G28" s="608"/>
      <c r="H28" s="608"/>
      <c r="I28" s="608"/>
      <c r="J28" s="608"/>
      <c r="K28" s="608"/>
      <c r="L28" s="609"/>
      <c r="M28" s="29"/>
      <c r="N28" s="102"/>
    </row>
    <row r="29" spans="1:14" ht="6.75" customHeight="1" thickBot="1" x14ac:dyDescent="0.3">
      <c r="B29" s="53"/>
      <c r="C29" s="50"/>
      <c r="D29" s="50"/>
      <c r="E29" s="50"/>
      <c r="F29" s="50"/>
      <c r="G29" s="28"/>
      <c r="H29" s="2"/>
      <c r="I29" s="2"/>
      <c r="J29" s="2"/>
      <c r="K29" s="2"/>
      <c r="L29" s="2"/>
      <c r="M29" s="29"/>
      <c r="N29" s="102"/>
    </row>
    <row r="30" spans="1:14" ht="64.5" customHeight="1" thickBot="1" x14ac:dyDescent="0.3">
      <c r="A30" s="224"/>
      <c r="B30" s="53"/>
      <c r="C30" s="65" t="s">
        <v>503</v>
      </c>
      <c r="D30" s="60"/>
      <c r="E30" s="610" t="s">
        <v>461</v>
      </c>
      <c r="F30" s="611"/>
      <c r="G30" s="611"/>
      <c r="H30" s="611"/>
      <c r="I30" s="611"/>
      <c r="J30" s="611"/>
      <c r="K30" s="611"/>
      <c r="L30" s="612"/>
      <c r="M30" s="29"/>
      <c r="N30" s="102"/>
    </row>
    <row r="31" spans="1:14" ht="6.75" customHeight="1" thickBot="1" x14ac:dyDescent="0.3">
      <c r="B31" s="53"/>
      <c r="C31" s="50"/>
      <c r="D31" s="50"/>
      <c r="E31" s="50"/>
      <c r="F31" s="50"/>
      <c r="G31" s="28"/>
      <c r="H31" s="2"/>
      <c r="I31" s="2"/>
      <c r="J31" s="2"/>
      <c r="K31" s="2"/>
      <c r="L31" s="2"/>
      <c r="M31" s="29"/>
      <c r="N31" s="102"/>
    </row>
    <row r="32" spans="1:14" ht="27.75" customHeight="1" thickBot="1" x14ac:dyDescent="0.3">
      <c r="B32" s="53"/>
      <c r="C32" s="71" t="s">
        <v>487</v>
      </c>
      <c r="D32" s="68"/>
      <c r="E32" s="629" t="s">
        <v>63</v>
      </c>
      <c r="F32" s="630"/>
      <c r="G32" s="630"/>
      <c r="H32" s="630"/>
      <c r="I32" s="630"/>
      <c r="J32" s="630"/>
      <c r="K32" s="630"/>
      <c r="L32" s="631"/>
      <c r="M32" s="29"/>
      <c r="N32" s="102"/>
    </row>
    <row r="33" spans="2:14" ht="6.75" customHeight="1" thickBot="1" x14ac:dyDescent="0.3">
      <c r="B33" s="53"/>
      <c r="C33" s="50"/>
      <c r="D33" s="50"/>
      <c r="E33" s="50"/>
      <c r="F33" s="50"/>
      <c r="G33" s="28"/>
      <c r="H33" s="2"/>
      <c r="I33" s="2"/>
      <c r="J33" s="2"/>
      <c r="K33" s="2"/>
      <c r="L33" s="2"/>
      <c r="M33" s="29"/>
      <c r="N33" s="102"/>
    </row>
    <row r="34" spans="2:14" ht="52.5" customHeight="1" thickBot="1" x14ac:dyDescent="0.3">
      <c r="B34" s="53"/>
      <c r="C34" s="71" t="s">
        <v>342</v>
      </c>
      <c r="D34" s="67"/>
      <c r="E34" s="607" t="s">
        <v>328</v>
      </c>
      <c r="F34" s="608"/>
      <c r="G34" s="608"/>
      <c r="H34" s="608"/>
      <c r="I34" s="608"/>
      <c r="J34" s="608"/>
      <c r="K34" s="608"/>
      <c r="L34" s="609"/>
      <c r="M34" s="29"/>
      <c r="N34" s="102"/>
    </row>
    <row r="35" spans="2:14" ht="6.75" customHeight="1" thickBot="1" x14ac:dyDescent="0.3">
      <c r="B35" s="53"/>
      <c r="C35" s="50"/>
      <c r="D35" s="50"/>
      <c r="E35" s="50"/>
      <c r="F35" s="50"/>
      <c r="G35" s="28"/>
      <c r="H35" s="2"/>
      <c r="I35" s="2"/>
      <c r="J35" s="2"/>
      <c r="K35" s="2"/>
      <c r="L35" s="2"/>
      <c r="M35" s="29"/>
      <c r="N35" s="102"/>
    </row>
    <row r="36" spans="2:14" ht="84.75" customHeight="1" thickBot="1" x14ac:dyDescent="0.3">
      <c r="B36" s="53"/>
      <c r="C36" s="70" t="s">
        <v>348</v>
      </c>
      <c r="D36" s="67"/>
      <c r="E36" s="607" t="s">
        <v>353</v>
      </c>
      <c r="F36" s="608"/>
      <c r="G36" s="608"/>
      <c r="H36" s="608"/>
      <c r="I36" s="608"/>
      <c r="J36" s="608"/>
      <c r="K36" s="608"/>
      <c r="L36" s="609"/>
      <c r="M36" s="29"/>
      <c r="N36" s="102"/>
    </row>
    <row r="37" spans="2:14" ht="6.75" customHeight="1" thickBot="1" x14ac:dyDescent="0.3">
      <c r="B37" s="53"/>
      <c r="C37" s="50"/>
      <c r="D37" s="50"/>
      <c r="E37" s="50"/>
      <c r="F37" s="50"/>
      <c r="G37" s="28"/>
      <c r="H37" s="2"/>
      <c r="I37" s="2"/>
      <c r="J37" s="2"/>
      <c r="K37" s="2"/>
      <c r="L37" s="2"/>
      <c r="M37" s="29"/>
      <c r="N37" s="102"/>
    </row>
    <row r="38" spans="2:14" ht="17.25" customHeight="1" thickBot="1" x14ac:dyDescent="0.3">
      <c r="B38" s="53"/>
      <c r="C38" s="71" t="s">
        <v>473</v>
      </c>
      <c r="D38" s="68"/>
      <c r="E38" s="637" t="s">
        <v>258</v>
      </c>
      <c r="F38" s="638"/>
      <c r="G38" s="638"/>
      <c r="H38" s="638"/>
      <c r="I38" s="638"/>
      <c r="J38" s="638"/>
      <c r="K38" s="638"/>
      <c r="L38" s="639"/>
      <c r="M38" s="29"/>
      <c r="N38" s="102"/>
    </row>
    <row r="39" spans="2:14" ht="6.75" customHeight="1" thickBot="1" x14ac:dyDescent="0.3">
      <c r="B39" s="53"/>
      <c r="C39" s="50"/>
      <c r="D39" s="50"/>
      <c r="E39" s="50"/>
      <c r="F39" s="50"/>
      <c r="G39" s="28"/>
      <c r="H39" s="2"/>
      <c r="I39" s="2"/>
      <c r="J39" s="2"/>
      <c r="K39" s="2"/>
      <c r="L39" s="2"/>
      <c r="M39" s="29"/>
      <c r="N39" s="102"/>
    </row>
    <row r="40" spans="2:14" ht="27.75" customHeight="1" thickBot="1" x14ac:dyDescent="0.3">
      <c r="B40" s="53"/>
      <c r="C40" s="71" t="s">
        <v>486</v>
      </c>
      <c r="D40" s="68"/>
      <c r="E40" s="607" t="s">
        <v>418</v>
      </c>
      <c r="F40" s="608"/>
      <c r="G40" s="608"/>
      <c r="H40" s="608"/>
      <c r="I40" s="608"/>
      <c r="J40" s="608"/>
      <c r="K40" s="608"/>
      <c r="L40" s="609"/>
      <c r="M40" s="29"/>
      <c r="N40" s="102"/>
    </row>
    <row r="41" spans="2:14" ht="6.75" customHeight="1" thickBot="1" x14ac:dyDescent="0.3">
      <c r="B41" s="53"/>
      <c r="C41" s="50"/>
      <c r="D41" s="50"/>
      <c r="E41" s="50"/>
      <c r="F41" s="50"/>
      <c r="G41" s="28"/>
      <c r="H41" s="2"/>
      <c r="I41" s="2"/>
      <c r="J41" s="2"/>
      <c r="K41" s="2"/>
      <c r="L41" s="2"/>
      <c r="M41" s="29"/>
      <c r="N41" s="102"/>
    </row>
    <row r="42" spans="2:14" ht="77.25" customHeight="1" thickBot="1" x14ac:dyDescent="0.3">
      <c r="B42" s="53"/>
      <c r="C42" s="71" t="s">
        <v>489</v>
      </c>
      <c r="D42" s="67"/>
      <c r="E42" s="607" t="s">
        <v>427</v>
      </c>
      <c r="F42" s="608"/>
      <c r="G42" s="608"/>
      <c r="H42" s="608"/>
      <c r="I42" s="608"/>
      <c r="J42" s="608"/>
      <c r="K42" s="608"/>
      <c r="L42" s="609"/>
      <c r="M42" s="29"/>
      <c r="N42" s="102"/>
    </row>
    <row r="43" spans="2:14" ht="6.75" customHeight="1" thickBot="1" x14ac:dyDescent="0.3">
      <c r="B43" s="53"/>
      <c r="C43" s="50"/>
      <c r="D43" s="50"/>
      <c r="E43" s="50"/>
      <c r="F43" s="50"/>
      <c r="G43" s="28"/>
      <c r="H43" s="2"/>
      <c r="I43" s="2"/>
      <c r="J43" s="2"/>
      <c r="K43" s="2"/>
      <c r="L43" s="2"/>
      <c r="M43" s="29"/>
      <c r="N43" s="102"/>
    </row>
    <row r="44" spans="2:14" ht="123" customHeight="1" thickBot="1" x14ac:dyDescent="0.3">
      <c r="B44" s="53"/>
      <c r="C44" s="70" t="s">
        <v>485</v>
      </c>
      <c r="D44" s="67"/>
      <c r="E44" s="607" t="s">
        <v>109</v>
      </c>
      <c r="F44" s="608"/>
      <c r="G44" s="608"/>
      <c r="H44" s="608"/>
      <c r="I44" s="608"/>
      <c r="J44" s="608"/>
      <c r="K44" s="608"/>
      <c r="L44" s="609"/>
      <c r="M44" s="29"/>
      <c r="N44" s="102"/>
    </row>
    <row r="45" spans="2:14" ht="6.75" customHeight="1" thickBot="1" x14ac:dyDescent="0.3">
      <c r="B45" s="53"/>
      <c r="C45" s="50"/>
      <c r="D45" s="50"/>
      <c r="E45" s="50"/>
      <c r="F45" s="50"/>
      <c r="G45" s="28"/>
      <c r="H45" s="2"/>
      <c r="I45" s="2"/>
      <c r="J45" s="2"/>
      <c r="K45" s="2"/>
      <c r="L45" s="2"/>
      <c r="M45" s="29"/>
      <c r="N45" s="102"/>
    </row>
    <row r="46" spans="2:14" ht="130.5" customHeight="1" x14ac:dyDescent="0.25">
      <c r="B46" s="53"/>
      <c r="C46" s="643" t="s">
        <v>259</v>
      </c>
      <c r="D46" s="645"/>
      <c r="E46" s="650" t="s">
        <v>236</v>
      </c>
      <c r="F46" s="651"/>
      <c r="G46" s="651"/>
      <c r="H46" s="651"/>
      <c r="I46" s="651"/>
      <c r="J46" s="651"/>
      <c r="K46" s="651"/>
      <c r="L46" s="652"/>
      <c r="M46" s="29"/>
      <c r="N46" s="102"/>
    </row>
    <row r="47" spans="2:14" ht="201.75" customHeight="1" thickBot="1" x14ac:dyDescent="0.3">
      <c r="B47" s="53"/>
      <c r="C47" s="644"/>
      <c r="D47" s="646"/>
      <c r="E47" s="647" t="s">
        <v>545</v>
      </c>
      <c r="F47" s="648"/>
      <c r="G47" s="648"/>
      <c r="H47" s="648"/>
      <c r="I47" s="648"/>
      <c r="J47" s="648"/>
      <c r="K47" s="648"/>
      <c r="L47" s="649"/>
      <c r="M47" s="29"/>
      <c r="N47" s="102"/>
    </row>
    <row r="48" spans="2:14" ht="6.75" customHeight="1" thickBot="1" x14ac:dyDescent="0.3">
      <c r="B48" s="53"/>
      <c r="C48" s="50"/>
      <c r="D48" s="50"/>
      <c r="E48" s="50"/>
      <c r="F48" s="50"/>
      <c r="G48" s="28"/>
      <c r="H48" s="2"/>
      <c r="I48" s="2"/>
      <c r="J48" s="2"/>
      <c r="K48" s="2"/>
      <c r="L48" s="2"/>
      <c r="M48" s="29"/>
      <c r="N48" s="102"/>
    </row>
    <row r="49" spans="2:14" ht="24.75" customHeight="1" thickBot="1" x14ac:dyDescent="0.3">
      <c r="B49" s="53"/>
      <c r="C49" s="71" t="s">
        <v>475</v>
      </c>
      <c r="D49" s="68"/>
      <c r="E49" s="610" t="s">
        <v>228</v>
      </c>
      <c r="F49" s="611"/>
      <c r="G49" s="611"/>
      <c r="H49" s="611"/>
      <c r="I49" s="611"/>
      <c r="J49" s="611"/>
      <c r="K49" s="611"/>
      <c r="L49" s="612"/>
      <c r="M49" s="29"/>
      <c r="N49" s="102"/>
    </row>
    <row r="50" spans="2:14" ht="6.75" customHeight="1" thickBot="1" x14ac:dyDescent="0.3">
      <c r="B50" s="53"/>
      <c r="C50" s="30"/>
      <c r="D50" s="27"/>
      <c r="E50" s="27"/>
      <c r="F50" s="27"/>
      <c r="G50" s="59"/>
      <c r="H50" s="58"/>
      <c r="I50" s="58"/>
      <c r="J50" s="58"/>
      <c r="K50" s="58"/>
      <c r="L50" s="58"/>
      <c r="M50" s="29"/>
      <c r="N50" s="102"/>
    </row>
    <row r="51" spans="2:14" ht="52.5" customHeight="1" thickBot="1" x14ac:dyDescent="0.3">
      <c r="B51" s="53"/>
      <c r="C51" s="70" t="s">
        <v>425</v>
      </c>
      <c r="D51" s="67"/>
      <c r="E51" s="607" t="s">
        <v>555</v>
      </c>
      <c r="F51" s="608"/>
      <c r="G51" s="608"/>
      <c r="H51" s="608"/>
      <c r="I51" s="608"/>
      <c r="J51" s="608"/>
      <c r="K51" s="608"/>
      <c r="L51" s="609"/>
      <c r="M51" s="29"/>
      <c r="N51" s="102"/>
    </row>
    <row r="52" spans="2:14" ht="6.75" customHeight="1" thickBot="1" x14ac:dyDescent="0.3">
      <c r="B52" s="53"/>
      <c r="C52" s="30"/>
      <c r="D52" s="27"/>
      <c r="E52" s="27"/>
      <c r="F52" s="27"/>
      <c r="G52" s="59"/>
      <c r="H52" s="58"/>
      <c r="I52" s="58"/>
      <c r="J52" s="58"/>
      <c r="K52" s="58"/>
      <c r="L52" s="58"/>
      <c r="M52" s="29"/>
      <c r="N52" s="102"/>
    </row>
    <row r="53" spans="2:14" ht="182.25" customHeight="1" thickBot="1" x14ac:dyDescent="0.3">
      <c r="B53" s="53"/>
      <c r="C53" s="71" t="s">
        <v>424</v>
      </c>
      <c r="D53" s="68"/>
      <c r="E53" s="607" t="s">
        <v>558</v>
      </c>
      <c r="F53" s="608"/>
      <c r="G53" s="608"/>
      <c r="H53" s="608"/>
      <c r="I53" s="608"/>
      <c r="J53" s="608"/>
      <c r="K53" s="608"/>
      <c r="L53" s="609"/>
      <c r="M53" s="29"/>
      <c r="N53" s="102"/>
    </row>
    <row r="54" spans="2:14" ht="6.75" customHeight="1" thickBot="1" x14ac:dyDescent="0.3">
      <c r="B54" s="53"/>
      <c r="C54" s="50"/>
      <c r="D54" s="50"/>
      <c r="E54" s="50"/>
      <c r="F54" s="50"/>
      <c r="G54" s="28"/>
      <c r="H54" s="2"/>
      <c r="I54" s="2"/>
      <c r="J54" s="2"/>
      <c r="K54" s="2"/>
      <c r="L54" s="2"/>
      <c r="M54" s="29"/>
      <c r="N54" s="102"/>
    </row>
    <row r="55" spans="2:14" ht="102" customHeight="1" x14ac:dyDescent="0.25">
      <c r="B55" s="53"/>
      <c r="C55" s="622" t="s">
        <v>564</v>
      </c>
      <c r="D55" s="625"/>
      <c r="E55" s="618" t="s">
        <v>465</v>
      </c>
      <c r="F55" s="619"/>
      <c r="G55" s="619"/>
      <c r="H55" s="619"/>
      <c r="I55" s="619"/>
      <c r="J55" s="619"/>
      <c r="K55" s="619"/>
      <c r="L55" s="620"/>
      <c r="M55" s="29"/>
      <c r="N55" s="102"/>
    </row>
    <row r="56" spans="2:14" ht="18" customHeight="1" x14ac:dyDescent="0.25">
      <c r="B56" s="53"/>
      <c r="C56" s="623"/>
      <c r="D56" s="626"/>
      <c r="E56" s="616" t="s">
        <v>159</v>
      </c>
      <c r="F56" s="617"/>
      <c r="G56" s="283" t="s">
        <v>157</v>
      </c>
      <c r="H56" s="283"/>
      <c r="I56" s="628" t="s">
        <v>158</v>
      </c>
      <c r="J56" s="628"/>
      <c r="K56" s="280"/>
      <c r="L56" s="284"/>
      <c r="M56" s="29"/>
      <c r="N56" s="102"/>
    </row>
    <row r="57" spans="2:14" ht="18.75" customHeight="1" x14ac:dyDescent="0.25">
      <c r="B57" s="53"/>
      <c r="C57" s="623"/>
      <c r="D57" s="626"/>
      <c r="E57" s="632">
        <v>1</v>
      </c>
      <c r="F57" s="633"/>
      <c r="G57" s="291" t="s">
        <v>153</v>
      </c>
      <c r="H57" s="281" t="s">
        <v>156</v>
      </c>
      <c r="I57" s="282">
        <f>E57*INDEX(Sheet1!N2:P4,MATCH(G57,Sheet1!M2:M4,0),MATCH(J57,Sheet1!N1:P1,0))</f>
        <v>3.068883289737228</v>
      </c>
      <c r="J57" s="291" t="s">
        <v>562</v>
      </c>
      <c r="K57" s="280"/>
      <c r="L57" s="284"/>
      <c r="M57" s="29"/>
      <c r="N57" s="102"/>
    </row>
    <row r="58" spans="2:14" ht="18" customHeight="1" x14ac:dyDescent="0.25">
      <c r="B58" s="53"/>
      <c r="C58" s="623"/>
      <c r="D58" s="626"/>
      <c r="E58" s="285"/>
      <c r="F58" s="279"/>
      <c r="G58" s="621" t="str">
        <f>"(conversion factor = "&amp;INDEX(Sheet1!N2:P4,MATCH(G57,Sheet1!M2:M4,0),MATCH(J57,Sheet1!N1:P1,0))&amp;")"</f>
        <v>(conversion factor = 3.06888328973723)</v>
      </c>
      <c r="H58" s="621"/>
      <c r="I58" s="621"/>
      <c r="J58" s="621"/>
      <c r="K58" s="280"/>
      <c r="L58" s="284"/>
      <c r="M58" s="29"/>
      <c r="N58" s="102"/>
    </row>
    <row r="59" spans="2:14" ht="3.75" customHeight="1" thickBot="1" x14ac:dyDescent="0.3">
      <c r="B59" s="53"/>
      <c r="C59" s="624"/>
      <c r="D59" s="627"/>
      <c r="E59" s="286"/>
      <c r="F59" s="287"/>
      <c r="G59" s="288"/>
      <c r="H59" s="289"/>
      <c r="I59" s="289"/>
      <c r="J59" s="289"/>
      <c r="K59" s="289"/>
      <c r="L59" s="290"/>
      <c r="M59" s="29"/>
      <c r="N59" s="102"/>
    </row>
    <row r="60" spans="2:14" ht="6.75" customHeight="1" thickBot="1" x14ac:dyDescent="0.3">
      <c r="B60" s="53"/>
      <c r="C60" s="32"/>
      <c r="D60" s="32"/>
      <c r="E60" s="32"/>
      <c r="F60" s="32"/>
      <c r="G60" s="2"/>
      <c r="H60" s="2"/>
      <c r="I60" s="2"/>
      <c r="J60" s="2"/>
      <c r="K60" s="2"/>
      <c r="L60" s="2"/>
      <c r="M60" s="29"/>
      <c r="N60" s="102"/>
    </row>
    <row r="61" spans="2:14" ht="209.25" customHeight="1" thickBot="1" x14ac:dyDescent="0.3">
      <c r="B61" s="53"/>
      <c r="C61" s="65" t="s">
        <v>108</v>
      </c>
      <c r="D61" s="101"/>
      <c r="E61" s="613"/>
      <c r="F61" s="614"/>
      <c r="G61" s="614"/>
      <c r="H61" s="614"/>
      <c r="I61" s="614"/>
      <c r="J61" s="614"/>
      <c r="K61" s="614"/>
      <c r="L61" s="615"/>
      <c r="M61" s="29"/>
      <c r="N61" s="102"/>
    </row>
    <row r="62" spans="2:14" ht="6.75" customHeight="1" thickBot="1" x14ac:dyDescent="0.3">
      <c r="B62" s="53"/>
      <c r="C62" s="32"/>
      <c r="D62" s="32"/>
      <c r="E62" s="32"/>
      <c r="F62" s="32"/>
      <c r="G62" s="2"/>
      <c r="H62" s="2"/>
      <c r="I62" s="2"/>
      <c r="J62" s="2"/>
      <c r="K62" s="2"/>
      <c r="L62" s="2"/>
      <c r="M62" s="29"/>
      <c r="N62" s="102"/>
    </row>
    <row r="63" spans="2:14" ht="50.25" customHeight="1" thickBot="1" x14ac:dyDescent="0.3">
      <c r="B63" s="53"/>
      <c r="C63" s="130" t="s">
        <v>33</v>
      </c>
      <c r="D63" s="101"/>
      <c r="E63" s="607" t="s">
        <v>374</v>
      </c>
      <c r="F63" s="608"/>
      <c r="G63" s="608"/>
      <c r="H63" s="608"/>
      <c r="I63" s="608"/>
      <c r="J63" s="608"/>
      <c r="K63" s="608"/>
      <c r="L63" s="609"/>
      <c r="M63" s="29"/>
      <c r="N63" s="102"/>
    </row>
    <row r="64" spans="2:14" ht="6.75" customHeight="1" thickBot="1" x14ac:dyDescent="0.3">
      <c r="B64" s="53"/>
      <c r="C64" s="32"/>
      <c r="D64" s="32"/>
      <c r="E64" s="32"/>
      <c r="F64" s="32"/>
      <c r="G64" s="2"/>
      <c r="H64" s="2"/>
      <c r="I64" s="2"/>
      <c r="J64" s="2"/>
      <c r="K64" s="2"/>
      <c r="L64" s="2"/>
      <c r="M64" s="29"/>
      <c r="N64" s="102"/>
    </row>
    <row r="65" spans="1:14" ht="17.25" customHeight="1" thickBot="1" x14ac:dyDescent="0.3">
      <c r="B65" s="53"/>
      <c r="C65" s="65" t="s">
        <v>420</v>
      </c>
      <c r="D65" s="60"/>
      <c r="E65" s="610" t="s">
        <v>506</v>
      </c>
      <c r="F65" s="611"/>
      <c r="G65" s="611"/>
      <c r="H65" s="611"/>
      <c r="I65" s="611"/>
      <c r="J65" s="611"/>
      <c r="K65" s="611"/>
      <c r="L65" s="612"/>
      <c r="M65" s="29"/>
      <c r="N65" s="102"/>
    </row>
    <row r="66" spans="1:14" ht="6.75" customHeight="1" thickBot="1" x14ac:dyDescent="0.3">
      <c r="B66" s="53"/>
      <c r="C66" s="32"/>
      <c r="D66" s="32"/>
      <c r="E66" s="32"/>
      <c r="F66" s="32"/>
      <c r="G66" s="2"/>
      <c r="H66" s="2"/>
      <c r="I66" s="2"/>
      <c r="J66" s="2"/>
      <c r="K66" s="2"/>
      <c r="L66" s="2"/>
      <c r="M66" s="29"/>
      <c r="N66" s="102"/>
    </row>
    <row r="67" spans="1:14" ht="39" customHeight="1" thickBot="1" x14ac:dyDescent="0.3">
      <c r="B67" s="53"/>
      <c r="C67" s="65" t="s">
        <v>423</v>
      </c>
      <c r="D67" s="60"/>
      <c r="E67" s="610" t="s">
        <v>68</v>
      </c>
      <c r="F67" s="611"/>
      <c r="G67" s="611"/>
      <c r="H67" s="611"/>
      <c r="I67" s="611"/>
      <c r="J67" s="611"/>
      <c r="K67" s="611"/>
      <c r="L67" s="612"/>
      <c r="M67" s="29"/>
      <c r="N67" s="102"/>
    </row>
    <row r="68" spans="1:14" ht="6.75" customHeight="1" thickBot="1" x14ac:dyDescent="0.3">
      <c r="A68" s="227"/>
      <c r="B68" s="31"/>
      <c r="C68" s="62"/>
      <c r="D68" s="51"/>
      <c r="E68" s="51"/>
      <c r="F68" s="51"/>
      <c r="G68" s="57"/>
      <c r="H68" s="58"/>
      <c r="I68" s="58"/>
      <c r="J68" s="58"/>
      <c r="K68" s="58"/>
      <c r="L68" s="58"/>
      <c r="M68" s="29"/>
      <c r="N68" s="102"/>
    </row>
    <row r="69" spans="1:14" ht="39" customHeight="1" thickBot="1" x14ac:dyDescent="0.3">
      <c r="B69" s="53"/>
      <c r="C69" s="65" t="s">
        <v>419</v>
      </c>
      <c r="D69" s="60"/>
      <c r="E69" s="610" t="s">
        <v>67</v>
      </c>
      <c r="F69" s="611"/>
      <c r="G69" s="611"/>
      <c r="H69" s="611"/>
      <c r="I69" s="611"/>
      <c r="J69" s="611"/>
      <c r="K69" s="611"/>
      <c r="L69" s="612"/>
      <c r="M69" s="29"/>
      <c r="N69" s="102"/>
    </row>
    <row r="70" spans="1:14" ht="6.75" customHeight="1" thickBot="1" x14ac:dyDescent="0.3">
      <c r="B70" s="53"/>
      <c r="C70" s="32"/>
      <c r="D70" s="32"/>
      <c r="E70" s="32"/>
      <c r="F70" s="32"/>
      <c r="G70" s="2"/>
      <c r="H70" s="2"/>
      <c r="I70" s="2"/>
      <c r="J70" s="2"/>
      <c r="K70" s="2"/>
      <c r="L70" s="2"/>
      <c r="M70" s="29"/>
      <c r="N70" s="102"/>
    </row>
    <row r="71" spans="1:14" ht="74.25" customHeight="1" thickBot="1" x14ac:dyDescent="0.3">
      <c r="B71" s="53"/>
      <c r="C71" s="70" t="s">
        <v>484</v>
      </c>
      <c r="D71" s="67"/>
      <c r="E71" s="604" t="s">
        <v>341</v>
      </c>
      <c r="F71" s="605"/>
      <c r="G71" s="605"/>
      <c r="H71" s="605"/>
      <c r="I71" s="605"/>
      <c r="J71" s="605"/>
      <c r="K71" s="605"/>
      <c r="L71" s="606"/>
      <c r="M71" s="29"/>
      <c r="N71" s="102"/>
    </row>
    <row r="72" spans="1:14" ht="6.75" customHeight="1" thickBot="1" x14ac:dyDescent="0.3">
      <c r="B72" s="55"/>
      <c r="C72" s="33"/>
      <c r="D72" s="33"/>
      <c r="E72" s="33"/>
      <c r="F72" s="33"/>
      <c r="G72" s="33"/>
      <c r="H72" s="33"/>
      <c r="I72" s="33"/>
      <c r="J72" s="33"/>
      <c r="K72" s="33"/>
      <c r="L72" s="33"/>
      <c r="M72" s="34"/>
      <c r="N72" s="102"/>
    </row>
    <row r="73" spans="1:14" ht="9.75" hidden="1" customHeight="1" thickTop="1" x14ac:dyDescent="0.25">
      <c r="N73" s="102"/>
    </row>
    <row r="74" spans="1:14" hidden="1" x14ac:dyDescent="0.25">
      <c r="N74" s="102"/>
    </row>
  </sheetData>
  <sheetProtection password="E218" sheet="1" objects="1" scenarios="1"/>
  <mergeCells count="42">
    <mergeCell ref="C2:I2"/>
    <mergeCell ref="E14:L14"/>
    <mergeCell ref="E28:L28"/>
    <mergeCell ref="E24:L24"/>
    <mergeCell ref="E12:L12"/>
    <mergeCell ref="E10:L10"/>
    <mergeCell ref="E18:L18"/>
    <mergeCell ref="E26:L26"/>
    <mergeCell ref="E16:L16"/>
    <mergeCell ref="E20:L20"/>
    <mergeCell ref="C46:C47"/>
    <mergeCell ref="D46:D47"/>
    <mergeCell ref="E47:L47"/>
    <mergeCell ref="E46:L46"/>
    <mergeCell ref="E44:L44"/>
    <mergeCell ref="E30:L30"/>
    <mergeCell ref="E22:L22"/>
    <mergeCell ref="E4:L4"/>
    <mergeCell ref="E6:L6"/>
    <mergeCell ref="E38:L38"/>
    <mergeCell ref="E8:L8"/>
    <mergeCell ref="E34:L34"/>
    <mergeCell ref="C55:C59"/>
    <mergeCell ref="D55:D59"/>
    <mergeCell ref="I56:J56"/>
    <mergeCell ref="E32:L32"/>
    <mergeCell ref="E36:L36"/>
    <mergeCell ref="E49:L49"/>
    <mergeCell ref="E42:L42"/>
    <mergeCell ref="E40:L40"/>
    <mergeCell ref="E51:L51"/>
    <mergeCell ref="E57:F57"/>
    <mergeCell ref="E71:L71"/>
    <mergeCell ref="E53:L53"/>
    <mergeCell ref="E67:L67"/>
    <mergeCell ref="E65:L65"/>
    <mergeCell ref="E63:L63"/>
    <mergeCell ref="E61:L61"/>
    <mergeCell ref="E56:F56"/>
    <mergeCell ref="E55:L55"/>
    <mergeCell ref="G58:J58"/>
    <mergeCell ref="E69:L69"/>
  </mergeCells>
  <phoneticPr fontId="0" type="noConversion"/>
  <dataValidations count="1">
    <dataValidation type="list" allowBlank="1" showInputMessage="1" showErrorMessage="1" sqref="G57 J57" xr:uid="{B751AAED-3277-4F4F-AAF4-0BB886ABE7D9}">
      <formula1>"Million Gallons (US),Megalitres (thousand cubic metres),Acre-feet"</formula1>
    </dataValidation>
  </dataValidations>
  <pageMargins left="0.5" right="0.41" top="0.72" bottom="0.49" header="0.41" footer="0.3"/>
  <pageSetup scale="69" orientation="portrait" horizontalDpi="1200" r:id="rId1"/>
  <headerFooter alignWithMargins="0">
    <oddFooter>&amp;CAWWA Water Loss Control Committee&amp;R&amp;A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BE2A-B6D5-4CBD-8926-DC8BAE0C2272}">
  <sheetPr codeName="Sheet11">
    <tabColor indexed="48"/>
  </sheetPr>
  <dimension ref="A1:IU94"/>
  <sheetViews>
    <sheetView showGridLines="0" showRowColHeaders="0" topLeftCell="A7"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715" t="s">
        <v>496</v>
      </c>
      <c r="D2" s="716"/>
      <c r="E2" s="716"/>
      <c r="F2" s="716"/>
      <c r="G2" s="717"/>
      <c r="H2" s="717"/>
      <c r="I2" s="717"/>
      <c r="J2" s="717"/>
      <c r="K2" s="718"/>
      <c r="L2" s="718"/>
      <c r="M2" s="718"/>
      <c r="N2" s="718"/>
      <c r="O2" s="718"/>
      <c r="P2" s="48"/>
      <c r="Q2" s="48"/>
      <c r="R2" s="48"/>
      <c r="S2" s="357"/>
      <c r="T2" s="353"/>
      <c r="U2" s="351"/>
    </row>
    <row r="3" spans="1:22" ht="13.5" customHeight="1" thickTop="1" thickBot="1" x14ac:dyDescent="0.3">
      <c r="B3" s="53"/>
      <c r="C3" s="2"/>
      <c r="D3" s="2"/>
      <c r="E3" s="2"/>
      <c r="F3" s="2"/>
      <c r="G3" s="2"/>
      <c r="H3" s="2"/>
      <c r="I3" s="2"/>
      <c r="J3" s="2"/>
      <c r="K3" s="2"/>
      <c r="L3" s="2"/>
      <c r="M3" s="2"/>
      <c r="N3" s="2"/>
      <c r="O3" s="2"/>
      <c r="P3" s="2"/>
      <c r="Q3" s="2"/>
      <c r="R3" s="2"/>
      <c r="S3" s="358"/>
      <c r="T3" s="354"/>
      <c r="U3" s="350"/>
    </row>
    <row r="4" spans="1:22" ht="36.75" customHeight="1" thickBot="1" x14ac:dyDescent="0.3">
      <c r="B4" s="53"/>
      <c r="C4" s="719" t="s">
        <v>398</v>
      </c>
      <c r="D4" s="720"/>
      <c r="E4" s="720"/>
      <c r="F4" s="720"/>
      <c r="G4" s="720"/>
      <c r="H4" s="720"/>
      <c r="I4" s="720"/>
      <c r="J4" s="720"/>
      <c r="K4" s="720"/>
      <c r="L4" s="720"/>
      <c r="M4" s="720"/>
      <c r="N4" s="720"/>
      <c r="O4" s="720"/>
      <c r="P4" s="720"/>
      <c r="Q4" s="720"/>
      <c r="R4" s="721"/>
      <c r="S4" s="358"/>
      <c r="T4" s="354"/>
      <c r="U4" s="350"/>
    </row>
    <row r="5" spans="1:22" ht="18.75" customHeight="1" thickTop="1" x14ac:dyDescent="0.25">
      <c r="B5" s="53"/>
      <c r="C5" s="341"/>
      <c r="D5" s="691" t="s">
        <v>332</v>
      </c>
      <c r="E5" s="692"/>
      <c r="F5" s="692"/>
      <c r="G5" s="692"/>
      <c r="H5" s="692"/>
      <c r="I5" s="692"/>
      <c r="J5" s="692"/>
      <c r="K5" s="692"/>
      <c r="L5" s="692"/>
      <c r="M5" s="692"/>
      <c r="N5" s="692"/>
      <c r="O5" s="692"/>
      <c r="P5" s="692"/>
      <c r="Q5" s="692"/>
      <c r="R5" s="693"/>
      <c r="S5" s="358"/>
      <c r="T5" s="354"/>
      <c r="U5" s="350"/>
    </row>
    <row r="6" spans="1:22" ht="34.5" customHeight="1" thickBot="1" x14ac:dyDescent="0.3">
      <c r="B6" s="53"/>
      <c r="C6" s="342" t="s">
        <v>399</v>
      </c>
      <c r="D6" s="694" t="s">
        <v>414</v>
      </c>
      <c r="E6" s="695"/>
      <c r="F6" s="696"/>
      <c r="G6" s="703" t="s">
        <v>6</v>
      </c>
      <c r="H6" s="695"/>
      <c r="I6" s="696"/>
      <c r="J6" s="703" t="s">
        <v>7</v>
      </c>
      <c r="K6" s="695"/>
      <c r="L6" s="696"/>
      <c r="M6" s="703" t="s">
        <v>8</v>
      </c>
      <c r="N6" s="695"/>
      <c r="O6" s="696"/>
      <c r="P6" s="703" t="s">
        <v>9</v>
      </c>
      <c r="Q6" s="695"/>
      <c r="R6" s="704"/>
      <c r="S6" s="358"/>
      <c r="T6" s="354"/>
      <c r="U6" s="350"/>
    </row>
    <row r="7" spans="1:22" ht="66.75" customHeight="1" thickTop="1" x14ac:dyDescent="0.25">
      <c r="B7" s="53"/>
      <c r="C7" s="343" t="s">
        <v>56</v>
      </c>
      <c r="D7" s="697" t="s">
        <v>57</v>
      </c>
      <c r="E7" s="698"/>
      <c r="F7" s="699"/>
      <c r="G7" s="705" t="s">
        <v>58</v>
      </c>
      <c r="H7" s="698"/>
      <c r="I7" s="699"/>
      <c r="J7" s="705" t="s">
        <v>59</v>
      </c>
      <c r="K7" s="698"/>
      <c r="L7" s="722"/>
      <c r="M7" s="705" t="s">
        <v>510</v>
      </c>
      <c r="N7" s="698"/>
      <c r="O7" s="722"/>
      <c r="P7" s="705" t="s">
        <v>511</v>
      </c>
      <c r="Q7" s="698"/>
      <c r="R7" s="722"/>
      <c r="S7" s="358"/>
      <c r="T7" s="354"/>
      <c r="U7" s="350"/>
    </row>
    <row r="8" spans="1:22" ht="78" customHeight="1" x14ac:dyDescent="0.25">
      <c r="B8" s="53"/>
      <c r="C8" s="344" t="s">
        <v>512</v>
      </c>
      <c r="D8" s="700" t="s">
        <v>513</v>
      </c>
      <c r="E8" s="701"/>
      <c r="F8" s="702"/>
      <c r="G8" s="706" t="s">
        <v>514</v>
      </c>
      <c r="H8" s="701"/>
      <c r="I8" s="702"/>
      <c r="J8" s="706" t="s">
        <v>515</v>
      </c>
      <c r="K8" s="701"/>
      <c r="L8" s="707"/>
      <c r="M8" s="706" t="s">
        <v>516</v>
      </c>
      <c r="N8" s="701"/>
      <c r="O8" s="707"/>
      <c r="P8" s="706" t="s">
        <v>11</v>
      </c>
      <c r="Q8" s="701"/>
      <c r="R8" s="707"/>
      <c r="S8" s="358"/>
      <c r="T8" s="354"/>
      <c r="U8" s="350"/>
    </row>
    <row r="9" spans="1:22" ht="105.75" customHeight="1" x14ac:dyDescent="0.25">
      <c r="B9" s="53"/>
      <c r="C9" s="344" t="s">
        <v>12</v>
      </c>
      <c r="D9" s="708"/>
      <c r="E9" s="709"/>
      <c r="F9" s="710"/>
      <c r="G9" s="711" t="s">
        <v>13</v>
      </c>
      <c r="H9" s="712"/>
      <c r="I9" s="713"/>
      <c r="J9" s="706" t="s">
        <v>46</v>
      </c>
      <c r="K9" s="701"/>
      <c r="L9" s="707"/>
      <c r="M9" s="706" t="s">
        <v>47</v>
      </c>
      <c r="N9" s="701"/>
      <c r="O9" s="707"/>
      <c r="P9" s="706" t="s">
        <v>280</v>
      </c>
      <c r="Q9" s="701"/>
      <c r="R9" s="707"/>
      <c r="S9" s="358"/>
      <c r="T9" s="354"/>
      <c r="U9" s="350"/>
    </row>
    <row r="10" spans="1:22" ht="68.25" customHeight="1" x14ac:dyDescent="0.25">
      <c r="B10" s="53"/>
      <c r="C10" s="344" t="s">
        <v>281</v>
      </c>
      <c r="D10" s="708"/>
      <c r="E10" s="709"/>
      <c r="F10" s="710"/>
      <c r="G10" s="714"/>
      <c r="H10" s="709"/>
      <c r="I10" s="710"/>
      <c r="J10" s="706" t="s">
        <v>282</v>
      </c>
      <c r="K10" s="701"/>
      <c r="L10" s="707"/>
      <c r="M10" s="706" t="s">
        <v>283</v>
      </c>
      <c r="N10" s="701"/>
      <c r="O10" s="707"/>
      <c r="P10" s="706" t="s">
        <v>284</v>
      </c>
      <c r="Q10" s="701"/>
      <c r="R10" s="707"/>
      <c r="S10" s="358"/>
      <c r="T10" s="354"/>
      <c r="U10" s="350"/>
    </row>
    <row r="11" spans="1:22" ht="84" customHeight="1" thickBot="1" x14ac:dyDescent="0.3">
      <c r="B11" s="53"/>
      <c r="C11" s="345" t="s">
        <v>285</v>
      </c>
      <c r="D11" s="678"/>
      <c r="E11" s="679"/>
      <c r="F11" s="680"/>
      <c r="G11" s="681"/>
      <c r="H11" s="679"/>
      <c r="I11" s="680"/>
      <c r="J11" s="682" t="s">
        <v>329</v>
      </c>
      <c r="K11" s="683"/>
      <c r="L11" s="684"/>
      <c r="M11" s="682" t="s">
        <v>330</v>
      </c>
      <c r="N11" s="683"/>
      <c r="O11" s="684"/>
      <c r="P11" s="682" t="s">
        <v>331</v>
      </c>
      <c r="Q11" s="683"/>
      <c r="R11" s="684"/>
      <c r="S11" s="358"/>
      <c r="T11" s="354"/>
      <c r="U11" s="350"/>
    </row>
    <row r="12" spans="1:22" ht="21" customHeight="1" thickTop="1" thickBot="1" x14ac:dyDescent="0.3">
      <c r="B12" s="53"/>
      <c r="C12" s="688" t="s">
        <v>5</v>
      </c>
      <c r="D12" s="689"/>
      <c r="E12" s="689"/>
      <c r="F12" s="689"/>
      <c r="G12" s="689"/>
      <c r="H12" s="689"/>
      <c r="I12" s="689"/>
      <c r="J12" s="689"/>
      <c r="K12" s="689"/>
      <c r="L12" s="689"/>
      <c r="M12" s="689"/>
      <c r="N12" s="689"/>
      <c r="O12" s="689"/>
      <c r="P12" s="689"/>
      <c r="Q12" s="689"/>
      <c r="R12" s="690"/>
      <c r="S12" s="358"/>
      <c r="T12" s="354"/>
      <c r="U12" s="350"/>
    </row>
    <row r="13" spans="1:22" ht="19.5" customHeight="1" thickBot="1" x14ac:dyDescent="0.3">
      <c r="B13" s="53"/>
      <c r="C13" s="363"/>
      <c r="D13" s="363"/>
      <c r="E13" s="363"/>
      <c r="F13" s="363"/>
      <c r="G13" s="363"/>
      <c r="H13" s="363"/>
      <c r="I13" s="363"/>
      <c r="J13" s="363"/>
      <c r="K13" s="363"/>
      <c r="L13" s="363"/>
      <c r="M13" s="363"/>
      <c r="N13" s="363"/>
      <c r="O13" s="363"/>
      <c r="P13" s="363"/>
      <c r="Q13" s="363"/>
      <c r="R13" s="363"/>
      <c r="S13" s="358"/>
      <c r="T13" s="354"/>
      <c r="U13" s="350"/>
    </row>
    <row r="14" spans="1:22" ht="15.75" hidden="1" customHeight="1" x14ac:dyDescent="0.25">
      <c r="A14" s="18"/>
      <c r="B14" s="412"/>
      <c r="C14" s="413"/>
      <c r="D14" s="414"/>
      <c r="E14" s="415">
        <v>0</v>
      </c>
      <c r="F14" s="415"/>
      <c r="G14" s="415"/>
      <c r="H14" s="415">
        <v>26</v>
      </c>
      <c r="I14" s="415"/>
      <c r="J14" s="415"/>
      <c r="K14" s="415">
        <v>51</v>
      </c>
      <c r="L14" s="415"/>
      <c r="M14" s="415"/>
      <c r="N14" s="415">
        <v>71</v>
      </c>
      <c r="O14" s="415"/>
      <c r="P14" s="415"/>
      <c r="Q14" s="415">
        <v>91</v>
      </c>
      <c r="R14" s="415"/>
      <c r="S14" s="29"/>
      <c r="T14" s="354"/>
      <c r="U14" s="2"/>
      <c r="V14" s="414"/>
    </row>
    <row r="15" spans="1:22" ht="15.75" hidden="1" customHeight="1" x14ac:dyDescent="0.25">
      <c r="A15" s="18"/>
      <c r="B15" s="412"/>
      <c r="C15" s="413"/>
      <c r="D15" s="414"/>
      <c r="E15" s="415">
        <v>25</v>
      </c>
      <c r="F15" s="415"/>
      <c r="G15" s="415"/>
      <c r="H15" s="415">
        <v>50</v>
      </c>
      <c r="I15" s="415"/>
      <c r="J15" s="415"/>
      <c r="K15" s="415">
        <v>70</v>
      </c>
      <c r="L15" s="415"/>
      <c r="M15" s="415"/>
      <c r="N15" s="415">
        <v>90</v>
      </c>
      <c r="O15" s="415"/>
      <c r="P15" s="415"/>
      <c r="Q15" s="415">
        <v>100</v>
      </c>
      <c r="R15" s="415"/>
      <c r="S15" s="29"/>
      <c r="T15" s="354"/>
      <c r="U15" s="2"/>
      <c r="V15" s="414"/>
    </row>
    <row r="16" spans="1:22" ht="11.25" hidden="1" customHeight="1" thickBot="1" x14ac:dyDescent="0.3">
      <c r="B16" s="53"/>
      <c r="C16" s="350"/>
      <c r="D16" s="350"/>
      <c r="E16" s="350">
        <f>IF(AND(GradingAssessment!$G$22&gt;=E14,GradingAssessment!$G$22&lt;='Loss Control Planning'!E15),1,0)</f>
        <v>0</v>
      </c>
      <c r="F16" s="350"/>
      <c r="G16" s="350"/>
      <c r="H16" s="350">
        <f>IF(AND(GradingAssessment!$G$22&gt;=H14,GradingAssessment!$G$22&lt;='Loss Control Planning'!H15),1,0)</f>
        <v>0</v>
      </c>
      <c r="I16" s="350"/>
      <c r="J16" s="350"/>
      <c r="K16" s="350">
        <f>IF(AND(GradingAssessment!$G$22&gt;=K14,GradingAssessment!$G$22&lt;='Loss Control Planning'!K15),1,0)</f>
        <v>1</v>
      </c>
      <c r="L16" s="350"/>
      <c r="M16" s="350"/>
      <c r="N16" s="350">
        <f>IF(AND(GradingAssessment!$G$22&gt;=N14,GradingAssessment!$G$22&lt;='Loss Control Planning'!N15),1,0)</f>
        <v>0</v>
      </c>
      <c r="O16" s="350"/>
      <c r="P16" s="350"/>
      <c r="Q16" s="350">
        <f>IF(AND(GradingAssessment!$G$22&gt;=Q14,GradingAssessment!$G$22&lt;='Loss Control Planning'!Q15),1,0)</f>
        <v>0</v>
      </c>
      <c r="R16" s="350"/>
      <c r="S16" s="358"/>
      <c r="T16" s="354"/>
      <c r="U16" s="350"/>
    </row>
    <row r="17" spans="2:22" ht="140.25" customHeight="1" thickBot="1" x14ac:dyDescent="0.35">
      <c r="B17" s="53"/>
      <c r="C17" s="685" t="s">
        <v>462</v>
      </c>
      <c r="D17" s="686"/>
      <c r="E17" s="686"/>
      <c r="F17" s="686"/>
      <c r="G17" s="686"/>
      <c r="H17" s="686"/>
      <c r="I17" s="686"/>
      <c r="J17" s="686"/>
      <c r="K17" s="686"/>
      <c r="L17" s="686"/>
      <c r="M17" s="686"/>
      <c r="N17" s="686"/>
      <c r="O17" s="686"/>
      <c r="P17" s="686"/>
      <c r="Q17" s="686"/>
      <c r="R17" s="687"/>
      <c r="S17" s="358"/>
      <c r="T17" s="354"/>
      <c r="U17" s="350"/>
    </row>
    <row r="18" spans="2:22" ht="8.25" customHeight="1" thickBot="1" x14ac:dyDescent="0.3">
      <c r="B18" s="53"/>
      <c r="C18" s="32"/>
      <c r="D18" s="32"/>
      <c r="E18" s="32"/>
      <c r="F18" s="32"/>
      <c r="G18" s="2"/>
      <c r="H18" s="2"/>
      <c r="I18" s="2"/>
      <c r="J18" s="2"/>
      <c r="K18" s="2"/>
      <c r="L18" s="2"/>
      <c r="M18" s="2"/>
      <c r="N18" s="2"/>
      <c r="O18" s="2"/>
      <c r="P18" s="2"/>
      <c r="Q18" s="2"/>
      <c r="R18" s="2"/>
      <c r="S18" s="358"/>
      <c r="T18" s="354"/>
      <c r="U18" s="350"/>
    </row>
    <row r="19" spans="2:22" ht="42" customHeight="1" thickBot="1" x14ac:dyDescent="0.3">
      <c r="B19" s="53"/>
      <c r="C19" s="675" t="s">
        <v>533</v>
      </c>
      <c r="D19" s="676"/>
      <c r="E19" s="676"/>
      <c r="F19" s="676"/>
      <c r="G19" s="676"/>
      <c r="H19" s="676"/>
      <c r="I19" s="676"/>
      <c r="J19" s="676"/>
      <c r="K19" s="676"/>
      <c r="L19" s="676"/>
      <c r="M19" s="676"/>
      <c r="N19" s="676"/>
      <c r="O19" s="676"/>
      <c r="P19" s="676"/>
      <c r="Q19" s="676"/>
      <c r="R19" s="677"/>
      <c r="S19" s="358"/>
      <c r="T19" s="354"/>
      <c r="U19" s="350"/>
    </row>
    <row r="20" spans="2:22" ht="26.25" customHeight="1" thickBot="1" x14ac:dyDescent="0.3">
      <c r="B20" s="53"/>
      <c r="C20" s="98" t="s">
        <v>264</v>
      </c>
      <c r="D20" s="668" t="s">
        <v>267</v>
      </c>
      <c r="E20" s="669"/>
      <c r="F20" s="669"/>
      <c r="G20" s="669"/>
      <c r="H20" s="670"/>
      <c r="I20" s="668" t="s">
        <v>265</v>
      </c>
      <c r="J20" s="669"/>
      <c r="K20" s="669"/>
      <c r="L20" s="669"/>
      <c r="M20" s="670"/>
      <c r="N20" s="668" t="s">
        <v>266</v>
      </c>
      <c r="O20" s="669"/>
      <c r="P20" s="669"/>
      <c r="Q20" s="669"/>
      <c r="R20" s="670"/>
      <c r="S20" s="358"/>
      <c r="T20" s="354"/>
      <c r="U20" s="350"/>
    </row>
    <row r="21" spans="2:22" ht="84.75" customHeight="1" x14ac:dyDescent="0.25">
      <c r="B21" s="53">
        <v>1</v>
      </c>
      <c r="C21" s="346" t="s">
        <v>268</v>
      </c>
      <c r="D21" s="671" t="s">
        <v>526</v>
      </c>
      <c r="E21" s="672"/>
      <c r="F21" s="672"/>
      <c r="G21" s="672"/>
      <c r="H21" s="673"/>
      <c r="I21" s="671" t="s">
        <v>528</v>
      </c>
      <c r="J21" s="672"/>
      <c r="K21" s="672"/>
      <c r="L21" s="672"/>
      <c r="M21" s="673"/>
      <c r="N21" s="671" t="s">
        <v>530</v>
      </c>
      <c r="O21" s="672"/>
      <c r="P21" s="672"/>
      <c r="Q21" s="672"/>
      <c r="R21" s="674"/>
      <c r="S21" s="358">
        <f>IF(AND('Reporting Worksheet'!$I$105&gt;='Loss Control Planning'!U21,'Reporting Worksheet'!$I$105&lt;='Loss Control Planning'!V21),1,0)</f>
        <v>0</v>
      </c>
      <c r="T21" s="354"/>
      <c r="U21" s="350">
        <v>1</v>
      </c>
      <c r="V21" s="362">
        <v>3</v>
      </c>
    </row>
    <row r="22" spans="2:22" ht="97.5" customHeight="1" x14ac:dyDescent="0.25">
      <c r="B22" s="53">
        <v>2</v>
      </c>
      <c r="C22" s="347" t="s">
        <v>189</v>
      </c>
      <c r="D22" s="661" t="s">
        <v>535</v>
      </c>
      <c r="E22" s="662"/>
      <c r="F22" s="662"/>
      <c r="G22" s="662"/>
      <c r="H22" s="667"/>
      <c r="I22" s="661" t="s">
        <v>529</v>
      </c>
      <c r="J22" s="662"/>
      <c r="K22" s="662"/>
      <c r="L22" s="662"/>
      <c r="M22" s="667"/>
      <c r="N22" s="661" t="s">
        <v>531</v>
      </c>
      <c r="O22" s="662"/>
      <c r="P22" s="662"/>
      <c r="Q22" s="662"/>
      <c r="R22" s="663"/>
      <c r="S22" s="358">
        <f>IF(AND('Reporting Worksheet'!$I$105&gt;='Loss Control Planning'!U22,'Reporting Worksheet'!$I$105&lt;='Loss Control Planning'!V22),1,0)</f>
        <v>1</v>
      </c>
      <c r="T22" s="354"/>
      <c r="U22" s="350">
        <v>3</v>
      </c>
      <c r="V22" s="322">
        <v>5</v>
      </c>
    </row>
    <row r="23" spans="2:22" ht="72.75" customHeight="1" x14ac:dyDescent="0.25">
      <c r="B23" s="53">
        <v>3</v>
      </c>
      <c r="C23" s="349" t="s">
        <v>190</v>
      </c>
      <c r="D23" s="661" t="s">
        <v>527</v>
      </c>
      <c r="E23" s="662"/>
      <c r="F23" s="662"/>
      <c r="G23" s="662"/>
      <c r="H23" s="667"/>
      <c r="I23" s="661" t="s">
        <v>521</v>
      </c>
      <c r="J23" s="662"/>
      <c r="K23" s="662"/>
      <c r="L23" s="662"/>
      <c r="M23" s="667"/>
      <c r="N23" s="661" t="s">
        <v>532</v>
      </c>
      <c r="O23" s="662"/>
      <c r="P23" s="662"/>
      <c r="Q23" s="662"/>
      <c r="R23" s="663"/>
      <c r="S23" s="358">
        <f>IF(AND('Reporting Worksheet'!$I$105&gt;='Loss Control Planning'!U23,'Reporting Worksheet'!$I$105&lt;='Loss Control Planning'!V23),1,0)</f>
        <v>0</v>
      </c>
      <c r="T23" s="354"/>
      <c r="U23" s="350">
        <v>5</v>
      </c>
      <c r="V23" s="322">
        <v>8</v>
      </c>
    </row>
    <row r="24" spans="2:22" ht="48" customHeight="1" x14ac:dyDescent="0.25">
      <c r="B24" s="53"/>
      <c r="C24" s="347" t="s">
        <v>269</v>
      </c>
      <c r="D24" s="661" t="s">
        <v>534</v>
      </c>
      <c r="E24" s="662"/>
      <c r="F24" s="662"/>
      <c r="G24" s="662"/>
      <c r="H24" s="662"/>
      <c r="I24" s="662"/>
      <c r="J24" s="662"/>
      <c r="K24" s="662"/>
      <c r="L24" s="662"/>
      <c r="M24" s="662"/>
      <c r="N24" s="662"/>
      <c r="O24" s="662"/>
      <c r="P24" s="662"/>
      <c r="Q24" s="662"/>
      <c r="R24" s="663"/>
      <c r="S24" s="358">
        <f>IF('Reporting Worksheet'!$I$105&gt;'Loss Control Planning'!U24,1,0)</f>
        <v>0</v>
      </c>
      <c r="T24" s="354"/>
      <c r="U24" s="350">
        <v>8</v>
      </c>
    </row>
    <row r="25" spans="2:22" ht="98.25" customHeight="1" thickBot="1" x14ac:dyDescent="0.3">
      <c r="B25" s="53">
        <v>4</v>
      </c>
      <c r="C25" s="348" t="s">
        <v>84</v>
      </c>
      <c r="D25" s="664" t="s">
        <v>235</v>
      </c>
      <c r="E25" s="665"/>
      <c r="F25" s="665"/>
      <c r="G25" s="665"/>
      <c r="H25" s="665"/>
      <c r="I25" s="665"/>
      <c r="J25" s="665"/>
      <c r="K25" s="665"/>
      <c r="L25" s="665"/>
      <c r="M25" s="665"/>
      <c r="N25" s="665"/>
      <c r="O25" s="665"/>
      <c r="P25" s="665"/>
      <c r="Q25" s="665"/>
      <c r="R25" s="666"/>
      <c r="S25" s="358">
        <f>IF('Reporting Worksheet'!$I$105&lt;1,1,0)</f>
        <v>0</v>
      </c>
      <c r="T25" s="354"/>
      <c r="U25" s="350">
        <v>1</v>
      </c>
    </row>
    <row r="26" spans="2:22" ht="9" customHeight="1" x14ac:dyDescent="0.25">
      <c r="B26" s="53"/>
      <c r="C26" s="32"/>
      <c r="D26" s="32"/>
      <c r="E26" s="32"/>
      <c r="F26" s="32"/>
      <c r="G26" s="2"/>
      <c r="H26" s="2"/>
      <c r="I26" s="2"/>
      <c r="J26" s="2"/>
      <c r="K26" s="2"/>
      <c r="L26" s="2"/>
      <c r="M26" s="2"/>
      <c r="N26" s="2"/>
      <c r="O26" s="2"/>
      <c r="P26" s="2"/>
      <c r="Q26" s="2"/>
      <c r="R26" s="2"/>
      <c r="S26" s="358"/>
      <c r="T26" s="354"/>
      <c r="U26" s="350"/>
    </row>
    <row r="30" spans="2:22" ht="6" customHeight="1" thickBot="1" x14ac:dyDescent="0.3">
      <c r="B30" s="55"/>
      <c r="C30" s="33"/>
      <c r="D30" s="33"/>
      <c r="E30" s="33"/>
      <c r="F30" s="33"/>
      <c r="G30" s="33"/>
      <c r="H30" s="33"/>
      <c r="I30" s="33"/>
      <c r="J30" s="33"/>
      <c r="K30" s="33"/>
      <c r="L30" s="33"/>
      <c r="M30" s="33"/>
      <c r="N30" s="33"/>
      <c r="O30" s="33"/>
      <c r="P30" s="33"/>
      <c r="Q30" s="33"/>
      <c r="R30" s="33"/>
      <c r="S30" s="360"/>
      <c r="T30" s="354"/>
      <c r="U30" s="350"/>
    </row>
    <row r="31" spans="2:22" ht="7.5" customHeight="1" thickTop="1" x14ac:dyDescent="0.25"/>
    <row r="32" spans="2:2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x14ac:dyDescent="0.25"/>
    <row r="81" ht="13.5" hidden="1" x14ac:dyDescent="0.25"/>
    <row r="82" ht="13.5" hidden="1" x14ac:dyDescent="0.25"/>
    <row r="83" ht="13.5" hidden="1" x14ac:dyDescent="0.25"/>
    <row r="84" ht="13.5" hidden="1" x14ac:dyDescent="0.25"/>
    <row r="85" ht="13.5" hidden="1" x14ac:dyDescent="0.25"/>
    <row r="86" ht="13.5" hidden="1" x14ac:dyDescent="0.25"/>
    <row r="87" ht="13.5" hidden="1" x14ac:dyDescent="0.25"/>
    <row r="88" ht="13.5" hidden="1" x14ac:dyDescent="0.25"/>
    <row r="89" ht="13.5" hidden="1" x14ac:dyDescent="0.25"/>
    <row r="90" ht="13.5" hidden="1" x14ac:dyDescent="0.25"/>
    <row r="91" ht="13.5" hidden="1" x14ac:dyDescent="0.25"/>
    <row r="92" ht="13.5" hidden="1" x14ac:dyDescent="0.25"/>
    <row r="93" ht="13.5" hidden="1" x14ac:dyDescent="0.25"/>
    <row r="94" ht="13.5" hidden="1" customHeight="1" x14ac:dyDescent="0.25"/>
  </sheetData>
  <sheetProtection password="E218" sheet="1" objects="1" scenarios="1" selectLockedCells="1"/>
  <mergeCells count="50">
    <mergeCell ref="C2:O2"/>
    <mergeCell ref="G8:I8"/>
    <mergeCell ref="J8:L8"/>
    <mergeCell ref="M8:O8"/>
    <mergeCell ref="C4:R4"/>
    <mergeCell ref="J7:L7"/>
    <mergeCell ref="M7:O7"/>
    <mergeCell ref="P7:R7"/>
    <mergeCell ref="J6:L6"/>
    <mergeCell ref="M6:O6"/>
    <mergeCell ref="P10:R10"/>
    <mergeCell ref="D9:F9"/>
    <mergeCell ref="G9:I9"/>
    <mergeCell ref="J9:L9"/>
    <mergeCell ref="M9:O9"/>
    <mergeCell ref="P9:R9"/>
    <mergeCell ref="D10:F10"/>
    <mergeCell ref="G10:I10"/>
    <mergeCell ref="J10:L10"/>
    <mergeCell ref="M10:O10"/>
    <mergeCell ref="D5:R5"/>
    <mergeCell ref="D6:F6"/>
    <mergeCell ref="D7:F7"/>
    <mergeCell ref="D8:F8"/>
    <mergeCell ref="G6:I6"/>
    <mergeCell ref="P6:R6"/>
    <mergeCell ref="G7:I7"/>
    <mergeCell ref="P8:R8"/>
    <mergeCell ref="C19:R19"/>
    <mergeCell ref="D11:F11"/>
    <mergeCell ref="G11:I11"/>
    <mergeCell ref="J11:L11"/>
    <mergeCell ref="M11:O11"/>
    <mergeCell ref="P11:R11"/>
    <mergeCell ref="C17:R17"/>
    <mergeCell ref="C12:R12"/>
    <mergeCell ref="D20:H20"/>
    <mergeCell ref="D21:H21"/>
    <mergeCell ref="N20:R20"/>
    <mergeCell ref="N21:R21"/>
    <mergeCell ref="I20:M20"/>
    <mergeCell ref="I21:M21"/>
    <mergeCell ref="N22:R22"/>
    <mergeCell ref="N23:R23"/>
    <mergeCell ref="D24:R24"/>
    <mergeCell ref="D25:R25"/>
    <mergeCell ref="D22:H22"/>
    <mergeCell ref="D23:H23"/>
    <mergeCell ref="I22:M22"/>
    <mergeCell ref="I23:M23"/>
  </mergeCells>
  <phoneticPr fontId="0" type="noConversion"/>
  <conditionalFormatting sqref="C12:R13">
    <cfRule type="expression" dxfId="97" priority="1" stopIfTrue="1">
      <formula>OR(E16=1,H16=1)</formula>
    </cfRule>
  </conditionalFormatting>
  <conditionalFormatting sqref="P6:R11">
    <cfRule type="expression" dxfId="96" priority="2" stopIfTrue="1">
      <formula>$Q$16=1</formula>
    </cfRule>
  </conditionalFormatting>
  <conditionalFormatting sqref="M6:O11">
    <cfRule type="expression" dxfId="95" priority="3" stopIfTrue="1">
      <formula>$N$16=1</formula>
    </cfRule>
  </conditionalFormatting>
  <conditionalFormatting sqref="J6:L11">
    <cfRule type="expression" dxfId="94" priority="4" stopIfTrue="1">
      <formula>$K$16=1</formula>
    </cfRule>
  </conditionalFormatting>
  <conditionalFormatting sqref="G6:I9">
    <cfRule type="expression" dxfId="93" priority="5" stopIfTrue="1">
      <formula>$H$16=1</formula>
    </cfRule>
  </conditionalFormatting>
  <conditionalFormatting sqref="D6:F8">
    <cfRule type="expression" dxfId="92" priority="6" stopIfTrue="1">
      <formula>$E$16=1</formula>
    </cfRule>
  </conditionalFormatting>
  <conditionalFormatting sqref="C22:R22">
    <cfRule type="expression" dxfId="91" priority="7" stopIfTrue="1">
      <formula>$S$22=1</formula>
    </cfRule>
  </conditionalFormatting>
  <conditionalFormatting sqref="C23:R23">
    <cfRule type="expression" dxfId="90" priority="8" stopIfTrue="1">
      <formula>$S$23=1</formula>
    </cfRule>
  </conditionalFormatting>
  <conditionalFormatting sqref="C24:R24">
    <cfRule type="expression" dxfId="89" priority="9" stopIfTrue="1">
      <formula>$S$24=1</formula>
    </cfRule>
  </conditionalFormatting>
  <conditionalFormatting sqref="C25:R25">
    <cfRule type="expression" dxfId="88" priority="10" stopIfTrue="1">
      <formula>$S$25=1</formula>
    </cfRule>
  </conditionalFormatting>
  <conditionalFormatting sqref="C21">
    <cfRule type="expression" dxfId="87" priority="11" stopIfTrue="1">
      <formula>$S$21=1</formula>
    </cfRule>
  </conditionalFormatting>
  <conditionalFormatting sqref="D21:H21">
    <cfRule type="expression" dxfId="86" priority="12" stopIfTrue="1">
      <formula>S21=1</formula>
    </cfRule>
  </conditionalFormatting>
  <conditionalFormatting sqref="I21:M21">
    <cfRule type="expression" dxfId="85" priority="13" stopIfTrue="1">
      <formula>S21=1</formula>
    </cfRule>
  </conditionalFormatting>
  <conditionalFormatting sqref="N21:R21">
    <cfRule type="expression" dxfId="84" priority="14" stopIfTrue="1">
      <formula>S21=1</formula>
    </cfRule>
  </conditionalFormatting>
  <printOptions horizontalCentered="1" verticalCentered="1"/>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FA4CA-8970-4546-861D-AEF7AD6F75E4}">
  <sheetPr codeName="Sheet12">
    <tabColor indexed="43"/>
    <pageSetUpPr fitToPage="1"/>
  </sheetPr>
  <dimension ref="A1:Q152"/>
  <sheetViews>
    <sheetView showGridLines="0" workbookViewId="0">
      <pane ySplit="6" topLeftCell="A25"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5" t="s">
        <v>492</v>
      </c>
      <c r="C2" s="486"/>
      <c r="D2" s="486"/>
      <c r="E2" s="486"/>
      <c r="F2" s="486"/>
      <c r="G2" s="486"/>
      <c r="H2" s="486"/>
      <c r="I2" s="486"/>
      <c r="J2" s="486"/>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26</v>
      </c>
      <c r="D4" s="167" t="s">
        <v>497</v>
      </c>
      <c r="E4" s="296"/>
      <c r="F4" s="168"/>
      <c r="G4" s="146"/>
      <c r="H4" s="146"/>
      <c r="I4" s="146"/>
      <c r="J4" s="146"/>
      <c r="K4" s="169"/>
      <c r="L4" s="4"/>
      <c r="M4" s="4"/>
      <c r="N4" s="137"/>
    </row>
    <row r="5" spans="1:16" s="104" customFormat="1" x14ac:dyDescent="0.25">
      <c r="A5" s="133"/>
      <c r="B5" s="136"/>
      <c r="C5" s="170" t="s">
        <v>27</v>
      </c>
      <c r="D5" s="737">
        <v>2008</v>
      </c>
      <c r="E5" s="738"/>
      <c r="F5" s="171"/>
      <c r="G5" s="741" t="s">
        <v>180</v>
      </c>
      <c r="H5" s="742"/>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20"/>
      <c r="D7" s="492"/>
      <c r="E7" s="492"/>
      <c r="F7" s="492"/>
      <c r="G7" s="492"/>
      <c r="H7" s="492"/>
      <c r="I7" s="492"/>
      <c r="J7" s="492"/>
      <c r="K7" s="492"/>
      <c r="L7" s="492"/>
      <c r="M7" s="492"/>
      <c r="N7" s="137"/>
    </row>
    <row r="8" spans="1:16" s="104" customFormat="1" ht="13.5" customHeight="1" x14ac:dyDescent="0.25">
      <c r="A8" s="133"/>
      <c r="B8" s="136"/>
      <c r="C8" s="492"/>
      <c r="D8" s="492"/>
      <c r="E8" s="492"/>
      <c r="F8" s="492"/>
      <c r="G8" s="492"/>
      <c r="H8" s="492"/>
      <c r="I8" s="492"/>
      <c r="J8" s="492"/>
      <c r="K8" s="492"/>
      <c r="L8" s="492"/>
      <c r="M8" s="492"/>
      <c r="N8" s="137"/>
    </row>
    <row r="9" spans="1:16" s="104" customFormat="1" ht="15" customHeight="1" x14ac:dyDescent="0.25">
      <c r="A9" s="133"/>
      <c r="B9" s="136"/>
      <c r="C9" s="173"/>
      <c r="D9" s="173"/>
      <c r="E9" s="297"/>
      <c r="F9" s="173"/>
      <c r="G9" s="174" t="s">
        <v>586</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193</v>
      </c>
      <c r="D12" s="527" t="s">
        <v>166</v>
      </c>
      <c r="E12" s="517"/>
      <c r="F12" s="517"/>
      <c r="G12" s="517"/>
      <c r="H12" s="517"/>
      <c r="I12" s="517"/>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69</v>
      </c>
      <c r="D14" s="131"/>
      <c r="E14" s="457">
        <v>7</v>
      </c>
      <c r="F14" s="12"/>
      <c r="G14" s="458">
        <v>94536.9</v>
      </c>
      <c r="H14" s="5"/>
      <c r="I14" s="459" t="s">
        <v>587</v>
      </c>
      <c r="J14" s="175"/>
      <c r="K14" s="176"/>
      <c r="L14" s="78"/>
      <c r="M14" s="78"/>
      <c r="N14" s="137"/>
    </row>
    <row r="15" spans="1:16" s="104" customFormat="1" x14ac:dyDescent="0.25">
      <c r="A15" s="133"/>
      <c r="B15" s="136"/>
      <c r="C15" s="151" t="s">
        <v>10</v>
      </c>
      <c r="D15" s="3"/>
      <c r="E15" s="457">
        <v>10</v>
      </c>
      <c r="F15" s="12"/>
      <c r="G15" s="458">
        <v>2779.3</v>
      </c>
      <c r="H15" s="5"/>
      <c r="I15" s="739" t="s">
        <v>559</v>
      </c>
      <c r="J15" s="740"/>
      <c r="K15" s="729" t="s">
        <v>588</v>
      </c>
      <c r="L15" s="730"/>
      <c r="M15" s="730"/>
      <c r="N15" s="137"/>
    </row>
    <row r="16" spans="1:16" s="104" customFormat="1" x14ac:dyDescent="0.25">
      <c r="A16" s="133"/>
      <c r="B16" s="136"/>
      <c r="C16" s="151" t="s">
        <v>468</v>
      </c>
      <c r="D16" s="3"/>
      <c r="E16" s="457" t="s">
        <v>613</v>
      </c>
      <c r="F16" s="12"/>
      <c r="G16" s="458"/>
      <c r="H16" s="5"/>
      <c r="I16" s="459" t="s">
        <v>588</v>
      </c>
      <c r="J16" s="251" t="s">
        <v>415</v>
      </c>
      <c r="K16" s="176"/>
      <c r="L16" s="78"/>
      <c r="M16" s="417"/>
      <c r="N16" s="137"/>
    </row>
    <row r="17" spans="1:17" s="104" customFormat="1" x14ac:dyDescent="0.25">
      <c r="A17" s="133"/>
      <c r="B17" s="136"/>
      <c r="C17" s="151" t="s">
        <v>469</v>
      </c>
      <c r="D17" s="3"/>
      <c r="E17" s="457">
        <v>10</v>
      </c>
      <c r="F17" s="12"/>
      <c r="G17" s="458">
        <v>7100.4</v>
      </c>
      <c r="H17" s="5"/>
      <c r="I17" s="459" t="s">
        <v>588</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192</v>
      </c>
      <c r="D19" s="81"/>
      <c r="E19" s="384"/>
      <c r="F19" s="12"/>
      <c r="G19" s="249">
        <v>84657.2</v>
      </c>
      <c r="H19" s="5"/>
      <c r="I19" s="459" t="s">
        <v>588</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502</v>
      </c>
      <c r="F21" s="12"/>
      <c r="G21" s="4"/>
      <c r="H21" s="4"/>
      <c r="I21" s="4"/>
      <c r="J21" s="13"/>
      <c r="K21" s="13"/>
      <c r="L21" s="13"/>
      <c r="M21" s="4"/>
      <c r="N21" s="137"/>
    </row>
    <row r="22" spans="1:17" s="104" customFormat="1" x14ac:dyDescent="0.25">
      <c r="A22" s="133"/>
      <c r="B22" s="136"/>
      <c r="C22" s="3" t="s">
        <v>194</v>
      </c>
      <c r="D22" s="3"/>
      <c r="E22" s="386"/>
      <c r="F22" s="3"/>
      <c r="G22" s="3"/>
      <c r="H22" s="3"/>
      <c r="I22" s="3"/>
      <c r="J22" s="3"/>
      <c r="K22" s="3"/>
      <c r="L22" s="3"/>
      <c r="M22" s="3"/>
      <c r="N22" s="137"/>
    </row>
    <row r="23" spans="1:17" s="104" customFormat="1" x14ac:dyDescent="0.25">
      <c r="A23" s="133"/>
      <c r="B23" s="136"/>
      <c r="C23" s="151" t="s">
        <v>70</v>
      </c>
      <c r="D23" s="9"/>
      <c r="E23" s="457">
        <v>7</v>
      </c>
      <c r="F23" s="12"/>
      <c r="G23" s="458">
        <v>57242.400000000001</v>
      </c>
      <c r="H23" s="5"/>
      <c r="I23" s="459" t="s">
        <v>588</v>
      </c>
      <c r="J23" s="175"/>
      <c r="K23" s="176"/>
      <c r="L23" s="4"/>
      <c r="M23" s="4"/>
      <c r="N23" s="137"/>
      <c r="P23" s="17"/>
      <c r="Q23" s="17"/>
    </row>
    <row r="24" spans="1:17" s="104" customFormat="1" x14ac:dyDescent="0.25">
      <c r="A24" s="133"/>
      <c r="B24" s="136"/>
      <c r="C24" s="151" t="s">
        <v>71</v>
      </c>
      <c r="D24" s="9"/>
      <c r="E24" s="457" t="s">
        <v>613</v>
      </c>
      <c r="F24" s="12"/>
      <c r="G24" s="458"/>
      <c r="H24" s="5"/>
      <c r="I24" s="459" t="s">
        <v>588</v>
      </c>
      <c r="J24" s="175"/>
      <c r="K24" s="176"/>
      <c r="L24" s="151"/>
      <c r="M24" s="151"/>
      <c r="N24" s="137"/>
      <c r="P24" s="17"/>
      <c r="Q24" s="17"/>
    </row>
    <row r="25" spans="1:17" s="104" customFormat="1" x14ac:dyDescent="0.25">
      <c r="A25" s="133"/>
      <c r="B25" s="136"/>
      <c r="C25" s="151" t="s">
        <v>72</v>
      </c>
      <c r="D25" s="9"/>
      <c r="E25" s="457" t="s">
        <v>613</v>
      </c>
      <c r="F25" s="12"/>
      <c r="G25" s="458"/>
      <c r="H25" s="5"/>
      <c r="I25" s="459" t="s">
        <v>588</v>
      </c>
      <c r="J25" s="241" t="s">
        <v>104</v>
      </c>
      <c r="K25" s="246"/>
      <c r="L25" s="4" t="s">
        <v>103</v>
      </c>
      <c r="M25" s="4"/>
      <c r="N25" s="137"/>
      <c r="P25" s="17"/>
      <c r="Q25" s="17"/>
    </row>
    <row r="26" spans="1:17" s="104" customFormat="1" ht="15" customHeight="1" x14ac:dyDescent="0.25">
      <c r="A26" s="133"/>
      <c r="B26" s="136"/>
      <c r="C26" s="151" t="s">
        <v>73</v>
      </c>
      <c r="D26" s="9"/>
      <c r="E26" s="457">
        <v>8</v>
      </c>
      <c r="F26" s="12"/>
      <c r="G26" s="249">
        <v>764.2</v>
      </c>
      <c r="H26" s="5"/>
      <c r="I26" s="459" t="s">
        <v>588</v>
      </c>
      <c r="J26" s="254">
        <v>1.2500000000000001E-2</v>
      </c>
      <c r="K26" s="133"/>
      <c r="L26" s="732">
        <v>764.2</v>
      </c>
      <c r="M26" s="736"/>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17" t="s">
        <v>415</v>
      </c>
      <c r="D28" s="517"/>
      <c r="E28" s="517"/>
      <c r="F28" s="517"/>
      <c r="G28" s="517"/>
      <c r="H28" s="517"/>
      <c r="I28" s="517"/>
      <c r="J28" s="517"/>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191</v>
      </c>
      <c r="D30" s="81"/>
      <c r="E30" s="300"/>
      <c r="F30" s="12"/>
      <c r="G30" s="249">
        <v>58006.6</v>
      </c>
      <c r="H30" s="5"/>
      <c r="I30" s="459" t="s">
        <v>588</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415</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195</v>
      </c>
      <c r="D35" s="3"/>
      <c r="E35" s="300"/>
      <c r="F35" s="3"/>
      <c r="G35" s="249">
        <v>26650.6</v>
      </c>
      <c r="H35" s="4"/>
      <c r="I35" s="459" t="s">
        <v>588</v>
      </c>
      <c r="J35" s="4"/>
      <c r="K35" s="518"/>
      <c r="L35" s="4"/>
      <c r="M35" s="4"/>
      <c r="N35" s="137"/>
      <c r="P35" s="39"/>
      <c r="Q35" s="17"/>
    </row>
    <row r="36" spans="1:17" s="104" customFormat="1" ht="5.25" customHeight="1" x14ac:dyDescent="0.25">
      <c r="A36" s="133"/>
      <c r="B36" s="136"/>
      <c r="C36" s="3"/>
      <c r="D36" s="3"/>
      <c r="E36" s="300"/>
      <c r="F36" s="3"/>
      <c r="G36" s="4"/>
      <c r="H36" s="4"/>
      <c r="I36" s="4"/>
      <c r="J36" s="4"/>
      <c r="K36" s="518"/>
      <c r="L36" s="4"/>
      <c r="M36" s="4"/>
      <c r="N36" s="137"/>
      <c r="P36" s="39"/>
      <c r="Q36" s="17"/>
    </row>
    <row r="37" spans="1:17" s="104" customFormat="1" x14ac:dyDescent="0.25">
      <c r="A37" s="133"/>
      <c r="B37" s="136"/>
      <c r="C37" s="182" t="s">
        <v>347</v>
      </c>
      <c r="D37" s="9"/>
      <c r="E37" s="300"/>
      <c r="F37" s="9"/>
      <c r="G37" s="4"/>
      <c r="H37" s="4"/>
      <c r="I37" s="4"/>
      <c r="J37" s="241" t="s">
        <v>104</v>
      </c>
      <c r="K37" s="246"/>
      <c r="L37" s="4" t="s">
        <v>103</v>
      </c>
      <c r="M37" s="4"/>
      <c r="N37" s="137"/>
      <c r="P37" s="39"/>
      <c r="Q37" s="17"/>
    </row>
    <row r="38" spans="1:17" s="104" customFormat="1" ht="15" customHeight="1" x14ac:dyDescent="0.25">
      <c r="A38" s="133"/>
      <c r="B38" s="136"/>
      <c r="C38" s="151" t="s">
        <v>74</v>
      </c>
      <c r="D38" s="9"/>
      <c r="E38" s="457">
        <v>8</v>
      </c>
      <c r="F38" s="9"/>
      <c r="G38" s="249">
        <v>2086.3000000000002</v>
      </c>
      <c r="H38" s="183"/>
      <c r="I38" s="459" t="s">
        <v>588</v>
      </c>
      <c r="J38" s="254">
        <v>2.5000000000000001E-3</v>
      </c>
      <c r="K38" s="229"/>
      <c r="L38" s="732">
        <v>2086.3000000000002</v>
      </c>
      <c r="M38" s="733"/>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27" t="s">
        <v>415</v>
      </c>
      <c r="D40" s="517"/>
      <c r="E40" s="517"/>
      <c r="F40" s="517"/>
      <c r="G40" s="517"/>
      <c r="H40" s="517"/>
      <c r="I40" s="517"/>
      <c r="J40" s="517"/>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75</v>
      </c>
      <c r="D42" s="9"/>
      <c r="E42" s="457">
        <v>8</v>
      </c>
      <c r="F42" s="9"/>
      <c r="G42" s="249">
        <v>190.3</v>
      </c>
      <c r="H42" s="183"/>
      <c r="I42" s="459" t="s">
        <v>588</v>
      </c>
      <c r="J42" s="463"/>
      <c r="K42" s="229"/>
      <c r="L42" s="732">
        <v>190.3</v>
      </c>
      <c r="M42" s="733"/>
      <c r="N42" s="137"/>
      <c r="P42" s="39">
        <v>2</v>
      </c>
      <c r="Q42" s="17"/>
    </row>
    <row r="43" spans="1:17" s="104" customFormat="1" x14ac:dyDescent="0.25">
      <c r="A43" s="133"/>
      <c r="B43" s="136"/>
      <c r="C43" s="151" t="s">
        <v>467</v>
      </c>
      <c r="D43" s="9"/>
      <c r="E43" s="457">
        <v>5</v>
      </c>
      <c r="F43" s="9"/>
      <c r="G43" s="464">
        <v>4676.3999999999996</v>
      </c>
      <c r="H43" s="183"/>
      <c r="I43" s="459" t="s">
        <v>588</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35" t="s">
        <v>339</v>
      </c>
      <c r="M44" s="535"/>
      <c r="N44" s="137"/>
      <c r="P44" s="39"/>
      <c r="Q44" s="17"/>
    </row>
    <row r="45" spans="1:17" s="104" customFormat="1" x14ac:dyDescent="0.25">
      <c r="A45" s="133"/>
      <c r="B45" s="136"/>
      <c r="C45" s="534" t="s">
        <v>415</v>
      </c>
      <c r="D45" s="534"/>
      <c r="E45" s="534"/>
      <c r="F45" s="534"/>
      <c r="G45" s="534"/>
      <c r="H45" s="534"/>
      <c r="I45" s="534"/>
      <c r="J45" s="534"/>
      <c r="K45" s="5"/>
      <c r="L45" s="535"/>
      <c r="M45" s="535"/>
      <c r="N45" s="137"/>
      <c r="P45" s="39"/>
      <c r="Q45" s="17"/>
    </row>
    <row r="46" spans="1:17" s="104" customFormat="1" ht="2.25" customHeight="1" x14ac:dyDescent="0.25">
      <c r="A46" s="133"/>
      <c r="B46" s="136"/>
      <c r="C46" s="151"/>
      <c r="D46" s="9"/>
      <c r="E46" s="9"/>
      <c r="F46" s="9"/>
      <c r="G46" s="9"/>
      <c r="H46" s="9"/>
      <c r="I46" s="9"/>
      <c r="J46" s="4"/>
      <c r="K46" s="5"/>
      <c r="L46" s="535"/>
      <c r="M46" s="535"/>
      <c r="N46" s="137"/>
      <c r="P46" s="39"/>
      <c r="Q46" s="17"/>
    </row>
    <row r="47" spans="1:17" s="104" customFormat="1" x14ac:dyDescent="0.25">
      <c r="A47" s="133"/>
      <c r="B47" s="136"/>
      <c r="C47" s="151" t="s">
        <v>314</v>
      </c>
      <c r="D47" s="9"/>
      <c r="E47" s="303"/>
      <c r="F47" s="9"/>
      <c r="G47" s="249">
        <v>6953</v>
      </c>
      <c r="H47" s="9"/>
      <c r="I47" s="459" t="s">
        <v>114</v>
      </c>
      <c r="J47" s="4"/>
      <c r="K47" s="176"/>
      <c r="L47" s="535"/>
      <c r="M47" s="535"/>
      <c r="N47" s="137"/>
    </row>
    <row r="48" spans="1:17" s="104" customFormat="1" ht="2.25" customHeight="1" x14ac:dyDescent="0.25">
      <c r="A48" s="133"/>
      <c r="B48" s="136"/>
      <c r="C48" s="9"/>
      <c r="D48" s="14"/>
      <c r="E48" s="14"/>
      <c r="F48" s="14"/>
      <c r="G48" s="176"/>
      <c r="H48" s="14"/>
      <c r="I48" s="5"/>
      <c r="J48" s="5"/>
      <c r="K48" s="176"/>
      <c r="L48" s="535"/>
      <c r="M48" s="535"/>
      <c r="N48" s="137"/>
    </row>
    <row r="49" spans="1:14" s="104" customFormat="1" ht="15" customHeight="1" x14ac:dyDescent="0.25">
      <c r="A49" s="133"/>
      <c r="B49" s="136"/>
      <c r="C49" s="731" t="s">
        <v>415</v>
      </c>
      <c r="D49" s="731"/>
      <c r="E49" s="731"/>
      <c r="F49" s="731"/>
      <c r="G49" s="731"/>
      <c r="H49" s="731"/>
      <c r="I49" s="731"/>
      <c r="J49" s="731"/>
      <c r="K49" s="176"/>
      <c r="L49" s="535"/>
      <c r="M49" s="535"/>
      <c r="N49" s="137"/>
    </row>
    <row r="50" spans="1:14" s="104" customFormat="1" ht="2.25" customHeight="1" x14ac:dyDescent="0.25">
      <c r="A50" s="133"/>
      <c r="B50" s="136"/>
      <c r="C50" s="9"/>
      <c r="D50" s="14"/>
      <c r="E50" s="465"/>
      <c r="F50" s="14"/>
      <c r="G50" s="176"/>
      <c r="H50" s="14"/>
      <c r="I50" s="5"/>
      <c r="J50" s="5"/>
      <c r="K50" s="176"/>
      <c r="L50" s="535"/>
      <c r="M50" s="535"/>
      <c r="N50" s="137"/>
    </row>
    <row r="51" spans="1:14" s="104" customFormat="1" ht="10.5" customHeight="1" x14ac:dyDescent="0.25">
      <c r="A51" s="133"/>
      <c r="B51" s="136"/>
      <c r="C51" s="182" t="s">
        <v>615</v>
      </c>
      <c r="D51" s="14"/>
      <c r="E51" s="303"/>
      <c r="F51" s="14"/>
      <c r="G51" s="176"/>
      <c r="H51" s="176"/>
      <c r="I51" s="176"/>
      <c r="J51" s="176"/>
      <c r="K51" s="176"/>
      <c r="L51" s="535"/>
      <c r="M51" s="535"/>
      <c r="N51" s="137"/>
    </row>
    <row r="52" spans="1:14" s="104" customFormat="1" x14ac:dyDescent="0.25">
      <c r="A52" s="133"/>
      <c r="B52" s="136"/>
      <c r="C52" s="151" t="s">
        <v>372</v>
      </c>
      <c r="D52" s="14"/>
      <c r="E52" s="303"/>
      <c r="F52" s="14"/>
      <c r="G52" s="249">
        <v>19697.599999999999</v>
      </c>
      <c r="H52" s="14"/>
      <c r="I52" s="459" t="s">
        <v>588</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188</v>
      </c>
      <c r="D54" s="82"/>
      <c r="E54" s="303"/>
      <c r="F54" s="16"/>
      <c r="G54" s="249">
        <v>26650.6</v>
      </c>
      <c r="H54" s="5"/>
      <c r="I54" s="459" t="s">
        <v>588</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487</v>
      </c>
      <c r="D57" s="14"/>
      <c r="E57" s="303"/>
      <c r="F57" s="14"/>
      <c r="G57" s="466"/>
      <c r="H57" s="14"/>
      <c r="I57" s="13"/>
      <c r="J57" s="176"/>
      <c r="K57" s="176"/>
      <c r="L57" s="5"/>
      <c r="M57" s="4"/>
      <c r="N57" s="137"/>
    </row>
    <row r="58" spans="1:14" s="104" customFormat="1" ht="13.5" customHeight="1" x14ac:dyDescent="0.25">
      <c r="A58" s="133"/>
      <c r="B58" s="136"/>
      <c r="C58" s="9" t="s">
        <v>81</v>
      </c>
      <c r="D58" s="14"/>
      <c r="E58" s="303"/>
      <c r="F58" s="14"/>
      <c r="G58" s="249">
        <v>27414.799999999999</v>
      </c>
      <c r="H58" s="14"/>
      <c r="I58" s="459" t="s">
        <v>588</v>
      </c>
      <c r="J58" s="176"/>
      <c r="K58" s="176"/>
      <c r="L58" s="5"/>
      <c r="M58" s="4"/>
      <c r="N58" s="137"/>
    </row>
    <row r="59" spans="1:14" s="104" customFormat="1" ht="13.5" customHeight="1" x14ac:dyDescent="0.25">
      <c r="A59" s="133"/>
      <c r="B59" s="136"/>
      <c r="C59" s="404" t="s">
        <v>226</v>
      </c>
      <c r="D59" s="405"/>
      <c r="E59" s="405"/>
      <c r="F59" s="405"/>
      <c r="G59" s="405"/>
      <c r="H59" s="405"/>
      <c r="I59" s="405"/>
      <c r="J59" s="405"/>
      <c r="K59" s="405"/>
      <c r="L59" s="405"/>
      <c r="M59" s="405"/>
      <c r="N59" s="137"/>
    </row>
    <row r="60" spans="1:14" s="104" customFormat="1" ht="16.5" customHeight="1" x14ac:dyDescent="0.25">
      <c r="A60" s="133"/>
      <c r="B60" s="136"/>
      <c r="C60" s="3" t="s">
        <v>29</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76</v>
      </c>
      <c r="D62" s="3"/>
      <c r="E62" s="457">
        <v>9</v>
      </c>
      <c r="F62" s="3"/>
      <c r="G62" s="467">
        <v>3137</v>
      </c>
      <c r="H62" s="186"/>
      <c r="I62" s="390" t="s">
        <v>589</v>
      </c>
      <c r="J62" s="4"/>
      <c r="K62" s="4"/>
      <c r="L62" s="4"/>
      <c r="M62" s="4"/>
      <c r="N62" s="137"/>
    </row>
    <row r="63" spans="1:14" s="104" customFormat="1" x14ac:dyDescent="0.25">
      <c r="A63" s="133"/>
      <c r="B63" s="136"/>
      <c r="C63" s="151" t="s">
        <v>66</v>
      </c>
      <c r="D63" s="3"/>
      <c r="E63" s="457">
        <v>7</v>
      </c>
      <c r="F63" s="3"/>
      <c r="G63" s="468">
        <v>547932</v>
      </c>
      <c r="H63" s="186"/>
      <c r="I63" s="4"/>
      <c r="J63" s="4"/>
      <c r="K63" s="4"/>
      <c r="L63" s="4"/>
      <c r="M63" s="4"/>
      <c r="N63" s="137"/>
    </row>
    <row r="64" spans="1:14" s="104" customFormat="1" x14ac:dyDescent="0.25">
      <c r="A64" s="133"/>
      <c r="B64" s="136"/>
      <c r="C64" s="151" t="s">
        <v>30</v>
      </c>
      <c r="D64" s="3"/>
      <c r="E64" s="386"/>
      <c r="F64" s="3"/>
      <c r="G64" s="117">
        <v>174.66751673573478</v>
      </c>
      <c r="H64" s="4"/>
      <c r="I64" s="390" t="s">
        <v>590</v>
      </c>
      <c r="J64" s="176"/>
      <c r="K64" s="176"/>
      <c r="L64" s="4"/>
      <c r="M64" s="4"/>
      <c r="N64" s="137"/>
    </row>
    <row r="65" spans="1:16" s="104" customFormat="1" ht="13.5" customHeight="1" x14ac:dyDescent="0.25">
      <c r="A65" s="133"/>
      <c r="B65" s="136"/>
      <c r="C65" s="407" t="s">
        <v>373</v>
      </c>
      <c r="D65" s="3"/>
      <c r="E65" s="457">
        <v>7</v>
      </c>
      <c r="F65" s="3"/>
      <c r="G65" s="467">
        <v>12</v>
      </c>
      <c r="H65" s="3"/>
      <c r="I65" s="390" t="s">
        <v>591</v>
      </c>
      <c r="J65" s="532"/>
      <c r="K65" s="533"/>
      <c r="L65" s="533"/>
      <c r="M65" s="533"/>
      <c r="N65" s="137"/>
    </row>
    <row r="66" spans="1:16" s="104" customFormat="1" x14ac:dyDescent="0.25">
      <c r="A66" s="133"/>
      <c r="B66" s="136"/>
      <c r="C66" s="4"/>
      <c r="D66" s="3"/>
      <c r="E66" s="386"/>
      <c r="F66" s="3"/>
      <c r="G66" s="38"/>
      <c r="H66" s="3"/>
      <c r="I66" s="4"/>
      <c r="J66" s="533"/>
      <c r="K66" s="533"/>
      <c r="L66" s="533"/>
      <c r="M66" s="533"/>
      <c r="N66" s="137"/>
    </row>
    <row r="67" spans="1:16" s="104" customFormat="1" x14ac:dyDescent="0.25">
      <c r="A67" s="133"/>
      <c r="B67" s="136"/>
      <c r="C67" s="151" t="s">
        <v>77</v>
      </c>
      <c r="D67" s="3"/>
      <c r="E67" s="457">
        <v>10</v>
      </c>
      <c r="F67" s="3"/>
      <c r="G67" s="467">
        <v>55</v>
      </c>
      <c r="H67" s="187"/>
      <c r="I67" s="390" t="s">
        <v>592</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17" t="s">
        <v>415</v>
      </c>
      <c r="D69" s="517"/>
      <c r="E69" s="517"/>
      <c r="F69" s="517"/>
      <c r="G69" s="517"/>
      <c r="H69" s="517"/>
      <c r="I69" s="517"/>
      <c r="J69" s="517"/>
      <c r="K69" s="327"/>
      <c r="L69" s="4"/>
      <c r="M69" s="4"/>
      <c r="N69" s="137"/>
      <c r="P69" s="104">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249</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78</v>
      </c>
      <c r="D74" s="9"/>
      <c r="E74" s="457">
        <v>10</v>
      </c>
      <c r="F74" s="4"/>
      <c r="G74" s="469">
        <v>219182339</v>
      </c>
      <c r="H74" s="4"/>
      <c r="I74" s="390" t="s">
        <v>257</v>
      </c>
      <c r="J74" s="4"/>
      <c r="K74" s="4"/>
      <c r="L74" s="4"/>
      <c r="M74" s="4"/>
      <c r="N74" s="137"/>
    </row>
    <row r="75" spans="1:16" s="104" customFormat="1" ht="14.25" customHeight="1" x14ac:dyDescent="0.25">
      <c r="A75" s="133"/>
      <c r="B75" s="136"/>
      <c r="C75" s="188" t="s">
        <v>225</v>
      </c>
      <c r="D75" s="9"/>
      <c r="E75" s="457">
        <v>9</v>
      </c>
      <c r="F75" s="4"/>
      <c r="G75" s="470">
        <v>4.97</v>
      </c>
      <c r="H75" s="4"/>
      <c r="I75" s="723" t="s">
        <v>80</v>
      </c>
      <c r="J75" s="724"/>
      <c r="K75" s="725"/>
      <c r="L75" s="734" t="s">
        <v>415</v>
      </c>
      <c r="M75" s="735"/>
      <c r="N75" s="137"/>
    </row>
    <row r="76" spans="1:16" s="104" customFormat="1" ht="13.5" customHeight="1" x14ac:dyDescent="0.25">
      <c r="A76" s="133"/>
      <c r="B76" s="136"/>
      <c r="C76" s="188" t="s">
        <v>34</v>
      </c>
      <c r="D76" s="9"/>
      <c r="E76" s="457">
        <v>9</v>
      </c>
      <c r="F76" s="4"/>
      <c r="G76" s="470">
        <v>215.5</v>
      </c>
      <c r="H76" s="4"/>
      <c r="I76" s="459" t="s">
        <v>593</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1" t="s">
        <v>415</v>
      </c>
      <c r="D78" s="531"/>
      <c r="E78" s="531"/>
      <c r="F78" s="531"/>
      <c r="G78" s="531"/>
      <c r="H78" s="531"/>
      <c r="I78" s="531"/>
      <c r="J78" s="531"/>
      <c r="K78" s="531"/>
      <c r="L78" s="531"/>
      <c r="M78" s="4"/>
      <c r="N78" s="137"/>
      <c r="P78" s="104">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253</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254</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599</v>
      </c>
      <c r="H84" s="4"/>
      <c r="I84" s="79">
        <v>0.32383305849945426</v>
      </c>
      <c r="J84" s="4"/>
      <c r="K84" s="4"/>
      <c r="L84" s="4"/>
      <c r="M84" s="4"/>
      <c r="N84" s="137"/>
    </row>
    <row r="85" spans="1:14" s="104" customFormat="1" ht="13.5" customHeight="1" x14ac:dyDescent="0.25">
      <c r="A85" s="133"/>
      <c r="B85" s="136"/>
      <c r="C85" s="176"/>
      <c r="D85" s="3"/>
      <c r="E85" s="295"/>
      <c r="F85" s="3"/>
      <c r="G85" s="151" t="s">
        <v>598</v>
      </c>
      <c r="H85" s="4"/>
      <c r="I85" s="79">
        <v>0.17777859328346701</v>
      </c>
      <c r="J85" s="4"/>
      <c r="K85" s="4"/>
      <c r="L85" s="4"/>
      <c r="M85" s="4"/>
      <c r="N85" s="137"/>
    </row>
    <row r="86" spans="1:14" s="104" customFormat="1" ht="13.5" customHeight="1" x14ac:dyDescent="0.25">
      <c r="A86" s="133"/>
      <c r="B86" s="136"/>
      <c r="C86" s="176"/>
      <c r="D86" s="3"/>
      <c r="E86" s="295"/>
      <c r="F86" s="3"/>
      <c r="G86" s="151" t="s">
        <v>35</v>
      </c>
      <c r="H86" s="4"/>
      <c r="I86" s="119">
        <v>34556409.999999993</v>
      </c>
      <c r="J86" s="4"/>
      <c r="K86" s="4"/>
      <c r="L86" s="4"/>
      <c r="M86" s="4"/>
      <c r="N86" s="137"/>
    </row>
    <row r="87" spans="1:14" s="104" customFormat="1" ht="13.5" customHeight="1" x14ac:dyDescent="0.25">
      <c r="A87" s="133"/>
      <c r="B87" s="136"/>
      <c r="C87" s="176"/>
      <c r="D87" s="3"/>
      <c r="E87" s="295"/>
      <c r="F87" s="3"/>
      <c r="G87" s="151" t="s">
        <v>196</v>
      </c>
      <c r="H87" s="4"/>
      <c r="I87" s="119">
        <v>4244832.8</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255</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311</v>
      </c>
      <c r="H91" s="4"/>
      <c r="I91" s="37">
        <v>34.765837856692343</v>
      </c>
      <c r="J91" s="390" t="s">
        <v>594</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312</v>
      </c>
      <c r="H93" s="4"/>
      <c r="I93" s="406">
        <v>98.490373618004185</v>
      </c>
      <c r="J93" s="390" t="s">
        <v>594</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313</v>
      </c>
      <c r="H95" s="4"/>
      <c r="I95" s="406" t="s">
        <v>582</v>
      </c>
      <c r="J95" s="390" t="s">
        <v>415</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595</v>
      </c>
      <c r="H97" s="4"/>
      <c r="I97" s="116">
        <v>1.7907340657818942</v>
      </c>
      <c r="J97" s="390" t="s">
        <v>596</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256</v>
      </c>
      <c r="H99" s="4"/>
      <c r="I99" s="116">
        <v>2178.1519539999999</v>
      </c>
      <c r="J99" s="390" t="s">
        <v>597</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26" t="s">
        <v>415</v>
      </c>
      <c r="D101" s="727"/>
      <c r="E101" s="727"/>
      <c r="F101" s="727"/>
      <c r="G101" s="727"/>
      <c r="H101" s="727"/>
      <c r="I101" s="727"/>
      <c r="J101" s="727"/>
      <c r="K101" s="727"/>
      <c r="L101" s="727"/>
      <c r="M101" s="727"/>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617</v>
      </c>
      <c r="H103" s="474"/>
      <c r="I103" s="116">
        <v>19697.599999999999</v>
      </c>
      <c r="J103" s="472" t="s">
        <v>597</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51" t="s">
        <v>616</v>
      </c>
      <c r="D105" s="551"/>
      <c r="E105" s="551"/>
      <c r="F105" s="551"/>
      <c r="G105" s="551"/>
      <c r="H105" s="80"/>
      <c r="I105" s="247">
        <v>9.0432625528384047</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64</v>
      </c>
      <c r="D107" s="206"/>
      <c r="E107" s="306"/>
      <c r="F107" s="206"/>
      <c r="G107" s="206"/>
      <c r="H107" s="4"/>
      <c r="I107" s="4"/>
      <c r="J107" s="4"/>
      <c r="K107" s="192"/>
      <c r="L107" s="4"/>
      <c r="M107" s="4"/>
      <c r="N107" s="137"/>
    </row>
    <row r="108" spans="1:16" s="338" customFormat="1" ht="21" customHeight="1" x14ac:dyDescent="0.25">
      <c r="A108" s="334"/>
      <c r="B108" s="136"/>
      <c r="C108" s="335" t="s">
        <v>162</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48" t="s">
        <v>181</v>
      </c>
      <c r="D110" s="549"/>
      <c r="E110" s="549"/>
      <c r="F110" s="549"/>
      <c r="G110" s="549"/>
      <c r="H110" s="549"/>
      <c r="I110" s="549"/>
      <c r="J110" s="549"/>
      <c r="K110" s="549"/>
      <c r="L110" s="549"/>
      <c r="M110" s="550"/>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45" t="s">
        <v>39</v>
      </c>
      <c r="D112" s="545"/>
      <c r="E112" s="545"/>
      <c r="F112" s="545"/>
      <c r="G112" s="545"/>
      <c r="H112" s="545"/>
      <c r="I112" s="545"/>
      <c r="J112" s="545"/>
      <c r="K112" s="545"/>
      <c r="L112" s="545"/>
      <c r="M112" s="545"/>
      <c r="N112" s="328"/>
      <c r="P112" s="377"/>
    </row>
    <row r="113" spans="1:14" s="104" customFormat="1" ht="21.75" customHeight="1" x14ac:dyDescent="0.25">
      <c r="A113" s="133"/>
      <c r="B113" s="136"/>
      <c r="C113" s="475" t="s">
        <v>85</v>
      </c>
      <c r="D113" s="543"/>
      <c r="E113" s="544"/>
      <c r="F113" s="544"/>
      <c r="G113" s="544"/>
      <c r="H113" s="544"/>
      <c r="I113" s="544"/>
      <c r="J113" s="544"/>
      <c r="K113" s="544"/>
      <c r="L113" s="544"/>
      <c r="M113" s="544"/>
      <c r="N113" s="137"/>
    </row>
    <row r="114" spans="1:14" s="104" customFormat="1" ht="19.5" customHeight="1" x14ac:dyDescent="0.25">
      <c r="A114" s="133"/>
      <c r="B114" s="136"/>
      <c r="C114" s="728" t="s">
        <v>161</v>
      </c>
      <c r="D114" s="533"/>
      <c r="E114" s="533"/>
      <c r="F114" s="533"/>
      <c r="G114" s="533"/>
      <c r="H114" s="533"/>
      <c r="I114" s="533"/>
      <c r="J114" s="533"/>
      <c r="K114" s="533"/>
      <c r="L114" s="533"/>
      <c r="M114" s="533"/>
      <c r="N114" s="137"/>
    </row>
    <row r="115" spans="1:14" s="104" customFormat="1" ht="15" customHeight="1" x14ac:dyDescent="0.25">
      <c r="A115" s="133"/>
      <c r="B115" s="136"/>
      <c r="C115" s="476" t="s">
        <v>585</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182</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183</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L38:M38"/>
    <mergeCell ref="C28:J28"/>
    <mergeCell ref="K35:K36"/>
    <mergeCell ref="L26:M26"/>
    <mergeCell ref="B2:J2"/>
    <mergeCell ref="C7:M8"/>
    <mergeCell ref="D5:E5"/>
    <mergeCell ref="I15:J15"/>
    <mergeCell ref="G5:H5"/>
    <mergeCell ref="D12:I12"/>
    <mergeCell ref="K15:M15"/>
    <mergeCell ref="C40:J40"/>
    <mergeCell ref="C49:J49"/>
    <mergeCell ref="C69:J69"/>
    <mergeCell ref="C78:L78"/>
    <mergeCell ref="J65:M66"/>
    <mergeCell ref="C45:J45"/>
    <mergeCell ref="L42:M42"/>
    <mergeCell ref="L44:M51"/>
    <mergeCell ref="L75:M75"/>
    <mergeCell ref="I75:K75"/>
    <mergeCell ref="C101:M101"/>
    <mergeCell ref="D113:M113"/>
    <mergeCell ref="C112:M112"/>
    <mergeCell ref="C114:M114"/>
    <mergeCell ref="C110:M110"/>
    <mergeCell ref="C105:G105"/>
  </mergeCells>
  <phoneticPr fontId="0" type="noConversion"/>
  <conditionalFormatting sqref="C9:M9">
    <cfRule type="expression" dxfId="83" priority="1" stopIfTrue="1">
      <formula>E14=""=TRUE</formula>
    </cfRule>
  </conditionalFormatting>
  <conditionalFormatting sqref="C32">
    <cfRule type="expression" dxfId="82" priority="2" stopIfTrue="1">
      <formula>AND(G30&gt;=G19,(G30&lt;&gt;0))</formula>
    </cfRule>
  </conditionalFormatting>
  <conditionalFormatting sqref="D32">
    <cfRule type="expression" dxfId="81" priority="3" stopIfTrue="1">
      <formula>AND(G30&gt;=G19,(G30&lt;&gt;0))</formula>
    </cfRule>
  </conditionalFormatting>
  <conditionalFormatting sqref="F32">
    <cfRule type="expression" dxfId="80" priority="4" stopIfTrue="1">
      <formula>AND(G30&gt;=G19,(G30&lt;&gt;0))</formula>
    </cfRule>
  </conditionalFormatting>
  <conditionalFormatting sqref="G32">
    <cfRule type="expression" dxfId="79" priority="5" stopIfTrue="1">
      <formula>AND(G30&gt;=G19,(G30&lt;&gt;0))</formula>
    </cfRule>
  </conditionalFormatting>
  <conditionalFormatting sqref="H32">
    <cfRule type="expression" dxfId="78" priority="6" stopIfTrue="1">
      <formula>AND(G30&gt;=G19,(G30&lt;&gt;0))</formula>
    </cfRule>
  </conditionalFormatting>
  <conditionalFormatting sqref="J32">
    <cfRule type="expression" dxfId="77" priority="7" stopIfTrue="1">
      <formula>AND(G30&gt;=G19,(G30&lt;&gt;0))</formula>
    </cfRule>
  </conditionalFormatting>
  <conditionalFormatting sqref="I32">
    <cfRule type="expression" dxfId="76" priority="8" stopIfTrue="1">
      <formula>AND(G30&gt;=G19,(G30&lt;&gt;0))</formula>
    </cfRule>
  </conditionalFormatting>
  <conditionalFormatting sqref="E32">
    <cfRule type="expression" dxfId="75" priority="9" stopIfTrue="1">
      <formula>AND(G30&gt;=G19,(G30&lt;&gt;0))</formula>
    </cfRule>
  </conditionalFormatting>
  <conditionalFormatting sqref="F111">
    <cfRule type="expression" dxfId="74" priority="10" stopIfTrue="1">
      <formula>"B106=0"</formula>
    </cfRule>
  </conditionalFormatting>
  <conditionalFormatting sqref="A110:A112 N110:IV112 D111 G111:M111">
    <cfRule type="expression" dxfId="73" priority="11" stopIfTrue="1">
      <formula>"M22=0"</formula>
    </cfRule>
  </conditionalFormatting>
  <conditionalFormatting sqref="G35 G42 G38 G30 G23:G26">
    <cfRule type="cellIs" dxfId="72" priority="12" stopIfTrue="1" operator="greaterThan">
      <formula>$G$19</formula>
    </cfRule>
  </conditionalFormatting>
  <conditionalFormatting sqref="G47">
    <cfRule type="cellIs" dxfId="71" priority="13" stopIfTrue="1" operator="greaterThan">
      <formula>$G$35</formula>
    </cfRule>
  </conditionalFormatting>
  <conditionalFormatting sqref="L38">
    <cfRule type="expression" dxfId="70" priority="14" stopIfTrue="1">
      <formula>$P$38=1</formula>
    </cfRule>
  </conditionalFormatting>
  <conditionalFormatting sqref="L42:M42">
    <cfRule type="expression" dxfId="69" priority="15" stopIfTrue="1">
      <formula>$P$42=1</formula>
    </cfRule>
  </conditionalFormatting>
  <conditionalFormatting sqref="J38">
    <cfRule type="expression" dxfId="68" priority="16" stopIfTrue="1">
      <formula>$P$38=2</formula>
    </cfRule>
  </conditionalFormatting>
  <conditionalFormatting sqref="G41">
    <cfRule type="expression" dxfId="67" priority="17" stopIfTrue="1">
      <formula>$P$38=2</formula>
    </cfRule>
  </conditionalFormatting>
  <conditionalFormatting sqref="F29">
    <cfRule type="expression" dxfId="66" priority="18" stopIfTrue="1">
      <formula>$P$26=2</formula>
    </cfRule>
  </conditionalFormatting>
  <conditionalFormatting sqref="L26">
    <cfRule type="expression" dxfId="65" priority="19" stopIfTrue="1">
      <formula>$P$26=1</formula>
    </cfRule>
  </conditionalFormatting>
  <conditionalFormatting sqref="J26">
    <cfRule type="expression" dxfId="64" priority="20" stopIfTrue="1">
      <formula>$P$26=2</formula>
    </cfRule>
  </conditionalFormatting>
  <conditionalFormatting sqref="C49:J49">
    <cfRule type="expression" dxfId="63" priority="21" stopIfTrue="1">
      <formula>AND($G$47&gt;=$G$35,($G$47&lt;&gt;0))</formula>
    </cfRule>
  </conditionalFormatting>
  <conditionalFormatting sqref="C69:J69">
    <cfRule type="expression" dxfId="62" priority="22" stopIfTrue="1">
      <formula>OR(AND(NOT(ISBLANK($G$67)),$P$69=1,$G$67&lt;=25),AND(NOT(ISBLANK($G$67)),$P$69&lt;&gt;1,$G$67&lt;=40))</formula>
    </cfRule>
  </conditionalFormatting>
  <conditionalFormatting sqref="C78:L78">
    <cfRule type="expression" dxfId="61" priority="23" stopIfTrue="1">
      <formula>$P$78=1</formula>
    </cfRule>
  </conditionalFormatting>
  <conditionalFormatting sqref="C28:J28">
    <cfRule type="expression" dxfId="60" priority="24" stopIfTrue="1">
      <formula>AND($P$26=2,$L$26&gt;0.125*$G$19)</formula>
    </cfRule>
    <cfRule type="expression" dxfId="59" priority="25" stopIfTrue="1">
      <formula>$P$26=1</formula>
    </cfRule>
    <cfRule type="expression" dxfId="58" priority="26" stopIfTrue="1">
      <formula>AND($P$26=2,$L$26=0)</formula>
    </cfRule>
  </conditionalFormatting>
  <conditionalFormatting sqref="C40:J40">
    <cfRule type="expression" dxfId="57" priority="27" stopIfTrue="1">
      <formula>AND($P$38=2,$L$38&gt;0.025*$G$19)</formula>
    </cfRule>
    <cfRule type="expression" dxfId="56" priority="28" stopIfTrue="1">
      <formula>$P$38=1</formula>
    </cfRule>
    <cfRule type="expression" dxfId="55" priority="29" stopIfTrue="1">
      <formula>AND($P$38=2,$L$38=0)</formula>
    </cfRule>
  </conditionalFormatting>
  <conditionalFormatting sqref="L75:M75">
    <cfRule type="expression" dxfId="54" priority="30" stopIfTrue="1">
      <formula>AND(NOT(ISBLANK($G$75)),ISBLANK($I$75))</formula>
    </cfRule>
  </conditionalFormatting>
  <conditionalFormatting sqref="C101:M101">
    <cfRule type="expression" dxfId="53" priority="31" stopIfTrue="1">
      <formula>$I$99="Not Valid"</formula>
    </cfRule>
  </conditionalFormatting>
  <conditionalFormatting sqref="E26">
    <cfRule type="expression" dxfId="52" priority="32" stopIfTrue="1">
      <formula>P26=1</formula>
    </cfRule>
    <cfRule type="expression" dxfId="51" priority="33" stopIfTrue="1">
      <formula>AND(P26=2,ISBLANK(L26))</formula>
    </cfRule>
  </conditionalFormatting>
  <conditionalFormatting sqref="J42">
    <cfRule type="expression" dxfId="50" priority="34" stopIfTrue="1">
      <formula>$P$42=2</formula>
    </cfRule>
    <cfRule type="expression" dxfId="49" priority="35" stopIfTrue="1">
      <formula>AND($P$42=1,ISBLANK(J42))</formula>
    </cfRule>
  </conditionalFormatting>
  <conditionalFormatting sqref="L44:M51">
    <cfRule type="expression" dxfId="48" priority="36" stopIfTrue="1">
      <formula>AND($P$42=1,ISBLANK($J$42))</formula>
    </cfRule>
  </conditionalFormatting>
  <conditionalFormatting sqref="K15:M15">
    <cfRule type="expression" dxfId="47" priority="37" stopIfTrue="1">
      <formula>AND(NOT(ISBLANK($G$15)),$G$15&gt;0,ISBLANK($I$15))</formula>
    </cfRule>
  </conditionalFormatting>
  <conditionalFormatting sqref="I15:J15">
    <cfRule type="expression" dxfId="46" priority="38" stopIfTrue="1">
      <formula>AND(NOT(ISBLANK(G15)),G15&gt;0,ISBLANK(I15))</formula>
    </cfRule>
  </conditionalFormatting>
  <conditionalFormatting sqref="E38">
    <cfRule type="expression" dxfId="45" priority="39" stopIfTrue="1">
      <formula>P38=1</formula>
    </cfRule>
    <cfRule type="expression" dxfId="44" priority="40" stopIfTrue="1">
      <formula>AND($P$38=2,$L$38=0)</formula>
    </cfRule>
  </conditionalFormatting>
  <conditionalFormatting sqref="E43">
    <cfRule type="expression" dxfId="43" priority="41" stopIfTrue="1">
      <formula>AND($G$43=0,$G$43&lt;&gt;"")</formula>
    </cfRule>
  </conditionalFormatting>
  <conditionalFormatting sqref="C45:J45">
    <cfRule type="expression" dxfId="42"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79D24237-DF34-495C-9848-97F7616B7AD3}">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0D24B093-3C2A-402E-942C-ECB1AE8FFFE0}">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5F1A7056-AC9E-45E6-8AAB-E53076804F96}">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BD88EB4C-6DA3-4695-B3E3-AFABDFD3294C}">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5DAEC0E7-6DB0-4337-AC71-87260CC8FE47}">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4846DC0E-BAC7-4F57-BB16-0C819E9E4A3D}">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3AB461BE-E656-4563-9448-E457595D8870}">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114EC2C0-993A-4D38-AD4A-5C9198710EF7}">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C23B3503-8DD8-4FF0-A387-D56CE82F0B0E}">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032CCE72-2BA7-485C-A6C5-0E105F8B049E}">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E8245AF0-6AA2-4671-A928-0F5DE4E99F8D}">
      <formula1>0</formula1>
    </dataValidation>
    <dataValidation type="decimal" operator="greaterThan" allowBlank="1" showErrorMessage="1" errorTitle="Data Validation" error="Enter a numerical value" promptTitle="Data Validation" prompt="Enter a numerical value greater than or equal to zero" sqref="G43" xr:uid="{0B2D9E7A-F584-4137-8A17-AC5F6A5B43A1}">
      <formula1>-1E+25</formula1>
    </dataValidation>
    <dataValidation type="decimal" errorStyle="warning" operator="lessThanOrEqual" allowBlank="1" showErrorMessage="1" errorTitle="Customer Service Lines" error="The value you entered is greater than an assumed maximum reasonable value." sqref="G65" xr:uid="{02874DEE-E57B-4DCC-B13B-F888986AE5E7}">
      <formula1>100</formula1>
    </dataValidation>
    <dataValidation type="decimal" errorStyle="warning" operator="lessThanOrEqual" allowBlank="1" showErrorMessage="1" errorTitle="Average Operating Pressure" error="The value you entered is greater than an assumed maximum reasonable value." sqref="G67" xr:uid="{2A57899E-E991-4E11-9813-C6049026BF64}">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803"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2804"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2805"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2799"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2800"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2801"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2795"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2796"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2797"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9A06-4F26-45AF-8C56-EFC5E79F6448}">
  <sheetPr codeName="Sheet13">
    <tabColor indexed="43"/>
    <pageSetUpPr fitToPage="1"/>
  </sheetPr>
  <dimension ref="A1:Q152"/>
  <sheetViews>
    <sheetView showGridLines="0" workbookViewId="0">
      <pane ySplit="6" topLeftCell="A94"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485" t="s">
        <v>492</v>
      </c>
      <c r="C2" s="486"/>
      <c r="D2" s="486"/>
      <c r="E2" s="486"/>
      <c r="F2" s="486"/>
      <c r="G2" s="486"/>
      <c r="H2" s="486"/>
      <c r="I2" s="486"/>
      <c r="J2" s="486"/>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26</v>
      </c>
      <c r="D4" s="167" t="s">
        <v>466</v>
      </c>
      <c r="E4" s="296"/>
      <c r="F4" s="168"/>
      <c r="G4" s="146"/>
      <c r="H4" s="146"/>
      <c r="I4" s="146"/>
      <c r="J4" s="146"/>
      <c r="K4" s="169"/>
      <c r="L4" s="4"/>
      <c r="M4" s="4"/>
      <c r="N4" s="137"/>
    </row>
    <row r="5" spans="1:16" s="104" customFormat="1" x14ac:dyDescent="0.25">
      <c r="A5" s="133"/>
      <c r="B5" s="136"/>
      <c r="C5" s="170" t="s">
        <v>27</v>
      </c>
      <c r="D5" s="737">
        <v>2008</v>
      </c>
      <c r="E5" s="738"/>
      <c r="F5" s="171"/>
      <c r="G5" s="741" t="s">
        <v>53</v>
      </c>
      <c r="H5" s="742"/>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20"/>
      <c r="D7" s="492"/>
      <c r="E7" s="492"/>
      <c r="F7" s="492"/>
      <c r="G7" s="492"/>
      <c r="H7" s="492"/>
      <c r="I7" s="492"/>
      <c r="J7" s="492"/>
      <c r="K7" s="492"/>
      <c r="L7" s="492"/>
      <c r="M7" s="492"/>
      <c r="N7" s="137"/>
    </row>
    <row r="8" spans="1:16" s="104" customFormat="1" ht="13.5" customHeight="1" x14ac:dyDescent="0.25">
      <c r="A8" s="133"/>
      <c r="B8" s="136"/>
      <c r="C8" s="492"/>
      <c r="D8" s="492"/>
      <c r="E8" s="492"/>
      <c r="F8" s="492"/>
      <c r="G8" s="492"/>
      <c r="H8" s="492"/>
      <c r="I8" s="492"/>
      <c r="J8" s="492"/>
      <c r="K8" s="492"/>
      <c r="L8" s="492"/>
      <c r="M8" s="492"/>
      <c r="N8" s="137"/>
    </row>
    <row r="9" spans="1:16" s="104" customFormat="1" ht="15" customHeight="1" x14ac:dyDescent="0.25">
      <c r="A9" s="133"/>
      <c r="B9" s="136"/>
      <c r="C9" s="173"/>
      <c r="D9" s="173"/>
      <c r="E9" s="297"/>
      <c r="F9" s="173"/>
      <c r="G9" s="174" t="s">
        <v>416</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193</v>
      </c>
      <c r="D12" s="527" t="s">
        <v>166</v>
      </c>
      <c r="E12" s="517"/>
      <c r="F12" s="517"/>
      <c r="G12" s="517"/>
      <c r="H12" s="517"/>
      <c r="I12" s="517"/>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69</v>
      </c>
      <c r="D14" s="131"/>
      <c r="E14" s="457">
        <v>7</v>
      </c>
      <c r="F14" s="12"/>
      <c r="G14" s="458">
        <v>213977</v>
      </c>
      <c r="H14" s="5"/>
      <c r="I14" s="459" t="s">
        <v>417</v>
      </c>
      <c r="J14" s="175"/>
      <c r="K14" s="176"/>
      <c r="L14" s="78"/>
      <c r="M14" s="78"/>
      <c r="N14" s="137"/>
    </row>
    <row r="15" spans="1:16" s="104" customFormat="1" x14ac:dyDescent="0.25">
      <c r="A15" s="133"/>
      <c r="B15" s="136"/>
      <c r="C15" s="151" t="s">
        <v>10</v>
      </c>
      <c r="D15" s="3"/>
      <c r="E15" s="457">
        <v>4</v>
      </c>
      <c r="F15" s="12"/>
      <c r="G15" s="458">
        <v>0</v>
      </c>
      <c r="H15" s="5"/>
      <c r="I15" s="739"/>
      <c r="J15" s="740"/>
      <c r="K15" s="729" t="s">
        <v>407</v>
      </c>
      <c r="L15" s="730"/>
      <c r="M15" s="730"/>
      <c r="N15" s="137"/>
    </row>
    <row r="16" spans="1:16" s="104" customFormat="1" x14ac:dyDescent="0.25">
      <c r="A16" s="133"/>
      <c r="B16" s="136"/>
      <c r="C16" s="151" t="s">
        <v>468</v>
      </c>
      <c r="D16" s="3"/>
      <c r="E16" s="457" t="s">
        <v>613</v>
      </c>
      <c r="F16" s="12"/>
      <c r="G16" s="458">
        <v>0</v>
      </c>
      <c r="H16" s="5"/>
      <c r="I16" s="459" t="s">
        <v>407</v>
      </c>
      <c r="J16" s="251" t="s">
        <v>415</v>
      </c>
      <c r="K16" s="176"/>
      <c r="L16" s="78"/>
      <c r="M16" s="417"/>
      <c r="N16" s="137"/>
    </row>
    <row r="17" spans="1:17" s="104" customFormat="1" x14ac:dyDescent="0.25">
      <c r="A17" s="133"/>
      <c r="B17" s="136"/>
      <c r="C17" s="151" t="s">
        <v>469</v>
      </c>
      <c r="D17" s="3"/>
      <c r="E17" s="457">
        <v>7</v>
      </c>
      <c r="F17" s="12"/>
      <c r="G17" s="458">
        <v>26457.5</v>
      </c>
      <c r="H17" s="5"/>
      <c r="I17" s="459" t="s">
        <v>407</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192</v>
      </c>
      <c r="D19" s="81"/>
      <c r="E19" s="384"/>
      <c r="F19" s="12"/>
      <c r="G19" s="249">
        <v>187519.5</v>
      </c>
      <c r="H19" s="5"/>
      <c r="I19" s="459" t="s">
        <v>407</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502</v>
      </c>
      <c r="F21" s="12"/>
      <c r="G21" s="4"/>
      <c r="H21" s="4"/>
      <c r="I21" s="4"/>
      <c r="J21" s="13"/>
      <c r="K21" s="13"/>
      <c r="L21" s="13"/>
      <c r="M21" s="4"/>
      <c r="N21" s="137"/>
    </row>
    <row r="22" spans="1:17" s="104" customFormat="1" x14ac:dyDescent="0.25">
      <c r="A22" s="133"/>
      <c r="B22" s="136"/>
      <c r="C22" s="3" t="s">
        <v>194</v>
      </c>
      <c r="D22" s="3"/>
      <c r="E22" s="386"/>
      <c r="F22" s="3"/>
      <c r="G22" s="3"/>
      <c r="H22" s="3"/>
      <c r="I22" s="3"/>
      <c r="J22" s="3"/>
      <c r="K22" s="3"/>
      <c r="L22" s="3"/>
      <c r="M22" s="3"/>
      <c r="N22" s="137"/>
    </row>
    <row r="23" spans="1:17" s="104" customFormat="1" x14ac:dyDescent="0.25">
      <c r="A23" s="133"/>
      <c r="B23" s="136"/>
      <c r="C23" s="151" t="s">
        <v>70</v>
      </c>
      <c r="D23" s="9"/>
      <c r="E23" s="457">
        <v>7</v>
      </c>
      <c r="F23" s="12"/>
      <c r="G23" s="458">
        <v>163665</v>
      </c>
      <c r="H23" s="5"/>
      <c r="I23" s="459" t="s">
        <v>407</v>
      </c>
      <c r="J23" s="175"/>
      <c r="K23" s="176"/>
      <c r="L23" s="4"/>
      <c r="M23" s="4"/>
      <c r="N23" s="137"/>
      <c r="P23" s="17"/>
      <c r="Q23" s="17"/>
    </row>
    <row r="24" spans="1:17" s="104" customFormat="1" x14ac:dyDescent="0.25">
      <c r="A24" s="133"/>
      <c r="B24" s="136"/>
      <c r="C24" s="151" t="s">
        <v>71</v>
      </c>
      <c r="D24" s="9"/>
      <c r="E24" s="457">
        <v>2</v>
      </c>
      <c r="F24" s="12"/>
      <c r="G24" s="458">
        <v>433.9</v>
      </c>
      <c r="H24" s="5"/>
      <c r="I24" s="459" t="s">
        <v>407</v>
      </c>
      <c r="J24" s="175"/>
      <c r="K24" s="176"/>
      <c r="L24" s="151"/>
      <c r="M24" s="151"/>
      <c r="N24" s="137"/>
      <c r="P24" s="17"/>
      <c r="Q24" s="17"/>
    </row>
    <row r="25" spans="1:17" s="104" customFormat="1" x14ac:dyDescent="0.25">
      <c r="A25" s="133"/>
      <c r="B25" s="136"/>
      <c r="C25" s="151" t="s">
        <v>72</v>
      </c>
      <c r="D25" s="9"/>
      <c r="E25" s="457">
        <v>8</v>
      </c>
      <c r="F25" s="12"/>
      <c r="G25" s="458">
        <v>1768.4</v>
      </c>
      <c r="H25" s="5"/>
      <c r="I25" s="459" t="s">
        <v>407</v>
      </c>
      <c r="J25" s="241" t="s">
        <v>104</v>
      </c>
      <c r="K25" s="246"/>
      <c r="L25" s="4" t="s">
        <v>103</v>
      </c>
      <c r="M25" s="4"/>
      <c r="N25" s="137"/>
      <c r="P25" s="17"/>
      <c r="Q25" s="17"/>
    </row>
    <row r="26" spans="1:17" s="104" customFormat="1" ht="15" customHeight="1" x14ac:dyDescent="0.25">
      <c r="A26" s="133"/>
      <c r="B26" s="136"/>
      <c r="C26" s="151" t="s">
        <v>73</v>
      </c>
      <c r="D26" s="9"/>
      <c r="E26" s="457">
        <v>5</v>
      </c>
      <c r="F26" s="12"/>
      <c r="G26" s="249">
        <v>230.1</v>
      </c>
      <c r="H26" s="5"/>
      <c r="I26" s="459" t="s">
        <v>407</v>
      </c>
      <c r="J26" s="254">
        <v>1.2500000000000001E-2</v>
      </c>
      <c r="K26" s="133"/>
      <c r="L26" s="732">
        <v>230.1</v>
      </c>
      <c r="M26" s="736"/>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17" t="s">
        <v>415</v>
      </c>
      <c r="D28" s="517"/>
      <c r="E28" s="517"/>
      <c r="F28" s="517"/>
      <c r="G28" s="517"/>
      <c r="H28" s="517"/>
      <c r="I28" s="517"/>
      <c r="J28" s="517"/>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191</v>
      </c>
      <c r="D30" s="81"/>
      <c r="E30" s="300"/>
      <c r="F30" s="12"/>
      <c r="G30" s="249">
        <v>166097.4</v>
      </c>
      <c r="H30" s="5"/>
      <c r="I30" s="459" t="s">
        <v>407</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415</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195</v>
      </c>
      <c r="D35" s="3"/>
      <c r="E35" s="300"/>
      <c r="F35" s="3"/>
      <c r="G35" s="249">
        <v>21422.1</v>
      </c>
      <c r="H35" s="4"/>
      <c r="I35" s="459" t="s">
        <v>407</v>
      </c>
      <c r="J35" s="4"/>
      <c r="K35" s="518"/>
      <c r="L35" s="4"/>
      <c r="M35" s="4"/>
      <c r="N35" s="137"/>
      <c r="P35" s="39"/>
      <c r="Q35" s="17"/>
    </row>
    <row r="36" spans="1:17" s="104" customFormat="1" ht="5.25" customHeight="1" x14ac:dyDescent="0.25">
      <c r="A36" s="133"/>
      <c r="B36" s="136"/>
      <c r="C36" s="3"/>
      <c r="D36" s="3"/>
      <c r="E36" s="300"/>
      <c r="F36" s="3"/>
      <c r="G36" s="4"/>
      <c r="H36" s="4"/>
      <c r="I36" s="4"/>
      <c r="J36" s="4"/>
      <c r="K36" s="518"/>
      <c r="L36" s="4"/>
      <c r="M36" s="4"/>
      <c r="N36" s="137"/>
      <c r="P36" s="39"/>
      <c r="Q36" s="17"/>
    </row>
    <row r="37" spans="1:17" s="104" customFormat="1" x14ac:dyDescent="0.25">
      <c r="A37" s="133"/>
      <c r="B37" s="136"/>
      <c r="C37" s="182" t="s">
        <v>347</v>
      </c>
      <c r="D37" s="9"/>
      <c r="E37" s="300"/>
      <c r="F37" s="9"/>
      <c r="G37" s="4"/>
      <c r="H37" s="4"/>
      <c r="I37" s="4"/>
      <c r="J37" s="241" t="s">
        <v>104</v>
      </c>
      <c r="K37" s="246"/>
      <c r="L37" s="4" t="s">
        <v>103</v>
      </c>
      <c r="M37" s="4"/>
      <c r="N37" s="137"/>
      <c r="P37" s="39"/>
      <c r="Q37" s="17"/>
    </row>
    <row r="38" spans="1:17" s="104" customFormat="1" ht="15" customHeight="1" x14ac:dyDescent="0.25">
      <c r="A38" s="133"/>
      <c r="B38" s="136"/>
      <c r="C38" s="151" t="s">
        <v>74</v>
      </c>
      <c r="D38" s="9"/>
      <c r="E38" s="457">
        <v>5</v>
      </c>
      <c r="F38" s="9"/>
      <c r="G38" s="249">
        <v>886.8</v>
      </c>
      <c r="H38" s="183"/>
      <c r="I38" s="459" t="s">
        <v>407</v>
      </c>
      <c r="J38" s="254">
        <v>2.5000000000000001E-3</v>
      </c>
      <c r="K38" s="229"/>
      <c r="L38" s="732">
        <v>886.8</v>
      </c>
      <c r="M38" s="733"/>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27" t="s">
        <v>415</v>
      </c>
      <c r="D40" s="517"/>
      <c r="E40" s="517"/>
      <c r="F40" s="517"/>
      <c r="G40" s="517"/>
      <c r="H40" s="517"/>
      <c r="I40" s="517"/>
      <c r="J40" s="517"/>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75</v>
      </c>
      <c r="D42" s="9"/>
      <c r="E42" s="457">
        <v>7</v>
      </c>
      <c r="F42" s="9"/>
      <c r="G42" s="249">
        <v>2851</v>
      </c>
      <c r="H42" s="183"/>
      <c r="I42" s="459" t="s">
        <v>407</v>
      </c>
      <c r="J42" s="463"/>
      <c r="K42" s="229"/>
      <c r="L42" s="732">
        <v>2851</v>
      </c>
      <c r="M42" s="733"/>
      <c r="N42" s="137"/>
      <c r="P42" s="39">
        <v>2</v>
      </c>
      <c r="Q42" s="17"/>
    </row>
    <row r="43" spans="1:17" s="104" customFormat="1" x14ac:dyDescent="0.25">
      <c r="A43" s="133"/>
      <c r="B43" s="136"/>
      <c r="C43" s="151" t="s">
        <v>467</v>
      </c>
      <c r="D43" s="9"/>
      <c r="E43" s="457">
        <v>5</v>
      </c>
      <c r="F43" s="9"/>
      <c r="G43" s="464">
        <v>0</v>
      </c>
      <c r="H43" s="183"/>
      <c r="I43" s="459" t="s">
        <v>407</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35" t="s">
        <v>339</v>
      </c>
      <c r="M44" s="535"/>
      <c r="N44" s="137"/>
      <c r="P44" s="39"/>
      <c r="Q44" s="17"/>
    </row>
    <row r="45" spans="1:17" s="104" customFormat="1" x14ac:dyDescent="0.25">
      <c r="A45" s="133"/>
      <c r="B45" s="136"/>
      <c r="C45" s="534" t="s">
        <v>340</v>
      </c>
      <c r="D45" s="534"/>
      <c r="E45" s="534"/>
      <c r="F45" s="534"/>
      <c r="G45" s="534"/>
      <c r="H45" s="534"/>
      <c r="I45" s="534"/>
      <c r="J45" s="534"/>
      <c r="K45" s="5"/>
      <c r="L45" s="535"/>
      <c r="M45" s="535"/>
      <c r="N45" s="137"/>
      <c r="P45" s="39"/>
      <c r="Q45" s="17"/>
    </row>
    <row r="46" spans="1:17" s="104" customFormat="1" ht="2.25" customHeight="1" x14ac:dyDescent="0.25">
      <c r="A46" s="133"/>
      <c r="B46" s="136"/>
      <c r="C46" s="151"/>
      <c r="D46" s="9"/>
      <c r="E46" s="9"/>
      <c r="F46" s="9"/>
      <c r="G46" s="9"/>
      <c r="H46" s="9"/>
      <c r="I46" s="9"/>
      <c r="J46" s="4"/>
      <c r="K46" s="5"/>
      <c r="L46" s="535"/>
      <c r="M46" s="535"/>
      <c r="N46" s="137"/>
      <c r="P46" s="39"/>
      <c r="Q46" s="17"/>
    </row>
    <row r="47" spans="1:17" s="104" customFormat="1" x14ac:dyDescent="0.25">
      <c r="A47" s="133"/>
      <c r="B47" s="136"/>
      <c r="C47" s="151" t="s">
        <v>314</v>
      </c>
      <c r="D47" s="9"/>
      <c r="E47" s="303"/>
      <c r="F47" s="9"/>
      <c r="G47" s="249">
        <v>3737.8</v>
      </c>
      <c r="H47" s="9"/>
      <c r="I47" s="459" t="s">
        <v>114</v>
      </c>
      <c r="J47" s="4"/>
      <c r="K47" s="176"/>
      <c r="L47" s="535"/>
      <c r="M47" s="535"/>
      <c r="N47" s="137"/>
    </row>
    <row r="48" spans="1:17" s="104" customFormat="1" ht="2.25" customHeight="1" x14ac:dyDescent="0.25">
      <c r="A48" s="133"/>
      <c r="B48" s="136"/>
      <c r="C48" s="9"/>
      <c r="D48" s="14"/>
      <c r="E48" s="14"/>
      <c r="F48" s="14"/>
      <c r="G48" s="176"/>
      <c r="H48" s="14"/>
      <c r="I48" s="5"/>
      <c r="J48" s="5"/>
      <c r="K48" s="176"/>
      <c r="L48" s="535"/>
      <c r="M48" s="535"/>
      <c r="N48" s="137"/>
    </row>
    <row r="49" spans="1:14" s="104" customFormat="1" ht="15" customHeight="1" x14ac:dyDescent="0.25">
      <c r="A49" s="133"/>
      <c r="B49" s="136"/>
      <c r="C49" s="731" t="s">
        <v>415</v>
      </c>
      <c r="D49" s="731"/>
      <c r="E49" s="731"/>
      <c r="F49" s="731"/>
      <c r="G49" s="731"/>
      <c r="H49" s="731"/>
      <c r="I49" s="731"/>
      <c r="J49" s="731"/>
      <c r="K49" s="176"/>
      <c r="L49" s="535"/>
      <c r="M49" s="535"/>
      <c r="N49" s="137"/>
    </row>
    <row r="50" spans="1:14" s="104" customFormat="1" ht="2.25" customHeight="1" x14ac:dyDescent="0.25">
      <c r="A50" s="133"/>
      <c r="B50" s="136"/>
      <c r="C50" s="9"/>
      <c r="D50" s="14"/>
      <c r="E50" s="465"/>
      <c r="F50" s="14"/>
      <c r="G50" s="176"/>
      <c r="H50" s="14"/>
      <c r="I50" s="5"/>
      <c r="J50" s="5"/>
      <c r="K50" s="176"/>
      <c r="L50" s="535"/>
      <c r="M50" s="535"/>
      <c r="N50" s="137"/>
    </row>
    <row r="51" spans="1:14" s="104" customFormat="1" ht="10.5" customHeight="1" x14ac:dyDescent="0.25">
      <c r="A51" s="133"/>
      <c r="B51" s="136"/>
      <c r="C51" s="182" t="s">
        <v>615</v>
      </c>
      <c r="D51" s="14"/>
      <c r="E51" s="303"/>
      <c r="F51" s="14"/>
      <c r="G51" s="176"/>
      <c r="H51" s="176"/>
      <c r="I51" s="176"/>
      <c r="J51" s="176"/>
      <c r="K51" s="176"/>
      <c r="L51" s="535"/>
      <c r="M51" s="535"/>
      <c r="N51" s="137"/>
    </row>
    <row r="52" spans="1:14" s="104" customFormat="1" x14ac:dyDescent="0.25">
      <c r="A52" s="133"/>
      <c r="B52" s="136"/>
      <c r="C52" s="151" t="s">
        <v>372</v>
      </c>
      <c r="D52" s="14"/>
      <c r="E52" s="303"/>
      <c r="F52" s="14"/>
      <c r="G52" s="249">
        <v>17684.3</v>
      </c>
      <c r="H52" s="14"/>
      <c r="I52" s="459" t="s">
        <v>407</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188</v>
      </c>
      <c r="D54" s="82"/>
      <c r="E54" s="303"/>
      <c r="F54" s="16"/>
      <c r="G54" s="249">
        <v>21422.1</v>
      </c>
      <c r="H54" s="5"/>
      <c r="I54" s="459" t="s">
        <v>407</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487</v>
      </c>
      <c r="D57" s="14"/>
      <c r="E57" s="303"/>
      <c r="F57" s="14"/>
      <c r="G57" s="466"/>
      <c r="H57" s="14"/>
      <c r="I57" s="13"/>
      <c r="J57" s="176"/>
      <c r="K57" s="176"/>
      <c r="L57" s="5"/>
      <c r="M57" s="4"/>
      <c r="N57" s="137"/>
    </row>
    <row r="58" spans="1:14" s="104" customFormat="1" ht="13.5" customHeight="1" x14ac:dyDescent="0.25">
      <c r="A58" s="133"/>
      <c r="B58" s="136"/>
      <c r="C58" s="9" t="s">
        <v>81</v>
      </c>
      <c r="D58" s="14"/>
      <c r="E58" s="303"/>
      <c r="F58" s="14"/>
      <c r="G58" s="249">
        <v>23420.6</v>
      </c>
      <c r="H58" s="14"/>
      <c r="I58" s="459" t="s">
        <v>407</v>
      </c>
      <c r="J58" s="176"/>
      <c r="K58" s="176"/>
      <c r="L58" s="5"/>
      <c r="M58" s="4"/>
      <c r="N58" s="137"/>
    </row>
    <row r="59" spans="1:14" s="104" customFormat="1" ht="13.5" customHeight="1" x14ac:dyDescent="0.25">
      <c r="A59" s="133"/>
      <c r="B59" s="136"/>
      <c r="C59" s="404" t="s">
        <v>226</v>
      </c>
      <c r="D59" s="405"/>
      <c r="E59" s="405"/>
      <c r="F59" s="405"/>
      <c r="G59" s="405"/>
      <c r="H59" s="405"/>
      <c r="I59" s="405"/>
      <c r="J59" s="405"/>
      <c r="K59" s="405"/>
      <c r="L59" s="405"/>
      <c r="M59" s="405"/>
      <c r="N59" s="137"/>
    </row>
    <row r="60" spans="1:14" s="104" customFormat="1" ht="16.5" customHeight="1" x14ac:dyDescent="0.25">
      <c r="A60" s="133"/>
      <c r="B60" s="136"/>
      <c r="C60" s="3" t="s">
        <v>29</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76</v>
      </c>
      <c r="D62" s="3"/>
      <c r="E62" s="457">
        <v>8</v>
      </c>
      <c r="F62" s="3"/>
      <c r="G62" s="467">
        <v>4161</v>
      </c>
      <c r="H62" s="186"/>
      <c r="I62" s="390" t="s">
        <v>408</v>
      </c>
      <c r="J62" s="4"/>
      <c r="K62" s="4"/>
      <c r="L62" s="4"/>
      <c r="M62" s="4"/>
      <c r="N62" s="137"/>
    </row>
    <row r="63" spans="1:14" s="104" customFormat="1" x14ac:dyDescent="0.25">
      <c r="A63" s="133"/>
      <c r="B63" s="136"/>
      <c r="C63" s="151" t="s">
        <v>66</v>
      </c>
      <c r="D63" s="3"/>
      <c r="E63" s="457">
        <v>9</v>
      </c>
      <c r="F63" s="3"/>
      <c r="G63" s="468">
        <v>287905</v>
      </c>
      <c r="H63" s="186"/>
      <c r="I63" s="4"/>
      <c r="J63" s="4"/>
      <c r="K63" s="4"/>
      <c r="L63" s="4"/>
      <c r="M63" s="4"/>
      <c r="N63" s="137"/>
    </row>
    <row r="64" spans="1:14" s="104" customFormat="1" x14ac:dyDescent="0.25">
      <c r="A64" s="133"/>
      <c r="B64" s="136"/>
      <c r="C64" s="151" t="s">
        <v>30</v>
      </c>
      <c r="D64" s="3"/>
      <c r="E64" s="386"/>
      <c r="F64" s="3"/>
      <c r="G64" s="117">
        <v>69.191300168228793</v>
      </c>
      <c r="H64" s="4"/>
      <c r="I64" s="390" t="s">
        <v>409</v>
      </c>
      <c r="J64" s="176"/>
      <c r="K64" s="176"/>
      <c r="L64" s="4"/>
      <c r="M64" s="4"/>
      <c r="N64" s="137"/>
    </row>
    <row r="65" spans="1:16" s="104" customFormat="1" ht="13.5" customHeight="1" x14ac:dyDescent="0.25">
      <c r="A65" s="133"/>
      <c r="B65" s="136"/>
      <c r="C65" s="407" t="s">
        <v>373</v>
      </c>
      <c r="D65" s="3"/>
      <c r="E65" s="457">
        <v>5</v>
      </c>
      <c r="F65" s="3"/>
      <c r="G65" s="467">
        <v>16</v>
      </c>
      <c r="H65" s="3"/>
      <c r="I65" s="390" t="s">
        <v>410</v>
      </c>
      <c r="J65" s="532"/>
      <c r="K65" s="533"/>
      <c r="L65" s="533"/>
      <c r="M65" s="533"/>
      <c r="N65" s="137"/>
    </row>
    <row r="66" spans="1:16" s="104" customFormat="1" x14ac:dyDescent="0.25">
      <c r="A66" s="133"/>
      <c r="B66" s="136"/>
      <c r="C66" s="4"/>
      <c r="D66" s="3"/>
      <c r="E66" s="386"/>
      <c r="F66" s="3"/>
      <c r="G66" s="38"/>
      <c r="H66" s="3"/>
      <c r="I66" s="4"/>
      <c r="J66" s="533"/>
      <c r="K66" s="533"/>
      <c r="L66" s="533"/>
      <c r="M66" s="533"/>
      <c r="N66" s="137"/>
    </row>
    <row r="67" spans="1:16" s="104" customFormat="1" x14ac:dyDescent="0.25">
      <c r="A67" s="133"/>
      <c r="B67" s="136"/>
      <c r="C67" s="151" t="s">
        <v>77</v>
      </c>
      <c r="D67" s="3"/>
      <c r="E67" s="457">
        <v>6</v>
      </c>
      <c r="F67" s="3"/>
      <c r="G67" s="467">
        <v>58.4</v>
      </c>
      <c r="H67" s="187"/>
      <c r="I67" s="390" t="s">
        <v>578</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17" t="s">
        <v>415</v>
      </c>
      <c r="D69" s="517"/>
      <c r="E69" s="517"/>
      <c r="F69" s="517"/>
      <c r="G69" s="517"/>
      <c r="H69" s="517"/>
      <c r="I69" s="517"/>
      <c r="J69" s="517"/>
      <c r="K69" s="327"/>
      <c r="L69" s="4"/>
      <c r="M69" s="4"/>
      <c r="N69" s="137"/>
      <c r="P69" s="104">
        <v>1</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249</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78</v>
      </c>
      <c r="D74" s="9"/>
      <c r="E74" s="457">
        <v>3</v>
      </c>
      <c r="F74" s="4"/>
      <c r="G74" s="469">
        <v>100000000</v>
      </c>
      <c r="H74" s="4"/>
      <c r="I74" s="390" t="s">
        <v>257</v>
      </c>
      <c r="J74" s="4"/>
      <c r="K74" s="4"/>
      <c r="L74" s="4"/>
      <c r="M74" s="4"/>
      <c r="N74" s="137"/>
    </row>
    <row r="75" spans="1:16" s="104" customFormat="1" ht="14.25" customHeight="1" x14ac:dyDescent="0.25">
      <c r="A75" s="133"/>
      <c r="B75" s="136"/>
      <c r="C75" s="188" t="s">
        <v>225</v>
      </c>
      <c r="D75" s="9"/>
      <c r="E75" s="457">
        <v>10</v>
      </c>
      <c r="F75" s="4"/>
      <c r="G75" s="470">
        <v>0.64200000000000002</v>
      </c>
      <c r="H75" s="4"/>
      <c r="I75" s="723" t="s">
        <v>200</v>
      </c>
      <c r="J75" s="724"/>
      <c r="K75" s="725"/>
      <c r="L75" s="734" t="s">
        <v>415</v>
      </c>
      <c r="M75" s="735"/>
      <c r="N75" s="137"/>
    </row>
    <row r="76" spans="1:16" s="104" customFormat="1" ht="13.5" customHeight="1" x14ac:dyDescent="0.25">
      <c r="A76" s="133"/>
      <c r="B76" s="136"/>
      <c r="C76" s="188" t="s">
        <v>34</v>
      </c>
      <c r="D76" s="9"/>
      <c r="E76" s="457">
        <v>10</v>
      </c>
      <c r="F76" s="4"/>
      <c r="G76" s="470">
        <v>642</v>
      </c>
      <c r="H76" s="4"/>
      <c r="I76" s="459" t="s">
        <v>579</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1" t="s">
        <v>580</v>
      </c>
      <c r="D78" s="531"/>
      <c r="E78" s="531"/>
      <c r="F78" s="531"/>
      <c r="G78" s="531"/>
      <c r="H78" s="531"/>
      <c r="I78" s="531"/>
      <c r="J78" s="531"/>
      <c r="K78" s="531"/>
      <c r="L78" s="531"/>
      <c r="M78" s="4"/>
      <c r="N78" s="137"/>
      <c r="P78" s="104">
        <v>1</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253</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254</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599</v>
      </c>
      <c r="H84" s="4"/>
      <c r="I84" s="79">
        <v>0.12489687739141805</v>
      </c>
      <c r="J84" s="4"/>
      <c r="K84" s="4"/>
      <c r="L84" s="4"/>
      <c r="M84" s="4"/>
      <c r="N84" s="137"/>
    </row>
    <row r="85" spans="1:14" s="104" customFormat="1" ht="13.5" customHeight="1" x14ac:dyDescent="0.25">
      <c r="A85" s="133"/>
      <c r="B85" s="136"/>
      <c r="C85" s="176"/>
      <c r="D85" s="3"/>
      <c r="E85" s="295"/>
      <c r="F85" s="3"/>
      <c r="G85" s="151" t="s">
        <v>598</v>
      </c>
      <c r="H85" s="4"/>
      <c r="I85" s="79">
        <v>0.15036025200000011</v>
      </c>
      <c r="J85" s="4"/>
      <c r="K85" s="4"/>
      <c r="L85" s="4"/>
      <c r="M85" s="4"/>
      <c r="N85" s="137"/>
    </row>
    <row r="86" spans="1:14" s="104" customFormat="1" ht="13.5" customHeight="1" x14ac:dyDescent="0.25">
      <c r="A86" s="133"/>
      <c r="B86" s="136"/>
      <c r="C86" s="176"/>
      <c r="D86" s="3"/>
      <c r="E86" s="295"/>
      <c r="F86" s="3"/>
      <c r="G86" s="151" t="s">
        <v>35</v>
      </c>
      <c r="H86" s="4"/>
      <c r="I86" s="119">
        <v>2399667.6</v>
      </c>
      <c r="J86" s="4"/>
      <c r="K86" s="4"/>
      <c r="L86" s="4"/>
      <c r="M86" s="4"/>
      <c r="N86" s="137"/>
    </row>
    <row r="87" spans="1:14" s="104" customFormat="1" ht="13.5" customHeight="1" x14ac:dyDescent="0.25">
      <c r="A87" s="133"/>
      <c r="B87" s="136"/>
      <c r="C87" s="176"/>
      <c r="D87" s="3"/>
      <c r="E87" s="295"/>
      <c r="F87" s="3"/>
      <c r="G87" s="151" t="s">
        <v>196</v>
      </c>
      <c r="H87" s="4"/>
      <c r="I87" s="119">
        <v>11353320.600000011</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255</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311</v>
      </c>
      <c r="H91" s="4"/>
      <c r="I91" s="37">
        <v>35.569191035951022</v>
      </c>
      <c r="J91" s="390" t="s">
        <v>581</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312</v>
      </c>
      <c r="H93" s="4"/>
      <c r="I93" s="406">
        <v>168.28515304111224</v>
      </c>
      <c r="J93" s="390" t="s">
        <v>581</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313</v>
      </c>
      <c r="H95" s="4"/>
      <c r="I95" s="406" t="s">
        <v>582</v>
      </c>
      <c r="J95" s="390" t="s">
        <v>415</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583</v>
      </c>
      <c r="H97" s="4"/>
      <c r="I97" s="116">
        <v>2.8815950863204152</v>
      </c>
      <c r="J97" s="390" t="s">
        <v>584</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256</v>
      </c>
      <c r="H99" s="4"/>
      <c r="I99" s="116">
        <v>8960.9053439999989</v>
      </c>
      <c r="J99" s="390" t="s">
        <v>168</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26" t="s">
        <v>415</v>
      </c>
      <c r="D101" s="727"/>
      <c r="E101" s="727"/>
      <c r="F101" s="727"/>
      <c r="G101" s="727"/>
      <c r="H101" s="727"/>
      <c r="I101" s="727"/>
      <c r="J101" s="727"/>
      <c r="K101" s="727"/>
      <c r="L101" s="727"/>
      <c r="M101" s="727"/>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617</v>
      </c>
      <c r="H103" s="474"/>
      <c r="I103" s="116">
        <v>17684.3</v>
      </c>
      <c r="J103" s="472" t="s">
        <v>168</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51" t="s">
        <v>616</v>
      </c>
      <c r="D105" s="551"/>
      <c r="E105" s="551"/>
      <c r="F105" s="551"/>
      <c r="G105" s="551"/>
      <c r="H105" s="80"/>
      <c r="I105" s="247">
        <v>1.9734947888765491</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64</v>
      </c>
      <c r="D107" s="206"/>
      <c r="E107" s="306"/>
      <c r="F107" s="206"/>
      <c r="G107" s="206"/>
      <c r="H107" s="4"/>
      <c r="I107" s="4"/>
      <c r="J107" s="4"/>
      <c r="K107" s="192"/>
      <c r="L107" s="4"/>
      <c r="M107" s="4"/>
      <c r="N107" s="137"/>
    </row>
    <row r="108" spans="1:16" s="338" customFormat="1" ht="21" customHeight="1" x14ac:dyDescent="0.25">
      <c r="A108" s="334"/>
      <c r="B108" s="136"/>
      <c r="C108" s="335" t="s">
        <v>162</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48" t="s">
        <v>299</v>
      </c>
      <c r="D110" s="549"/>
      <c r="E110" s="549"/>
      <c r="F110" s="549"/>
      <c r="G110" s="549"/>
      <c r="H110" s="549"/>
      <c r="I110" s="549"/>
      <c r="J110" s="549"/>
      <c r="K110" s="549"/>
      <c r="L110" s="549"/>
      <c r="M110" s="550"/>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45" t="s">
        <v>39</v>
      </c>
      <c r="D112" s="545"/>
      <c r="E112" s="545"/>
      <c r="F112" s="545"/>
      <c r="G112" s="545"/>
      <c r="H112" s="545"/>
      <c r="I112" s="545"/>
      <c r="J112" s="545"/>
      <c r="K112" s="545"/>
      <c r="L112" s="545"/>
      <c r="M112" s="545"/>
      <c r="N112" s="328"/>
      <c r="P112" s="377"/>
    </row>
    <row r="113" spans="1:14" s="104" customFormat="1" ht="21.75" customHeight="1" x14ac:dyDescent="0.25">
      <c r="A113" s="133"/>
      <c r="B113" s="136"/>
      <c r="C113" s="475" t="s">
        <v>85</v>
      </c>
      <c r="D113" s="543"/>
      <c r="E113" s="544"/>
      <c r="F113" s="544"/>
      <c r="G113" s="544"/>
      <c r="H113" s="544"/>
      <c r="I113" s="544"/>
      <c r="J113" s="544"/>
      <c r="K113" s="544"/>
      <c r="L113" s="544"/>
      <c r="M113" s="544"/>
      <c r="N113" s="137"/>
    </row>
    <row r="114" spans="1:14" s="104" customFormat="1" ht="19.5" customHeight="1" x14ac:dyDescent="0.25">
      <c r="A114" s="133"/>
      <c r="B114" s="136"/>
      <c r="C114" s="728" t="s">
        <v>161</v>
      </c>
      <c r="D114" s="533"/>
      <c r="E114" s="533"/>
      <c r="F114" s="533"/>
      <c r="G114" s="533"/>
      <c r="H114" s="533"/>
      <c r="I114" s="533"/>
      <c r="J114" s="533"/>
      <c r="K114" s="533"/>
      <c r="L114" s="533"/>
      <c r="M114" s="533"/>
      <c r="N114" s="137"/>
    </row>
    <row r="115" spans="1:14" s="104" customFormat="1" ht="15" customHeight="1" x14ac:dyDescent="0.25">
      <c r="A115" s="133"/>
      <c r="B115" s="136"/>
      <c r="C115" s="476" t="s">
        <v>585</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300</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301</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L38:M38"/>
    <mergeCell ref="C28:J28"/>
    <mergeCell ref="K35:K36"/>
    <mergeCell ref="L26:M26"/>
    <mergeCell ref="B2:J2"/>
    <mergeCell ref="C7:M8"/>
    <mergeCell ref="D5:E5"/>
    <mergeCell ref="I15:J15"/>
    <mergeCell ref="G5:H5"/>
    <mergeCell ref="D12:I12"/>
    <mergeCell ref="K15:M15"/>
    <mergeCell ref="C40:J40"/>
    <mergeCell ref="C49:J49"/>
    <mergeCell ref="C69:J69"/>
    <mergeCell ref="C78:L78"/>
    <mergeCell ref="J65:M66"/>
    <mergeCell ref="C45:J45"/>
    <mergeCell ref="L42:M42"/>
    <mergeCell ref="L44:M51"/>
    <mergeCell ref="L75:M75"/>
    <mergeCell ref="I75:K75"/>
    <mergeCell ref="C101:M101"/>
    <mergeCell ref="D113:M113"/>
    <mergeCell ref="C112:M112"/>
    <mergeCell ref="C114:M114"/>
    <mergeCell ref="C110:M110"/>
    <mergeCell ref="C105:G105"/>
  </mergeCells>
  <phoneticPr fontId="0" type="noConversion"/>
  <conditionalFormatting sqref="C9:M9">
    <cfRule type="expression" dxfId="41" priority="1" stopIfTrue="1">
      <formula>E14=""=TRUE</formula>
    </cfRule>
  </conditionalFormatting>
  <conditionalFormatting sqref="C32">
    <cfRule type="expression" dxfId="40" priority="2" stopIfTrue="1">
      <formula>AND(G30&gt;=G19,(G30&lt;&gt;0))</formula>
    </cfRule>
  </conditionalFormatting>
  <conditionalFormatting sqref="D32">
    <cfRule type="expression" dxfId="39" priority="3" stopIfTrue="1">
      <formula>AND(G30&gt;=G19,(G30&lt;&gt;0))</formula>
    </cfRule>
  </conditionalFormatting>
  <conditionalFormatting sqref="F32">
    <cfRule type="expression" dxfId="38" priority="4" stopIfTrue="1">
      <formula>AND(G30&gt;=G19,(G30&lt;&gt;0))</formula>
    </cfRule>
  </conditionalFormatting>
  <conditionalFormatting sqref="G32">
    <cfRule type="expression" dxfId="37" priority="5" stopIfTrue="1">
      <formula>AND(G30&gt;=G19,(G30&lt;&gt;0))</formula>
    </cfRule>
  </conditionalFormatting>
  <conditionalFormatting sqref="H32">
    <cfRule type="expression" dxfId="36" priority="6" stopIfTrue="1">
      <formula>AND(G30&gt;=G19,(G30&lt;&gt;0))</formula>
    </cfRule>
  </conditionalFormatting>
  <conditionalFormatting sqref="J32">
    <cfRule type="expression" dxfId="35" priority="7" stopIfTrue="1">
      <formula>AND(G30&gt;=G19,(G30&lt;&gt;0))</formula>
    </cfRule>
  </conditionalFormatting>
  <conditionalFormatting sqref="I32">
    <cfRule type="expression" dxfId="34" priority="8" stopIfTrue="1">
      <formula>AND(G30&gt;=G19,(G30&lt;&gt;0))</formula>
    </cfRule>
  </conditionalFormatting>
  <conditionalFormatting sqref="E32">
    <cfRule type="expression" dxfId="33" priority="9" stopIfTrue="1">
      <formula>AND(G30&gt;=G19,(G30&lt;&gt;0))</formula>
    </cfRule>
  </conditionalFormatting>
  <conditionalFormatting sqref="F111">
    <cfRule type="expression" dxfId="32" priority="10" stopIfTrue="1">
      <formula>"B106=0"</formula>
    </cfRule>
  </conditionalFormatting>
  <conditionalFormatting sqref="A110:A112 N110:IV112 D111 G111:M111">
    <cfRule type="expression" dxfId="31" priority="11" stopIfTrue="1">
      <formula>"M22=0"</formula>
    </cfRule>
  </conditionalFormatting>
  <conditionalFormatting sqref="G35 G42 G38 G30 G23:G26">
    <cfRule type="cellIs" dxfId="30" priority="12" stopIfTrue="1" operator="greaterThan">
      <formula>$G$19</formula>
    </cfRule>
  </conditionalFormatting>
  <conditionalFormatting sqref="G47">
    <cfRule type="cellIs" dxfId="29" priority="13" stopIfTrue="1" operator="greaterThan">
      <formula>$G$35</formula>
    </cfRule>
  </conditionalFormatting>
  <conditionalFormatting sqref="L38">
    <cfRule type="expression" dxfId="28" priority="14" stopIfTrue="1">
      <formula>$P$38=1</formula>
    </cfRule>
  </conditionalFormatting>
  <conditionalFormatting sqref="L42:M42">
    <cfRule type="expression" dxfId="27" priority="15" stopIfTrue="1">
      <formula>$P$42=1</formula>
    </cfRule>
  </conditionalFormatting>
  <conditionalFormatting sqref="J38">
    <cfRule type="expression" dxfId="26" priority="16" stopIfTrue="1">
      <formula>$P$38=2</formula>
    </cfRule>
  </conditionalFormatting>
  <conditionalFormatting sqref="G41">
    <cfRule type="expression" dxfId="25" priority="17" stopIfTrue="1">
      <formula>$P$38=2</formula>
    </cfRule>
  </conditionalFormatting>
  <conditionalFormatting sqref="F29">
    <cfRule type="expression" dxfId="24" priority="18" stopIfTrue="1">
      <formula>$P$26=2</formula>
    </cfRule>
  </conditionalFormatting>
  <conditionalFormatting sqref="L26">
    <cfRule type="expression" dxfId="23" priority="19" stopIfTrue="1">
      <formula>$P$26=1</formula>
    </cfRule>
  </conditionalFormatting>
  <conditionalFormatting sqref="J26">
    <cfRule type="expression" dxfId="22" priority="20" stopIfTrue="1">
      <formula>$P$26=2</formula>
    </cfRule>
  </conditionalFormatting>
  <conditionalFormatting sqref="C49:J49">
    <cfRule type="expression" dxfId="21" priority="21" stopIfTrue="1">
      <formula>AND($G$47&gt;=$G$35,($G$47&lt;&gt;0))</formula>
    </cfRule>
  </conditionalFormatting>
  <conditionalFormatting sqref="C69:J69">
    <cfRule type="expression" dxfId="20" priority="22" stopIfTrue="1">
      <formula>OR(AND(NOT(ISBLANK($G$67)),$P$69=1,$G$67&lt;=25),AND(NOT(ISBLANK($G$67)),$P$69&lt;&gt;1,$G$67&lt;=40))</formula>
    </cfRule>
  </conditionalFormatting>
  <conditionalFormatting sqref="C78:L78">
    <cfRule type="expression" dxfId="19" priority="23" stopIfTrue="1">
      <formula>$P$78=1</formula>
    </cfRule>
  </conditionalFormatting>
  <conditionalFormatting sqref="C28:J28">
    <cfRule type="expression" dxfId="18" priority="24" stopIfTrue="1">
      <formula>AND($P$26=2,$L$26&gt;0.125*$G$19)</formula>
    </cfRule>
    <cfRule type="expression" dxfId="17" priority="25" stopIfTrue="1">
      <formula>$P$26=1</formula>
    </cfRule>
    <cfRule type="expression" dxfId="16" priority="26" stopIfTrue="1">
      <formula>AND($P$26=2,$L$26=0)</formula>
    </cfRule>
  </conditionalFormatting>
  <conditionalFormatting sqref="C40:J40">
    <cfRule type="expression" dxfId="15" priority="27" stopIfTrue="1">
      <formula>AND($P$38=2,$L$38&gt;0.025*$G$19)</formula>
    </cfRule>
    <cfRule type="expression" dxfId="14" priority="28" stopIfTrue="1">
      <formula>$P$38=1</formula>
    </cfRule>
    <cfRule type="expression" dxfId="13" priority="29" stopIfTrue="1">
      <formula>AND($P$38=2,$L$38=0)</formula>
    </cfRule>
  </conditionalFormatting>
  <conditionalFormatting sqref="L75:M75">
    <cfRule type="expression" dxfId="12" priority="30" stopIfTrue="1">
      <formula>AND(NOT(ISBLANK($G$75)),ISBLANK($I$75))</formula>
    </cfRule>
  </conditionalFormatting>
  <conditionalFormatting sqref="C101:M101">
    <cfRule type="expression" dxfId="11" priority="31" stopIfTrue="1">
      <formula>$I$99="Not Valid"</formula>
    </cfRule>
  </conditionalFormatting>
  <conditionalFormatting sqref="E26">
    <cfRule type="expression" dxfId="10" priority="32" stopIfTrue="1">
      <formula>P26=1</formula>
    </cfRule>
    <cfRule type="expression" dxfId="9" priority="33" stopIfTrue="1">
      <formula>AND(P26=2,ISBLANK(L26))</formula>
    </cfRule>
  </conditionalFormatting>
  <conditionalFormatting sqref="J42">
    <cfRule type="expression" dxfId="8" priority="34" stopIfTrue="1">
      <formula>$P$42=2</formula>
    </cfRule>
    <cfRule type="expression" dxfId="7" priority="35" stopIfTrue="1">
      <formula>AND($P$42=1,ISBLANK(J42))</formula>
    </cfRule>
  </conditionalFormatting>
  <conditionalFormatting sqref="L44:M51">
    <cfRule type="expression" dxfId="6" priority="36" stopIfTrue="1">
      <formula>AND($P$42=1,ISBLANK($J$42))</formula>
    </cfRule>
  </conditionalFormatting>
  <conditionalFormatting sqref="K15:M15">
    <cfRule type="expression" dxfId="5" priority="37" stopIfTrue="1">
      <formula>AND(NOT(ISBLANK($G$15)),$G$15&gt;0,ISBLANK($I$15))</formula>
    </cfRule>
  </conditionalFormatting>
  <conditionalFormatting sqref="I15:J15">
    <cfRule type="expression" dxfId="4" priority="38"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41F600CE-AD04-4297-91FA-54F29131BB37}">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09E7B2A9-D36E-4CE3-A44D-1EE100BB13E0}">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D0AD290C-68F9-473A-976E-398666E4CC41}">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D368CA76-0907-40FC-A168-6422D296A408}">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067CA55A-7D68-438B-8FEE-8B1F96168A2B}">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0E364AB9-2D12-4BE4-B1CC-389C38773B46}">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DC51A090-21DD-40CC-B95A-578544C52AC0}">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6A4B8106-489B-4B19-AE9F-A42E73758C07}">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832B6A91-CA5E-45C9-9804-621E739EFC11}">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4896BC23-6832-4C21-8667-5D7102107FCB}">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3443E247-3731-4B1D-912F-F1E966A3EBE2}">
      <formula1>0</formula1>
    </dataValidation>
    <dataValidation type="decimal" operator="greaterThan" allowBlank="1" showErrorMessage="1" errorTitle="Data Validation" error="Enter a numerical value" promptTitle="Data Validation" prompt="Enter a numerical value greater than or equal to zero" sqref="G43" xr:uid="{07FB878D-1EF7-4596-92A4-C75A25E9E931}">
      <formula1>-1E+25</formula1>
    </dataValidation>
    <dataValidation type="decimal" errorStyle="warning" operator="lessThanOrEqual" allowBlank="1" showErrorMessage="1" errorTitle="Customer Service Lines" error="The value you entered is greater than an assumed maximum reasonable value." sqref="G65" xr:uid="{1EC1FFE0-4A04-4804-9F12-E10E2EA6D048}">
      <formula1>100</formula1>
    </dataValidation>
    <dataValidation type="decimal" errorStyle="warning" operator="lessThanOrEqual" allowBlank="1" showErrorMessage="1" errorTitle="Average Operating Pressure" error="The value you entered is greater than an assumed maximum reasonable value." sqref="G67" xr:uid="{38B419A1-E6EC-48A5-BD30-CC700F4A58DB}">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A9B0C-2E10-46D3-BFEA-898E8C8B9D0F}">
  <sheetPr codeName="Sheet14">
    <tabColor indexed="48"/>
  </sheetPr>
  <dimension ref="A1:IU80"/>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715" t="s">
        <v>240</v>
      </c>
      <c r="D2" s="716"/>
      <c r="E2" s="716"/>
      <c r="F2" s="716"/>
      <c r="G2" s="717"/>
      <c r="H2" s="717"/>
      <c r="I2" s="717"/>
      <c r="J2" s="717"/>
      <c r="K2" s="718"/>
      <c r="L2" s="718"/>
      <c r="M2" s="718"/>
      <c r="N2" s="718"/>
      <c r="O2" s="718"/>
      <c r="P2" s="48"/>
      <c r="Q2" s="48"/>
      <c r="R2" s="48"/>
      <c r="S2" s="357"/>
      <c r="T2" s="353"/>
      <c r="U2" s="351"/>
    </row>
    <row r="3" spans="1:22" ht="8.25" customHeight="1" thickTop="1" thickBot="1" x14ac:dyDescent="0.3">
      <c r="B3" s="53"/>
      <c r="C3" s="32"/>
      <c r="D3" s="32"/>
      <c r="E3" s="32"/>
      <c r="F3" s="32"/>
      <c r="G3" s="2"/>
      <c r="H3" s="2"/>
      <c r="I3" s="2"/>
      <c r="J3" s="2"/>
      <c r="K3" s="2"/>
      <c r="L3" s="2"/>
      <c r="M3" s="2"/>
      <c r="N3" s="2"/>
      <c r="O3" s="2"/>
      <c r="P3" s="2"/>
      <c r="Q3" s="2"/>
      <c r="R3" s="2"/>
      <c r="S3" s="358"/>
      <c r="T3" s="354"/>
      <c r="U3" s="350"/>
    </row>
    <row r="4" spans="1:22" ht="46.5" customHeight="1" thickBot="1" x14ac:dyDescent="0.3">
      <c r="B4" s="53"/>
      <c r="C4" s="675" t="s">
        <v>537</v>
      </c>
      <c r="D4" s="676"/>
      <c r="E4" s="676"/>
      <c r="F4" s="676"/>
      <c r="G4" s="676"/>
      <c r="H4" s="676"/>
      <c r="I4" s="676"/>
      <c r="J4" s="676"/>
      <c r="K4" s="676"/>
      <c r="L4" s="676"/>
      <c r="M4" s="676"/>
      <c r="N4" s="676"/>
      <c r="O4" s="676"/>
      <c r="P4" s="676"/>
      <c r="Q4" s="676"/>
      <c r="R4" s="677"/>
      <c r="S4" s="359"/>
      <c r="T4" s="355"/>
      <c r="U4" s="352"/>
    </row>
    <row r="5" spans="1:22" ht="7.5" customHeight="1" thickBot="1" x14ac:dyDescent="0.4">
      <c r="B5" s="53"/>
      <c r="C5" s="99"/>
      <c r="D5" s="51"/>
      <c r="E5" s="51"/>
      <c r="F5" s="51"/>
      <c r="G5" s="51"/>
      <c r="H5" s="51"/>
      <c r="I5" s="51"/>
      <c r="J5" s="51"/>
      <c r="K5" s="51"/>
      <c r="L5" s="51"/>
      <c r="M5" s="51"/>
      <c r="N5" s="51"/>
      <c r="O5" s="51"/>
      <c r="P5" s="51"/>
      <c r="Q5" s="51"/>
      <c r="R5" s="51"/>
      <c r="S5" s="359"/>
      <c r="T5" s="355"/>
      <c r="U5" s="352"/>
    </row>
    <row r="6" spans="1:22" ht="84" customHeight="1" thickBot="1" x14ac:dyDescent="0.3">
      <c r="B6" s="53"/>
      <c r="C6" s="675" t="s">
        <v>289</v>
      </c>
      <c r="D6" s="676"/>
      <c r="E6" s="676"/>
      <c r="F6" s="676"/>
      <c r="G6" s="676"/>
      <c r="H6" s="676"/>
      <c r="I6" s="676"/>
      <c r="J6" s="676"/>
      <c r="K6" s="676"/>
      <c r="L6" s="676"/>
      <c r="M6" s="676"/>
      <c r="N6" s="676"/>
      <c r="O6" s="676"/>
      <c r="P6" s="676"/>
      <c r="Q6" s="676"/>
      <c r="R6" s="677"/>
      <c r="S6" s="359"/>
      <c r="T6" s="355"/>
      <c r="U6" s="352"/>
    </row>
    <row r="7" spans="1:22" ht="8.25" customHeight="1" thickBot="1" x14ac:dyDescent="0.3">
      <c r="B7" s="53"/>
      <c r="C7" s="32"/>
      <c r="D7" s="32"/>
      <c r="E7" s="32"/>
      <c r="F7" s="32"/>
      <c r="G7" s="2"/>
      <c r="H7" s="2"/>
      <c r="I7" s="2"/>
      <c r="J7" s="2"/>
      <c r="K7" s="2"/>
      <c r="L7" s="2"/>
      <c r="M7" s="2"/>
      <c r="N7" s="2"/>
      <c r="O7" s="2"/>
      <c r="P7" s="2"/>
      <c r="Q7" s="2"/>
      <c r="R7" s="2"/>
      <c r="S7" s="358"/>
      <c r="T7" s="354"/>
      <c r="U7" s="350"/>
    </row>
    <row r="8" spans="1:22" ht="16.5" x14ac:dyDescent="0.3">
      <c r="B8" s="53"/>
      <c r="C8" s="86" t="s">
        <v>252</v>
      </c>
      <c r="D8" s="87" t="s">
        <v>237</v>
      </c>
      <c r="E8" s="87"/>
      <c r="F8" s="87"/>
      <c r="G8" s="88"/>
      <c r="H8" s="88"/>
      <c r="I8" s="88"/>
      <c r="J8" s="89"/>
      <c r="K8" s="89"/>
      <c r="L8" s="89"/>
      <c r="M8" s="89"/>
      <c r="N8" s="89"/>
      <c r="O8" s="89"/>
      <c r="P8" s="89"/>
      <c r="Q8" s="89"/>
      <c r="R8" s="89"/>
      <c r="S8" s="358"/>
      <c r="T8" s="354"/>
      <c r="U8" s="350"/>
    </row>
    <row r="9" spans="1:22" ht="16.5" x14ac:dyDescent="0.3">
      <c r="B9" s="53"/>
      <c r="C9" s="90"/>
      <c r="D9" s="83" t="s">
        <v>83</v>
      </c>
      <c r="E9" s="83"/>
      <c r="F9" s="83"/>
      <c r="G9" s="84"/>
      <c r="H9" s="84"/>
      <c r="I9" s="84"/>
      <c r="J9" s="85"/>
      <c r="K9" s="85"/>
      <c r="L9" s="85"/>
      <c r="M9" s="85"/>
      <c r="N9" s="85"/>
      <c r="O9" s="85"/>
      <c r="P9" s="85"/>
      <c r="Q9" s="85"/>
      <c r="R9" s="85"/>
      <c r="S9" s="358"/>
      <c r="T9" s="354"/>
      <c r="U9" s="350"/>
    </row>
    <row r="10" spans="1:22" ht="16.5" x14ac:dyDescent="0.3">
      <c r="B10" s="53"/>
      <c r="C10" s="91"/>
      <c r="D10" s="83" t="s">
        <v>261</v>
      </c>
      <c r="E10" s="83"/>
      <c r="F10" s="83"/>
      <c r="G10" s="84"/>
      <c r="H10" s="84"/>
      <c r="I10" s="84"/>
      <c r="J10" s="85"/>
      <c r="K10" s="85"/>
      <c r="L10" s="85"/>
      <c r="M10" s="85"/>
      <c r="N10" s="85"/>
      <c r="O10" s="85"/>
      <c r="P10" s="85"/>
      <c r="Q10" s="85"/>
      <c r="R10" s="85"/>
      <c r="S10" s="358"/>
      <c r="T10" s="354"/>
      <c r="U10" s="350"/>
    </row>
    <row r="11" spans="1:22" ht="16.5" x14ac:dyDescent="0.3">
      <c r="B11" s="53"/>
      <c r="C11" s="91"/>
      <c r="D11" s="83" t="s">
        <v>263</v>
      </c>
      <c r="E11" s="83"/>
      <c r="F11" s="83"/>
      <c r="G11" s="84"/>
      <c r="H11" s="84"/>
      <c r="I11" s="84"/>
      <c r="J11" s="85"/>
      <c r="K11" s="85"/>
      <c r="L11" s="85"/>
      <c r="M11" s="85"/>
      <c r="N11" s="85"/>
      <c r="O11" s="85"/>
      <c r="P11" s="85"/>
      <c r="Q11" s="85"/>
      <c r="R11" s="85"/>
      <c r="S11" s="358"/>
      <c r="T11" s="354"/>
      <c r="U11" s="350"/>
    </row>
    <row r="12" spans="1:22" ht="17.25" thickBot="1" x14ac:dyDescent="0.35">
      <c r="B12" s="53"/>
      <c r="C12" s="92"/>
      <c r="D12" s="93" t="s">
        <v>262</v>
      </c>
      <c r="E12" s="93"/>
      <c r="F12" s="93"/>
      <c r="G12" s="94"/>
      <c r="H12" s="94"/>
      <c r="I12" s="94"/>
      <c r="J12" s="95"/>
      <c r="K12" s="95"/>
      <c r="L12" s="95"/>
      <c r="M12" s="95"/>
      <c r="N12" s="95"/>
      <c r="O12" s="95"/>
      <c r="P12" s="95"/>
      <c r="Q12" s="95"/>
      <c r="R12" s="95"/>
      <c r="S12" s="358"/>
      <c r="T12" s="354"/>
      <c r="U12" s="350"/>
    </row>
    <row r="13" spans="1:22" ht="8.25" customHeight="1" thickBot="1" x14ac:dyDescent="0.3">
      <c r="B13" s="53"/>
      <c r="C13" s="2"/>
      <c r="D13" s="2"/>
      <c r="E13" s="2"/>
      <c r="F13" s="2"/>
      <c r="G13" s="2"/>
      <c r="H13" s="2"/>
      <c r="I13" s="2"/>
      <c r="J13" s="2"/>
      <c r="K13" s="2"/>
      <c r="L13" s="2"/>
      <c r="M13" s="2"/>
      <c r="N13" s="2"/>
      <c r="O13" s="2"/>
      <c r="P13" s="2"/>
      <c r="Q13" s="2"/>
      <c r="R13" s="2"/>
      <c r="S13" s="358"/>
      <c r="T13" s="354"/>
      <c r="U13" s="350"/>
    </row>
    <row r="14" spans="1:22" ht="48" customHeight="1" x14ac:dyDescent="0.25">
      <c r="B14" s="53"/>
      <c r="C14" s="96" t="s">
        <v>251</v>
      </c>
      <c r="D14" s="743" t="s">
        <v>184</v>
      </c>
      <c r="E14" s="743"/>
      <c r="F14" s="743"/>
      <c r="G14" s="743"/>
      <c r="H14" s="743"/>
      <c r="I14" s="743"/>
      <c r="J14" s="743"/>
      <c r="K14" s="743"/>
      <c r="L14" s="743"/>
      <c r="M14" s="743"/>
      <c r="N14" s="743"/>
      <c r="O14" s="743"/>
      <c r="P14" s="743"/>
      <c r="Q14" s="743"/>
      <c r="R14" s="744"/>
      <c r="S14" s="358"/>
      <c r="T14" s="354"/>
      <c r="U14" s="350"/>
    </row>
    <row r="15" spans="1:22" ht="73.5" customHeight="1" thickBot="1" x14ac:dyDescent="0.35">
      <c r="B15" s="53"/>
      <c r="C15" s="97"/>
      <c r="D15" s="745" t="s">
        <v>144</v>
      </c>
      <c r="E15" s="745"/>
      <c r="F15" s="745"/>
      <c r="G15" s="745"/>
      <c r="H15" s="745"/>
      <c r="I15" s="745"/>
      <c r="J15" s="745"/>
      <c r="K15" s="745"/>
      <c r="L15" s="745"/>
      <c r="M15" s="745"/>
      <c r="N15" s="745"/>
      <c r="O15" s="745"/>
      <c r="P15" s="745"/>
      <c r="Q15" s="745"/>
      <c r="R15" s="746"/>
      <c r="S15" s="358"/>
      <c r="T15" s="354"/>
      <c r="U15" s="350"/>
    </row>
    <row r="16" spans="1:22" ht="6" customHeight="1" thickBot="1" x14ac:dyDescent="0.3">
      <c r="B16" s="55"/>
      <c r="C16" s="33"/>
      <c r="D16" s="33"/>
      <c r="E16" s="33"/>
      <c r="F16" s="33"/>
      <c r="G16" s="33"/>
      <c r="H16" s="33"/>
      <c r="I16" s="33"/>
      <c r="J16" s="33"/>
      <c r="K16" s="33"/>
      <c r="L16" s="33"/>
      <c r="M16" s="33"/>
      <c r="N16" s="33"/>
      <c r="O16" s="33"/>
      <c r="P16" s="33"/>
      <c r="Q16" s="33"/>
      <c r="R16" s="33"/>
      <c r="S16" s="360"/>
      <c r="T16" s="354"/>
      <c r="U16" s="350"/>
    </row>
    <row r="17" ht="9.75" customHeight="1" thickTop="1" x14ac:dyDescent="0.25"/>
    <row r="18" ht="13.5" hidden="1" x14ac:dyDescent="0.25"/>
    <row r="19" ht="13.5" hidden="1" x14ac:dyDescent="0.25"/>
    <row r="20" ht="13.5" hidden="1" x14ac:dyDescent="0.25"/>
    <row r="21" ht="13.5" hidden="1" x14ac:dyDescent="0.25"/>
    <row r="22" ht="13.5" hidden="1" x14ac:dyDescent="0.25"/>
    <row r="23" ht="13.5" hidden="1" x14ac:dyDescent="0.25"/>
    <row r="24" ht="13.5" hidden="1" x14ac:dyDescent="0.25"/>
    <row r="25" ht="13.5" hidden="1" x14ac:dyDescent="0.25"/>
    <row r="26" ht="13.5" hidden="1" x14ac:dyDescent="0.25"/>
    <row r="27" ht="13.5" hidden="1" x14ac:dyDescent="0.25"/>
    <row r="28" ht="13.5" hidden="1" x14ac:dyDescent="0.25"/>
    <row r="29" ht="13.5" hidden="1" x14ac:dyDescent="0.25"/>
    <row r="30" ht="13.5" hidden="1" x14ac:dyDescent="0.25"/>
    <row r="31" ht="13.5" hidden="1" x14ac:dyDescent="0.25"/>
    <row r="3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customHeight="1" x14ac:dyDescent="0.25"/>
  </sheetData>
  <sheetProtection password="E218" sheet="1" objects="1" scenarios="1" selectLockedCells="1"/>
  <mergeCells count="5">
    <mergeCell ref="D14:R14"/>
    <mergeCell ref="D15:R15"/>
    <mergeCell ref="C2:O2"/>
    <mergeCell ref="C4:R4"/>
    <mergeCell ref="C6:R6"/>
  </mergeCells>
  <phoneticPr fontId="0" type="noConversion"/>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0CA2-0AC8-440A-8AD3-A2827E2E2A8A}">
  <sheetPr codeName="Sheet15"/>
  <dimension ref="A1:P55"/>
  <sheetViews>
    <sheetView workbookViewId="0">
      <selection activeCell="F23" sqref="F23"/>
    </sheetView>
  </sheetViews>
  <sheetFormatPr defaultRowHeight="12.75" x14ac:dyDescent="0.2"/>
  <cols>
    <col min="1" max="1" width="32.28515625" style="196" customWidth="1"/>
    <col min="2" max="2" width="20.28515625" style="196" customWidth="1"/>
    <col min="3" max="3" width="23.28515625" style="196" bestFit="1" customWidth="1"/>
    <col min="4" max="4" width="12.5703125" style="196" bestFit="1" customWidth="1"/>
    <col min="5" max="5" width="6.28515625" style="196" customWidth="1"/>
    <col min="6" max="6" width="12.7109375" style="196" customWidth="1"/>
    <col min="7" max="7" width="16.85546875" style="196" customWidth="1"/>
    <col min="8" max="8" width="6" style="196" customWidth="1"/>
    <col min="9" max="9" width="33.28515625" style="196" bestFit="1" customWidth="1"/>
    <col min="10" max="10" width="4.140625" style="196" customWidth="1"/>
    <col min="11" max="11" width="9" style="196" customWidth="1"/>
    <col min="12" max="13" width="33.28515625" style="196" bestFit="1" customWidth="1"/>
    <col min="14" max="14" width="18.85546875" style="196" bestFit="1" customWidth="1"/>
    <col min="15" max="15" width="33.28515625" style="196" bestFit="1" customWidth="1"/>
    <col min="16" max="16384" width="9.140625" style="196"/>
  </cols>
  <sheetData>
    <row r="1" spans="1:16" x14ac:dyDescent="0.2">
      <c r="A1" s="195"/>
      <c r="B1" s="195" t="s">
        <v>501</v>
      </c>
      <c r="C1" s="195" t="s">
        <v>80</v>
      </c>
      <c r="D1" s="195" t="s">
        <v>200</v>
      </c>
      <c r="F1" s="232" t="s">
        <v>120</v>
      </c>
      <c r="G1" s="233"/>
      <c r="M1" s="275" t="s">
        <v>155</v>
      </c>
      <c r="N1" s="195" t="s">
        <v>563</v>
      </c>
      <c r="O1" s="195" t="s">
        <v>561</v>
      </c>
      <c r="P1" s="195" t="s">
        <v>562</v>
      </c>
    </row>
    <row r="2" spans="1:16" x14ac:dyDescent="0.2">
      <c r="A2" s="195" t="s">
        <v>563</v>
      </c>
      <c r="B2" s="234">
        <f>1000000/(F2*100)</f>
        <v>1336.8055610095364</v>
      </c>
      <c r="C2" s="234">
        <v>1000</v>
      </c>
      <c r="D2" s="234">
        <f>1000/F5</f>
        <v>3785.4117999999999</v>
      </c>
      <c r="E2" s="197"/>
      <c r="F2" s="272">
        <v>7.4805194500000001</v>
      </c>
      <c r="G2" s="230" t="s">
        <v>117</v>
      </c>
      <c r="H2" s="196" t="s">
        <v>121</v>
      </c>
      <c r="M2" s="195" t="s">
        <v>563</v>
      </c>
      <c r="N2" s="234">
        <v>1</v>
      </c>
      <c r="O2" s="234">
        <f>F4</f>
        <v>3.7854117999999999</v>
      </c>
      <c r="P2" s="276">
        <v>3.068883289737228</v>
      </c>
    </row>
    <row r="3" spans="1:16" x14ac:dyDescent="0.2">
      <c r="A3" s="195" t="s">
        <v>561</v>
      </c>
      <c r="B3" s="234">
        <f>1000000/F4/(F2*100)</f>
        <v>353.14666716301156</v>
      </c>
      <c r="C3" s="234">
        <f>1000/F4</f>
        <v>264.17205124155845</v>
      </c>
      <c r="D3" s="234">
        <v>1000</v>
      </c>
      <c r="F3" s="235">
        <v>43560</v>
      </c>
      <c r="G3" s="230" t="s">
        <v>122</v>
      </c>
      <c r="H3" s="198"/>
      <c r="M3" s="195" t="s">
        <v>561</v>
      </c>
      <c r="N3" s="234">
        <f>1/O2</f>
        <v>0.26417205124155846</v>
      </c>
      <c r="O3" s="234">
        <v>1</v>
      </c>
      <c r="P3" s="234">
        <v>0.8107131936708255</v>
      </c>
    </row>
    <row r="4" spans="1:16" x14ac:dyDescent="0.2">
      <c r="A4" s="195" t="s">
        <v>562</v>
      </c>
      <c r="B4" s="234">
        <f>F3/100</f>
        <v>435.6</v>
      </c>
      <c r="C4" s="234">
        <f>F3*F2/1000</f>
        <v>325.851427242</v>
      </c>
      <c r="D4" s="234">
        <f>F3*F2*F4/1000</f>
        <v>1233.4818377287083</v>
      </c>
      <c r="F4" s="271">
        <v>3.7854117999999999</v>
      </c>
      <c r="G4" s="230" t="s">
        <v>119</v>
      </c>
      <c r="H4" s="198"/>
      <c r="M4" s="195" t="s">
        <v>562</v>
      </c>
      <c r="N4" s="276">
        <f>325851.427242/1000000</f>
        <v>0.325851427242</v>
      </c>
      <c r="O4" s="234">
        <v>1.2334818377287082</v>
      </c>
      <c r="P4" s="234">
        <v>1</v>
      </c>
    </row>
    <row r="5" spans="1:16" x14ac:dyDescent="0.2">
      <c r="F5" s="270">
        <f>1/F4</f>
        <v>0.26417205124155846</v>
      </c>
      <c r="G5" s="231" t="s">
        <v>118</v>
      </c>
      <c r="H5" s="198"/>
    </row>
    <row r="6" spans="1:16" ht="13.5" thickBot="1" x14ac:dyDescent="0.25">
      <c r="H6" s="198"/>
    </row>
    <row r="7" spans="1:16" ht="13.5" thickBot="1" x14ac:dyDescent="0.25">
      <c r="A7" s="198" t="s">
        <v>197</v>
      </c>
      <c r="B7" s="199">
        <v>1</v>
      </c>
      <c r="C7" s="196" t="s">
        <v>79</v>
      </c>
      <c r="D7" s="196">
        <f>MATCH(C7,A2:A4,0)</f>
        <v>1</v>
      </c>
      <c r="H7" s="198"/>
    </row>
    <row r="8" spans="1:16" ht="13.5" thickBot="1" x14ac:dyDescent="0.25">
      <c r="A8" s="198"/>
      <c r="E8" s="196">
        <f>INDEX($B$2:$D$4,MATCH(C7,A2:A4,0),MATCH(C9,B1:D1,0))</f>
        <v>1336.8055610095364</v>
      </c>
      <c r="H8" s="198"/>
    </row>
    <row r="9" spans="1:16" ht="13.5" thickBot="1" x14ac:dyDescent="0.25">
      <c r="A9" s="198" t="s">
        <v>198</v>
      </c>
      <c r="B9" s="200">
        <v>10</v>
      </c>
      <c r="C9" s="196" t="s">
        <v>501</v>
      </c>
      <c r="D9" s="196">
        <f>MATCH(C9,B1:D1,0)</f>
        <v>1</v>
      </c>
      <c r="H9" s="198"/>
    </row>
    <row r="11" spans="1:16" x14ac:dyDescent="0.2">
      <c r="B11" s="198" t="s">
        <v>199</v>
      </c>
      <c r="C11" s="201">
        <f>B7*B9*E8</f>
        <v>13368.055610095364</v>
      </c>
      <c r="I11" s="196" t="s">
        <v>154</v>
      </c>
    </row>
    <row r="12" spans="1:16" x14ac:dyDescent="0.2">
      <c r="G12" s="196" t="s">
        <v>111</v>
      </c>
      <c r="I12" s="274" t="s">
        <v>151</v>
      </c>
      <c r="J12" s="274"/>
      <c r="K12" s="195"/>
      <c r="L12" s="274" t="s">
        <v>152</v>
      </c>
    </row>
    <row r="13" spans="1:16" ht="14.25" x14ac:dyDescent="0.2">
      <c r="G13" s="196" t="s">
        <v>110</v>
      </c>
      <c r="H13" s="278">
        <v>1</v>
      </c>
      <c r="I13" s="273" t="s">
        <v>562</v>
      </c>
      <c r="J13" s="277" t="s">
        <v>156</v>
      </c>
      <c r="K13" s="196">
        <f>H13*INDEX(N2:P4,MATCH(I13,M2:M4,0),MATCH(L13,N1:P1,0))</f>
        <v>1.2334818377287082</v>
      </c>
      <c r="L13" s="273" t="s">
        <v>561</v>
      </c>
    </row>
    <row r="14" spans="1:16" x14ac:dyDescent="0.2">
      <c r="K14" s="197"/>
    </row>
    <row r="15" spans="1:16" x14ac:dyDescent="0.2">
      <c r="B15" s="196" t="s">
        <v>205</v>
      </c>
    </row>
    <row r="16" spans="1:16" x14ac:dyDescent="0.2">
      <c r="B16" s="195" t="s">
        <v>501</v>
      </c>
      <c r="C16" s="195" t="s">
        <v>80</v>
      </c>
      <c r="D16" s="195" t="s">
        <v>200</v>
      </c>
    </row>
    <row r="17" spans="1:5" x14ac:dyDescent="0.2">
      <c r="A17" s="195" t="s">
        <v>79</v>
      </c>
      <c r="B17" s="196">
        <f>1000000/(7.48*100)</f>
        <v>1336.8983957219252</v>
      </c>
      <c r="C17" s="196">
        <v>1000</v>
      </c>
      <c r="D17" s="196">
        <f>1000000/CONVERT(1000,"l","gal")</f>
        <v>3785.4117839999994</v>
      </c>
    </row>
    <row r="18" spans="1:5" x14ac:dyDescent="0.2">
      <c r="A18" s="195" t="s">
        <v>112</v>
      </c>
      <c r="B18" s="196">
        <f>1000000/CONVERT((7.48*100),"gal","l")</f>
        <v>353.171192992177</v>
      </c>
      <c r="C18" s="196">
        <f>1000000/CONVERT(1000,"gal","l")</f>
        <v>264.17205235814845</v>
      </c>
      <c r="D18" s="196">
        <v>1000</v>
      </c>
    </row>
    <row r="19" spans="1:5" x14ac:dyDescent="0.2">
      <c r="A19" s="195" t="s">
        <v>343</v>
      </c>
      <c r="B19" s="196">
        <f>43560/100</f>
        <v>435.6</v>
      </c>
      <c r="C19" s="196">
        <f>43560/(1000/7.48)</f>
        <v>325.8288</v>
      </c>
      <c r="D19" s="196">
        <f>F3/(CONVERT(1000,"l","gal")/F2)</f>
        <v>1233.4818325150852</v>
      </c>
    </row>
    <row r="21" spans="1:5" ht="13.5" thickBot="1" x14ac:dyDescent="0.25"/>
    <row r="22" spans="1:5" ht="13.5" thickBot="1" x14ac:dyDescent="0.25">
      <c r="A22" s="198" t="s">
        <v>205</v>
      </c>
      <c r="B22" s="199">
        <v>5</v>
      </c>
      <c r="C22" s="196" t="s">
        <v>80</v>
      </c>
      <c r="D22" s="196">
        <f>MATCH(C22,B16:D16,0)</f>
        <v>2</v>
      </c>
    </row>
    <row r="23" spans="1:5" ht="13.5" thickBot="1" x14ac:dyDescent="0.25">
      <c r="A23" s="198"/>
      <c r="E23" s="196">
        <f>INDEX($B$2:$D$4,MATCH(C24,A2:A4,0),MATCH(C22,B1:D1,0))</f>
        <v>1000</v>
      </c>
    </row>
    <row r="24" spans="1:5" ht="13.5" thickBot="1" x14ac:dyDescent="0.25">
      <c r="A24" s="198" t="s">
        <v>206</v>
      </c>
      <c r="B24" s="200">
        <v>5000</v>
      </c>
      <c r="C24" s="196" t="s">
        <v>79</v>
      </c>
      <c r="D24" s="196">
        <f>MATCH(C24,A17:A19,0)</f>
        <v>1</v>
      </c>
    </row>
    <row r="26" spans="1:5" x14ac:dyDescent="0.2">
      <c r="B26" s="198" t="s">
        <v>199</v>
      </c>
      <c r="C26" s="202">
        <f>(B22*E23)/B24</f>
        <v>1</v>
      </c>
    </row>
    <row r="27" spans="1:5" x14ac:dyDescent="0.2">
      <c r="C27" s="196" t="s">
        <v>499</v>
      </c>
    </row>
    <row r="28" spans="1:5" x14ac:dyDescent="0.2">
      <c r="C28" s="196" t="s">
        <v>500</v>
      </c>
    </row>
    <row r="31" spans="1:5" x14ac:dyDescent="0.2">
      <c r="A31" s="197" t="s">
        <v>116</v>
      </c>
    </row>
    <row r="33" spans="1:2" x14ac:dyDescent="0.2">
      <c r="B33" s="196" t="s">
        <v>105</v>
      </c>
    </row>
    <row r="37" spans="1:2" x14ac:dyDescent="0.2">
      <c r="A37" s="197" t="s">
        <v>150</v>
      </c>
    </row>
    <row r="38" spans="1:2" x14ac:dyDescent="0.2">
      <c r="A38" s="237" t="s">
        <v>93</v>
      </c>
    </row>
    <row r="39" spans="1:2" x14ac:dyDescent="0.2">
      <c r="A39" s="196" t="s">
        <v>99</v>
      </c>
    </row>
    <row r="40" spans="1:2" x14ac:dyDescent="0.2">
      <c r="A40" s="196" t="s">
        <v>123</v>
      </c>
    </row>
    <row r="42" spans="1:2" x14ac:dyDescent="0.2">
      <c r="A42" s="240" t="s">
        <v>124</v>
      </c>
    </row>
    <row r="43" spans="1:2" x14ac:dyDescent="0.2">
      <c r="A43" s="240" t="s">
        <v>125</v>
      </c>
    </row>
    <row r="44" spans="1:2" x14ac:dyDescent="0.2">
      <c r="A44" s="240" t="s">
        <v>98</v>
      </c>
    </row>
    <row r="45" spans="1:2" x14ac:dyDescent="0.2">
      <c r="A45" s="240" t="s">
        <v>91</v>
      </c>
    </row>
    <row r="47" spans="1:2" x14ac:dyDescent="0.2">
      <c r="A47" s="238" t="s">
        <v>92</v>
      </c>
    </row>
    <row r="48" spans="1:2" x14ac:dyDescent="0.2">
      <c r="A48" s="238" t="s">
        <v>94</v>
      </c>
    </row>
    <row r="49" spans="1:1" x14ac:dyDescent="0.2">
      <c r="A49" s="238" t="s">
        <v>95</v>
      </c>
    </row>
    <row r="50" spans="1:1" x14ac:dyDescent="0.2">
      <c r="A50" s="238" t="s">
        <v>91</v>
      </c>
    </row>
    <row r="52" spans="1:1" x14ac:dyDescent="0.2">
      <c r="A52" s="239" t="s">
        <v>100</v>
      </c>
    </row>
    <row r="53" spans="1:1" x14ac:dyDescent="0.2">
      <c r="A53" s="239" t="s">
        <v>94</v>
      </c>
    </row>
    <row r="54" spans="1:1" x14ac:dyDescent="0.2">
      <c r="A54" s="239" t="s">
        <v>95</v>
      </c>
    </row>
    <row r="55" spans="1:1" x14ac:dyDescent="0.2">
      <c r="A55" s="239" t="s">
        <v>91</v>
      </c>
    </row>
  </sheetData>
  <sheetProtection password="E218" sheet="1" objects="1" scenarios="1"/>
  <phoneticPr fontId="0" type="noConversion"/>
  <dataValidations count="3">
    <dataValidation type="list" allowBlank="1" showInputMessage="1" showErrorMessage="1" sqref="L13 I13" xr:uid="{F04AE20D-C3C9-465B-A3B5-548275C3EB19}">
      <formula1>"Million Gallons (US),Megalitres (thousand cubic metres),Acre-feet"</formula1>
    </dataValidation>
    <dataValidation type="list" allowBlank="1" showInputMessage="1" showErrorMessage="1" sqref="C9 C22" xr:uid="{D70F1BA7-7CE8-4440-93BB-2C1034FEE893}">
      <formula1>"$/1000 gallons (US),$/1000 litres,$/100 cubic feet (ccf)"</formula1>
    </dataValidation>
    <dataValidation type="list" allowBlank="1" showInputMessage="1" showErrorMessage="1" sqref="C7 C24" xr:uid="{3E8A74A3-71F9-44A7-BC36-27F5C9A71B1C}">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371C602A-7E5B-42F9-91AB-75492EC4B5D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07120C7-CED2-46D2-979D-2E863ADC1867}">
  <ds:schemaRefs>
    <ds:schemaRef ds:uri="http://schemas.microsoft.com/sharepoint/v3/contenttype/forms"/>
  </ds:schemaRefs>
</ds:datastoreItem>
</file>

<file path=customXml/itemProps3.xml><?xml version="1.0" encoding="utf-8"?>
<ds:datastoreItem xmlns:ds="http://schemas.openxmlformats.org/officeDocument/2006/customXml" ds:itemID="{661B23F9-F1C6-4084-8799-B4C222437946}">
  <ds:schemaRefs>
    <ds:schemaRef ds:uri="http://schemas.microsoft.com/office/2006/metadata/longProperties"/>
  </ds:schemaRefs>
</ds:datastoreItem>
</file>

<file path=customXml/itemProps4.xml><?xml version="1.0" encoding="utf-8"?>
<ds:datastoreItem xmlns:ds="http://schemas.openxmlformats.org/officeDocument/2006/customXml" ds:itemID="{195AA7CF-4C18-4F4C-B8E0-0B016868E971}">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Reporting Worksheet</vt:lpstr>
      <vt:lpstr>Water Balance</vt:lpstr>
      <vt:lpstr>Grading Matrix</vt:lpstr>
      <vt:lpstr>Service Connection Diagram</vt:lpstr>
      <vt:lpstr>Definitions</vt:lpstr>
      <vt:lpstr>Loss Control Planning</vt:lpstr>
      <vt:lpstr>Ex. Audit 1 (Million Gallons)</vt:lpstr>
      <vt:lpstr>Ex. Audit 2 (Megalitres)</vt:lpstr>
      <vt:lpstr>Acknowledgements</vt:lpstr>
      <vt:lpstr>Definitions!Print_Area</vt:lpstr>
      <vt:lpstr>'Ex. Audit 1 (Million Gallons)'!Print_Area</vt:lpstr>
      <vt:lpstr>'Ex. Audit 2 (Megalitres)'!Print_Area</vt:lpstr>
      <vt:lpstr>'Grading Matrix'!Print_Area</vt:lpstr>
      <vt:lpstr>'Reporting Worksheet'!Print_Area</vt:lpstr>
      <vt:lpstr>'Service Connection Diagram'!Print_Area</vt:lpstr>
      <vt:lpstr>Definitions!Print_Titles</vt:lpstr>
      <vt:lpstr>'Grading Matrix'!Print_Titles</vt:lpstr>
    </vt:vector>
  </TitlesOfParts>
  <Company>AWWA Water Loss Control Committee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2013-02-27T15:52:40Z</cp:lastPrinted>
  <dcterms:created xsi:type="dcterms:W3CDTF">2004-11-04T17:59:53Z</dcterms:created>
  <dcterms:modified xsi:type="dcterms:W3CDTF">2025-05-22T22:58:55Z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Heinicke, Karl [DRBC]</vt:lpwstr>
  </property>
  <property fmtid="{D5CDD505-2E9C-101B-9397-08002B2CF9AE}" pid="4" name="Order">
    <vt:lpwstr>5942800.00000000</vt:lpwstr>
  </property>
  <property fmtid="{D5CDD505-2E9C-101B-9397-08002B2CF9AE}" pid="5" name="xd_ProgID">
    <vt:lpwstr/>
  </property>
  <property fmtid="{D5CDD505-2E9C-101B-9397-08002B2CF9AE}" pid="6" name="_ExtendedDescription">
    <vt:lpwstr/>
  </property>
  <property fmtid="{D5CDD505-2E9C-101B-9397-08002B2CF9AE}" pid="7" name="display_urn:schemas-microsoft-com:office:office#Author">
    <vt:lpwstr>Heinicke, Karl [DRBC]</vt:lpwstr>
  </property>
  <property fmtid="{D5CDD505-2E9C-101B-9397-08002B2CF9AE}" pid="8" name="ComplianceAssetId">
    <vt:lpwstr/>
  </property>
  <property fmtid="{D5CDD505-2E9C-101B-9397-08002B2CF9AE}" pid="9" name="TemplateUrl">
    <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