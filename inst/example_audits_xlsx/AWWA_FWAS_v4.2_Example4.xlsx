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omments4.xml" ContentType="application/vnd.openxmlformats-officedocument.spreadsheetml.comments+xml"/>
  <Override PartName="/xl/drawings/drawing10.xml" ContentType="application/vnd.openxmlformats-officedocument.drawing+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omments5.xml" ContentType="application/vnd.openxmlformats-officedocument.spreadsheetml.comments+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mc:AlternateContent xmlns:mc="http://schemas.openxmlformats.org/markup-compatibility/2006">
    <mc:Choice Requires="x15">
      <x15ac:absPath xmlns:x15ac="http://schemas.microsoft.com/office/spreadsheetml/2010/11/ac" url="C:\Users\MichaelThompson\Documents\Compliance\WaterAudit\CompilerTesting\Downloads_v4.2\XLS_Files\"/>
    </mc:Choice>
  </mc:AlternateContent>
  <xr:revisionPtr revIDLastSave="0" documentId="8_{902C6F90-6417-469E-8CC0-3649FDF074A3}" xr6:coauthVersionLast="47" xr6:coauthVersionMax="47" xr10:uidLastSave="{00000000-0000-0000-0000-000000000000}"/>
  <workbookProtection workbookPassword="CFA3" lockStructure="1"/>
  <bookViews>
    <workbookView xWindow="-120" yWindow="-120" windowWidth="38640" windowHeight="21120" tabRatio="884" firstSheet="3" activeTab="3" xr2:uid="{2B058B6D-ED1A-4714-9FF1-407476DE07A1}"/>
  </bookViews>
  <sheets>
    <sheet name="Sheet4" sheetId="50" state="veryHidden" r:id="rId1"/>
    <sheet name="Sheet3" sheetId="49" state="veryHidden" r:id="rId2"/>
    <sheet name="Sheet2" sheetId="48" state="veryHidden" r:id="rId3"/>
    <sheet name="Instructions" sheetId="23" r:id="rId4"/>
    <sheet name="Reporting Worksheet" sheetId="22" r:id="rId5"/>
    <sheet name="Water Balance" sheetId="16" r:id="rId6"/>
    <sheet name="GradingAssessment" sheetId="30" state="veryHidden" r:id="rId7"/>
    <sheet name="Grading Matrix" sheetId="40" r:id="rId8"/>
    <sheet name="Service Connection Diagram" sheetId="42" r:id="rId9"/>
    <sheet name="Definitions" sheetId="2" r:id="rId10"/>
    <sheet name="Loss Control Planning" sheetId="32" r:id="rId11"/>
    <sheet name="Ex. Audit 1 (Million Gallons)" sheetId="46" r:id="rId12"/>
    <sheet name="Ex. Audit 2 (Megalitres)" sheetId="47" r:id="rId13"/>
    <sheet name="Acknowledgements" sheetId="43" r:id="rId14"/>
    <sheet name="Sheet1" sheetId="27" state="veryHidden" r:id="rId15"/>
  </sheets>
  <definedNames>
    <definedName name="_xlnm.Print_Area" localSheetId="9">Definitions!$B$1:$N$74</definedName>
    <definedName name="_xlnm.Print_Area" localSheetId="11">'Ex. Audit 1 (Million Gallons)'!$B$2:$N$120</definedName>
    <definedName name="_xlnm.Print_Area" localSheetId="12">'Ex. Audit 2 (Megalitres)'!$B$2:$N$120</definedName>
    <definedName name="_xlnm.Print_Area" localSheetId="7">'Grading Matrix'!$A$1:$P$51</definedName>
    <definedName name="_xlnm.Print_Area" localSheetId="4">'Reporting Worksheet'!$B$2:$N$120</definedName>
    <definedName name="_xlnm.Print_Area" localSheetId="8">'Service Connection Diagram'!$B$2:$F$24</definedName>
    <definedName name="_xlnm.Print_Titles" localSheetId="9">Definitions!$4:$4</definedName>
    <definedName name="_xlnm.Print_Titles" localSheetId="7">'Grading Matrix'!$6:$7</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6" i="22" l="1"/>
  <c r="P78" i="22" s="1"/>
  <c r="I99" i="22"/>
  <c r="J103" i="22" s="1"/>
  <c r="G19" i="22"/>
  <c r="G26" i="22"/>
  <c r="E13" i="16" s="1"/>
  <c r="G42" i="22"/>
  <c r="D13" i="30"/>
  <c r="K13" i="30"/>
  <c r="C4" i="30"/>
  <c r="L4" i="30"/>
  <c r="D8" i="30"/>
  <c r="K8" i="30"/>
  <c r="M8" i="30"/>
  <c r="D10" i="30"/>
  <c r="K10" i="30" s="1"/>
  <c r="M10" i="30" s="1"/>
  <c r="F10" i="30"/>
  <c r="H10" i="30" s="1"/>
  <c r="D9" i="30"/>
  <c r="F9" i="30" s="1"/>
  <c r="D7" i="30"/>
  <c r="F7" i="30" s="1"/>
  <c r="H7" i="30" s="1"/>
  <c r="D4" i="30"/>
  <c r="K4" i="30" s="1"/>
  <c r="M4" i="30" s="1"/>
  <c r="D6" i="30"/>
  <c r="K6" i="30"/>
  <c r="D5" i="30"/>
  <c r="F5" i="30"/>
  <c r="H5" i="30"/>
  <c r="C7" i="30"/>
  <c r="G7" i="30" s="1"/>
  <c r="L7" i="30"/>
  <c r="M7" i="30" s="1"/>
  <c r="C8" i="30"/>
  <c r="C9" i="30"/>
  <c r="C10" i="30"/>
  <c r="L10" i="30" s="1"/>
  <c r="C11" i="30"/>
  <c r="L11" i="30"/>
  <c r="C12" i="30"/>
  <c r="C13" i="30"/>
  <c r="C14" i="30"/>
  <c r="L14" i="30" s="1"/>
  <c r="M14" i="30" s="1"/>
  <c r="C15" i="30"/>
  <c r="C16" i="30"/>
  <c r="C17" i="30"/>
  <c r="C18" i="30"/>
  <c r="C19" i="30"/>
  <c r="C20" i="30"/>
  <c r="L20" i="30"/>
  <c r="C21" i="30"/>
  <c r="L21" i="30"/>
  <c r="C5" i="30"/>
  <c r="L5" i="30"/>
  <c r="M5" i="30"/>
  <c r="G64" i="22"/>
  <c r="C6" i="30"/>
  <c r="G6" i="30" s="1"/>
  <c r="L6" i="30"/>
  <c r="M6" i="30" s="1"/>
  <c r="Q39" i="40"/>
  <c r="Q40" i="40" s="1"/>
  <c r="Q38" i="40"/>
  <c r="Q48" i="40"/>
  <c r="Q49" i="40" s="1"/>
  <c r="Q46" i="40"/>
  <c r="Q47" i="40" s="1"/>
  <c r="Q44" i="40"/>
  <c r="Q45" i="40"/>
  <c r="Q41" i="40"/>
  <c r="Q36" i="40"/>
  <c r="Q37" i="40"/>
  <c r="Q34" i="40"/>
  <c r="Q35" i="40"/>
  <c r="Q31" i="40"/>
  <c r="Q32" i="40"/>
  <c r="Q29" i="40"/>
  <c r="Q30" i="40"/>
  <c r="Q27" i="40"/>
  <c r="Q28" i="40"/>
  <c r="Q24" i="40"/>
  <c r="Q25" i="40"/>
  <c r="Q22" i="40"/>
  <c r="Q23" i="40" s="1"/>
  <c r="Q20" i="40"/>
  <c r="Q18" i="40"/>
  <c r="Q19" i="40" s="1"/>
  <c r="Q15" i="40"/>
  <c r="Q16" i="40" s="1"/>
  <c r="Q13" i="40"/>
  <c r="Q14" i="40"/>
  <c r="Q11" i="40"/>
  <c r="Q12" i="40"/>
  <c r="Q9" i="40"/>
  <c r="Q10" i="40"/>
  <c r="K15" i="22"/>
  <c r="L44" i="22"/>
  <c r="L75" i="22"/>
  <c r="E4" i="42"/>
  <c r="C40" i="22"/>
  <c r="C28" i="22"/>
  <c r="Q42" i="40"/>
  <c r="Q21" i="40"/>
  <c r="K7" i="30"/>
  <c r="K5" i="30"/>
  <c r="L16" i="30"/>
  <c r="L17" i="30"/>
  <c r="M17" i="30" s="1"/>
  <c r="L18" i="30"/>
  <c r="M18" i="30" s="1"/>
  <c r="L15" i="30"/>
  <c r="L13" i="30"/>
  <c r="M13" i="30" s="1"/>
  <c r="L8" i="30"/>
  <c r="C78" i="22"/>
  <c r="P69" i="22"/>
  <c r="C69" i="22"/>
  <c r="K11" i="30"/>
  <c r="M11" i="30" s="1"/>
  <c r="K12" i="30"/>
  <c r="K14" i="30"/>
  <c r="K15" i="30"/>
  <c r="M15" i="30" s="1"/>
  <c r="K16" i="30"/>
  <c r="M16" i="30"/>
  <c r="K17" i="30"/>
  <c r="K18" i="30"/>
  <c r="K19" i="30"/>
  <c r="K20" i="30"/>
  <c r="M20" i="30"/>
  <c r="K21" i="30"/>
  <c r="M21" i="30" s="1"/>
  <c r="G5" i="22"/>
  <c r="L25" i="30"/>
  <c r="I67" i="22"/>
  <c r="G97" i="22"/>
  <c r="G9" i="22"/>
  <c r="G58" i="2"/>
  <c r="K13" i="27"/>
  <c r="I57" i="2"/>
  <c r="N4" i="27"/>
  <c r="O2" i="27"/>
  <c r="N3" i="27"/>
  <c r="I14" i="22"/>
  <c r="J91" i="22"/>
  <c r="J93" i="22"/>
  <c r="J97" i="22"/>
  <c r="I65" i="22"/>
  <c r="I64" i="22"/>
  <c r="I62" i="22"/>
  <c r="I58" i="22"/>
  <c r="I54" i="22"/>
  <c r="I52" i="22"/>
  <c r="I43" i="22"/>
  <c r="I42" i="22"/>
  <c r="I38" i="22"/>
  <c r="I35" i="22"/>
  <c r="I30" i="22"/>
  <c r="I26" i="22"/>
  <c r="I25" i="22"/>
  <c r="I24" i="22"/>
  <c r="I23" i="22"/>
  <c r="I19" i="22"/>
  <c r="I17" i="22"/>
  <c r="I16" i="22"/>
  <c r="F5" i="27"/>
  <c r="J16" i="22"/>
  <c r="D4" i="27"/>
  <c r="B4" i="27"/>
  <c r="C3" i="27"/>
  <c r="B3" i="27"/>
  <c r="C4" i="27"/>
  <c r="D2" i="27"/>
  <c r="B2" i="27"/>
  <c r="E8" i="27" s="1"/>
  <c r="C11" i="27" s="1"/>
  <c r="D19" i="27"/>
  <c r="D4" i="22"/>
  <c r="D5" i="22"/>
  <c r="E23" i="27"/>
  <c r="C26" i="27" s="1"/>
  <c r="B17" i="27"/>
  <c r="D22" i="27"/>
  <c r="D24" i="27"/>
  <c r="C19" i="27"/>
  <c r="B19" i="27"/>
  <c r="C18" i="27"/>
  <c r="B18" i="27"/>
  <c r="D17" i="27"/>
  <c r="D7" i="27"/>
  <c r="D9" i="27"/>
  <c r="C17" i="16"/>
  <c r="B13" i="16"/>
  <c r="C6" i="16"/>
  <c r="B23" i="16"/>
  <c r="G3" i="16"/>
  <c r="F3" i="16"/>
  <c r="E4" i="16"/>
  <c r="E9" i="16"/>
  <c r="F20" i="16"/>
  <c r="F12" i="16"/>
  <c r="F10" i="16"/>
  <c r="G9" i="16" s="1"/>
  <c r="F8" i="16"/>
  <c r="F18" i="16"/>
  <c r="C101" i="22"/>
  <c r="G38" i="22"/>
  <c r="F14" i="16"/>
  <c r="C45" i="22"/>
  <c r="G5" i="30"/>
  <c r="G30" i="22"/>
  <c r="G52" i="22" s="1"/>
  <c r="I105" i="22"/>
  <c r="S23" i="32" s="1"/>
  <c r="J99" i="22"/>
  <c r="G47" i="22"/>
  <c r="F16" i="16"/>
  <c r="M19" i="30"/>
  <c r="D11" i="16"/>
  <c r="L19" i="30"/>
  <c r="L9" i="30"/>
  <c r="F6" i="30"/>
  <c r="H6" i="30" s="1"/>
  <c r="E23" i="16" l="1"/>
  <c r="I87" i="22"/>
  <c r="I103" i="22"/>
  <c r="I93" i="22"/>
  <c r="I85" i="22"/>
  <c r="I84" i="22"/>
  <c r="G9" i="30"/>
  <c r="H9" i="30"/>
  <c r="G15" i="16"/>
  <c r="G58" i="22"/>
  <c r="G10" i="30"/>
  <c r="I91" i="22"/>
  <c r="E17" i="16"/>
  <c r="S21" i="32"/>
  <c r="L12" i="30"/>
  <c r="M12" i="30" s="1"/>
  <c r="I86" i="22"/>
  <c r="G35" i="22"/>
  <c r="S25" i="32"/>
  <c r="G54" i="22"/>
  <c r="D21" i="16" s="1"/>
  <c r="K9" i="30"/>
  <c r="M9" i="30" s="1"/>
  <c r="M22" i="30" s="1"/>
  <c r="D22" i="30"/>
  <c r="D23" i="30" s="1"/>
  <c r="E8" i="30"/>
  <c r="F8" i="30" s="1"/>
  <c r="C32" i="22"/>
  <c r="S22" i="32"/>
  <c r="C49" i="22"/>
  <c r="S24" i="32"/>
  <c r="G8" i="30" l="1"/>
  <c r="H8" i="30"/>
  <c r="C112" i="22"/>
  <c r="P110" i="22"/>
  <c r="E7" i="30"/>
  <c r="E14" i="30"/>
  <c r="F14" i="30" s="1"/>
  <c r="E13" i="30"/>
  <c r="F13" i="30" s="1"/>
  <c r="E21" i="30"/>
  <c r="F21" i="30" s="1"/>
  <c r="E6" i="30"/>
  <c r="E12" i="30"/>
  <c r="F12" i="30" s="1"/>
  <c r="E15" i="30"/>
  <c r="F15" i="30" s="1"/>
  <c r="E17" i="30"/>
  <c r="F17" i="30" s="1"/>
  <c r="E18" i="30"/>
  <c r="F18" i="30" s="1"/>
  <c r="E20" i="30"/>
  <c r="F20" i="30" s="1"/>
  <c r="E19" i="30"/>
  <c r="F19" i="30" s="1"/>
  <c r="E5" i="30"/>
  <c r="E4" i="30"/>
  <c r="E16" i="30"/>
  <c r="F16" i="30" s="1"/>
  <c r="E11" i="30"/>
  <c r="F11" i="30" s="1"/>
  <c r="E9" i="30"/>
  <c r="E10" i="30"/>
  <c r="I95" i="22"/>
  <c r="J95" i="22" s="1"/>
  <c r="I97" i="22"/>
  <c r="G16" i="30" l="1"/>
  <c r="H16" i="30" s="1"/>
  <c r="G19" i="30"/>
  <c r="H19" i="30"/>
  <c r="G18" i="30"/>
  <c r="H18" i="30" s="1"/>
  <c r="G13" i="30"/>
  <c r="H13" i="30" s="1"/>
  <c r="G11" i="30"/>
  <c r="H11" i="30" s="1"/>
  <c r="E22" i="30"/>
  <c r="F4" i="30"/>
  <c r="G20" i="30"/>
  <c r="H20" i="30" s="1"/>
  <c r="G17" i="30"/>
  <c r="H17" i="30"/>
  <c r="G15" i="30"/>
  <c r="H15" i="30" s="1"/>
  <c r="G12" i="30"/>
  <c r="H12" i="30" s="1"/>
  <c r="G21" i="30"/>
  <c r="H21" i="30" s="1"/>
  <c r="G14" i="30"/>
  <c r="H14" i="30"/>
  <c r="F22" i="30" l="1"/>
  <c r="G4" i="30"/>
  <c r="G22" i="30" s="1"/>
  <c r="K16" i="32" l="1"/>
  <c r="Q16" i="32"/>
  <c r="H16" i="32"/>
  <c r="N16" i="32"/>
  <c r="E16" i="32"/>
  <c r="C110" i="22"/>
  <c r="H4" i="30"/>
  <c r="I4" i="30" l="1" a="1"/>
  <c r="I4" i="30" s="1"/>
  <c r="I6" i="30" a="1"/>
  <c r="I6" i="30" s="1"/>
  <c r="I5" i="30" a="1"/>
  <c r="I5" i="30" s="1"/>
  <c r="I7" i="30" a="1"/>
  <c r="I7" i="30" s="1"/>
  <c r="I10" i="30" a="1"/>
  <c r="I10" i="30" s="1"/>
  <c r="I9" i="30" a="1"/>
  <c r="I9" i="30" s="1"/>
  <c r="I8" i="30" a="1"/>
  <c r="I8" i="30" s="1"/>
  <c r="I12" i="30" a="1"/>
  <c r="I12" i="30" s="1"/>
  <c r="I15" i="30" a="1"/>
  <c r="I15" i="30" s="1"/>
  <c r="I20" i="30" a="1"/>
  <c r="I20" i="30" s="1"/>
  <c r="I11" i="30" a="1"/>
  <c r="I11" i="30" s="1"/>
  <c r="I13" i="30" a="1"/>
  <c r="I13" i="30" s="1"/>
  <c r="I18" i="30" a="1"/>
  <c r="I18" i="30" s="1"/>
  <c r="I14" i="30" a="1"/>
  <c r="I14" i="30" s="1"/>
  <c r="I19" i="30" a="1"/>
  <c r="I19" i="30" s="1"/>
  <c r="I17" i="30" a="1"/>
  <c r="I17" i="30" s="1"/>
  <c r="I16" i="30" a="1"/>
  <c r="I16" i="30" s="1"/>
  <c r="I21" i="30" a="1"/>
  <c r="I21" i="30" s="1"/>
  <c r="C119" i="22" l="1"/>
  <c r="C117" i="22"/>
  <c r="R5" i="40"/>
  <c r="R4" i="40"/>
  <c r="R3" i="40"/>
  <c r="C115" i="22"/>
  <c r="R18" i="40" l="1"/>
  <c r="R11" i="40"/>
  <c r="R20" i="40"/>
  <c r="R38" i="40"/>
  <c r="R15" i="40"/>
  <c r="R31" i="40"/>
  <c r="R22" i="40"/>
  <c r="R41" i="40"/>
  <c r="R9" i="40"/>
  <c r="R34" i="40"/>
  <c r="R27" i="40"/>
  <c r="R39" i="40"/>
  <c r="R24" i="40"/>
  <c r="R13" i="40"/>
  <c r="R46" i="40"/>
  <c r="R36" i="40"/>
  <c r="R44" i="40"/>
  <c r="R29" i="40"/>
  <c r="R48" i="4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DavidSayers</author>
    <author>David Sayers</author>
  </authors>
  <commentList>
    <comment ref="E14" authorId="0" shapeId="0" xr:uid="{72792FAA-8C6F-44D1-B938-620FD17AC4F0}">
      <text>
        <r>
          <rPr>
            <b/>
            <sz val="8"/>
            <color indexed="81"/>
            <rFont val="Tahoma"/>
            <family val="2"/>
          </rPr>
          <t>n/a (not applicable).</t>
        </r>
        <r>
          <rPr>
            <sz val="8"/>
            <color indexed="81"/>
            <rFont val="Tahoma"/>
            <family val="2"/>
          </rPr>
          <t xml:space="preserve"> Select this grading only if the water utility purchases/imports all of its water resources (i.e. has no sources of its own)
</t>
        </r>
        <r>
          <rPr>
            <b/>
            <sz val="8"/>
            <color indexed="10"/>
            <rFont val="Tahoma"/>
            <family val="2"/>
          </rPr>
          <t>1.</t>
        </r>
        <r>
          <rPr>
            <sz val="8"/>
            <color indexed="10"/>
            <rFont val="Tahoma"/>
            <family val="2"/>
          </rPr>
          <t xml:space="preserve"> Less than 25% of treated water production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treated water production sources are metered; other sources estimated.  No regular meter accuracy testing.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50% - 75% of treated water production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treated water production sources are metered, or at least 90% of the source flow is derived from metered sources.  Meter accuracy testing and/or electronic calibration conducted annually.  Less than 25% of tested meters are found outside of +/- 6% accuracy.  </t>
        </r>
        <r>
          <rPr>
            <sz val="8"/>
            <color indexed="81"/>
            <rFont val="Tahoma"/>
            <family val="2"/>
          </rPr>
          <t xml:space="preserve">
</t>
        </r>
        <r>
          <rPr>
            <b/>
            <sz val="8"/>
            <color indexed="81"/>
            <rFont val="Tahoma"/>
            <family val="2"/>
          </rPr>
          <t xml:space="preserve">7. </t>
        </r>
        <r>
          <rPr>
            <sz val="8"/>
            <color indexed="81"/>
            <rFont val="Tahoma"/>
            <family val="2"/>
          </rPr>
          <t xml:space="preserve">Conditions between 6 and 8
</t>
        </r>
        <r>
          <rPr>
            <b/>
            <sz val="8"/>
            <color indexed="12"/>
            <rFont val="Tahoma"/>
            <family val="2"/>
          </rPr>
          <t>8.</t>
        </r>
        <r>
          <rPr>
            <sz val="8"/>
            <color indexed="12"/>
            <rFont val="Tahoma"/>
            <family val="2"/>
          </rPr>
          <t xml:space="preserve"> 100% of treated water production sources are metered, meter accuracy testing and electronic calibration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treated water production sources are metered, meter accuracy testing and electronic calibration conducted semi-annually, with less than 10% found outside of +/- 3% accuracy.</t>
        </r>
      </text>
    </comment>
    <comment ref="E15" authorId="0" shapeId="0" xr:uid="{CA6FC48E-B2EF-43EF-96DB-02997D63F4FC}">
      <text>
        <r>
          <rPr>
            <b/>
            <sz val="8"/>
            <color indexed="81"/>
            <rFont val="Tahoma"/>
            <family val="2"/>
          </rPr>
          <t>n/a (not applicable).</t>
        </r>
        <r>
          <rPr>
            <sz val="8"/>
            <color indexed="81"/>
            <rFont val="Tahoma"/>
            <family val="2"/>
          </rPr>
          <t xml:space="preserve"> Select n/a only if the water utility fails to have meters on its sources of supply, either its own source, and/or imported (purchased) water sources 
</t>
        </r>
        <r>
          <rPr>
            <b/>
            <sz val="8"/>
            <color indexed="10"/>
            <rFont val="Tahoma"/>
            <family val="2"/>
          </rPr>
          <t>1.</t>
        </r>
        <r>
          <rPr>
            <sz val="8"/>
            <color indexed="10"/>
            <rFont val="Tahoma"/>
            <family val="2"/>
          </rPr>
          <t xml:space="preserve"> Inventory information on meters and paper records of measured volumes in crude condition; data error cannot be determined </t>
        </r>
        <r>
          <rPr>
            <sz val="8"/>
            <color indexed="81"/>
            <rFont val="Tahoma"/>
            <family val="2"/>
          </rPr>
          <t xml:space="preserve">
</t>
        </r>
        <r>
          <rPr>
            <b/>
            <sz val="8"/>
            <color indexed="53"/>
            <rFont val="Tahoma"/>
            <family val="2"/>
          </rPr>
          <t>2.</t>
        </r>
        <r>
          <rPr>
            <sz val="8"/>
            <color indexed="53"/>
            <rFont val="Tahoma"/>
            <family val="2"/>
          </rPr>
          <t xml:space="preserve"> No automatic datalogging of production volumes; daily readings are scribed on paper records.  Tank/storage elevation changes are not employed in calculating "Volume from own sources" component.</t>
        </r>
        <r>
          <rPr>
            <sz val="8"/>
            <color indexed="81"/>
            <rFont val="Tahoma"/>
            <family val="2"/>
          </rPr>
          <t xml:space="preserve">  </t>
        </r>
        <r>
          <rPr>
            <sz val="8"/>
            <color indexed="53"/>
            <rFont val="Tahoma"/>
            <family val="2"/>
          </rPr>
          <t>Data is adjusted only when grossly evident data error occurs.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Production meter data is logged automatically in electronic format and reviewed at least on a monthly basis.  "Volume from own sources" tabulations include estimate of daily changes in tanks/storage facilities.  Meter data is adjusted when gross data errors occur, or occasional meter testing deems this necessary.</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Hourly production meter data logged automatically &amp; reviewed on at least a weekly basis.  Data adjusted to correct gross error from equipment malfunction and error confirmed by meter accuracy testing.  Tank/storage facility elevation changes are automatically used in calculating a balanced "Volume from own sources" component.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Continuous production meter data logged automatically &amp; reviewed daily.  Data adjusted to correct gross error from equipment malfunction &amp; results of meter accuracy testing.  Tank/storage facility elevation changes are automatically used in "Volume from own sources" tabulations.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Computerized system (SCADA or similar) automatically balances flows from all sources and storages; results reviewed daily.  Mass balance technique compares production meter data to raw (untreated) water and treatment volumes to detect anomalies.  Regular calibrations between SCADA and sources meters ensures minimal data transfer error.  </t>
        </r>
        <r>
          <rPr>
            <sz val="8"/>
            <color indexed="81"/>
            <rFont val="Tahoma"/>
            <family val="2"/>
          </rPr>
          <t xml:space="preserve">
</t>
        </r>
      </text>
    </comment>
    <comment ref="E16" authorId="0" shapeId="0" xr:uid="{565196BC-8C4D-45AE-BBEE-94C6F6B80531}">
      <text>
        <r>
          <rPr>
            <b/>
            <sz val="8"/>
            <color indexed="81"/>
            <rFont val="Tahoma"/>
            <family val="2"/>
          </rPr>
          <t>n/a (not applicable).</t>
        </r>
        <r>
          <rPr>
            <sz val="8"/>
            <color indexed="81"/>
            <rFont val="Tahoma"/>
            <family val="2"/>
          </rPr>
          <t xml:space="preserve"> Select n/a if the water utility's supply is exclusively from its own water resources (no bulk purchased/ imported water)
</t>
        </r>
        <r>
          <rPr>
            <b/>
            <sz val="8"/>
            <color indexed="10"/>
            <rFont val="Tahoma"/>
            <family val="2"/>
          </rPr>
          <t xml:space="preserve">1. </t>
        </r>
        <r>
          <rPr>
            <sz val="8"/>
            <color indexed="10"/>
            <rFont val="Tahoma"/>
            <family val="2"/>
          </rPr>
          <t>Less than 25% of imported water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imported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50% - 75% of imported water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imported water sources are metered, meter accuracy testing and/or electronic calibration conducted annually.  Less than 25% of tested meters are found outside of +/- 6% accuracy.</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100% of imported water sources are metered, meter accuracy testing and/or electronic calibration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imported water sources are metered, meter accuracy testing and/or electronic calibration conducted semi-annually, with less than 10% found outside of +/- 3% accuracy.     </t>
        </r>
        <r>
          <rPr>
            <sz val="8"/>
            <color indexed="81"/>
            <rFont val="Tahoma"/>
            <family val="2"/>
          </rPr>
          <t xml:space="preserve">
</t>
        </r>
      </text>
    </comment>
    <comment ref="E17" authorId="0" shapeId="0" xr:uid="{B35BC961-D4EE-4C59-93CC-DEB4B4CFA578}">
      <text>
        <r>
          <rPr>
            <b/>
            <sz val="8"/>
            <color indexed="81"/>
            <rFont val="Tahoma"/>
            <family val="2"/>
          </rPr>
          <t xml:space="preserve">n/a (not applicable). </t>
        </r>
        <r>
          <rPr>
            <sz val="8"/>
            <color indexed="81"/>
            <rFont val="Tahoma"/>
            <family val="2"/>
          </rPr>
          <t xml:space="preserve">Select n/a if the water utility sells no bulk water to neighboring water utilities (no exported water sales)
</t>
        </r>
        <r>
          <rPr>
            <b/>
            <sz val="8"/>
            <color indexed="10"/>
            <rFont val="Tahoma"/>
            <family val="2"/>
          </rPr>
          <t>1.</t>
        </r>
        <r>
          <rPr>
            <sz val="8"/>
            <color indexed="10"/>
            <rFont val="Tahoma"/>
            <family val="2"/>
          </rPr>
          <t xml:space="preserve"> Less than 25% of exported water sources are metered, remaining sources are estimated.  No regular meter accuracy testing.</t>
        </r>
        <r>
          <rPr>
            <sz val="8"/>
            <color indexed="81"/>
            <rFont val="Tahoma"/>
            <family val="2"/>
          </rPr>
          <t xml:space="preserve">
</t>
        </r>
        <r>
          <rPr>
            <b/>
            <sz val="8"/>
            <color indexed="53"/>
            <rFont val="Tahoma"/>
            <family val="2"/>
          </rPr>
          <t xml:space="preserve">2. </t>
        </r>
        <r>
          <rPr>
            <sz val="8"/>
            <color indexed="53"/>
            <rFont val="Tahoma"/>
            <family val="2"/>
          </rPr>
          <t xml:space="preserve">25% - 50% of exported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50% - 75% of exported water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exported water sources are metered, meter accuracy testing and/or electronic calibration conducted annually.  Less than 25% of tested meters are found outside of +/- 6% accuracy.</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 xml:space="preserve">8. </t>
        </r>
        <r>
          <rPr>
            <sz val="8"/>
            <color indexed="12"/>
            <rFont val="Tahoma"/>
            <family val="2"/>
          </rPr>
          <t>100% of exported water sources are metered, meter accuracy testing and/or electronic calibration conducted annually, less than 10% of meters are found outside of +/- 6% accuracy</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 xml:space="preserve">10. </t>
        </r>
        <r>
          <rPr>
            <sz val="8"/>
            <color indexed="17"/>
            <rFont val="Tahoma"/>
            <family val="2"/>
          </rPr>
          <t xml:space="preserve">100% of exported water sources are metered, meter accuracy testing and/or electronic calibration conducted semi-annually, with less than 10% found outside of +/- 3% accuracy.     </t>
        </r>
        <r>
          <rPr>
            <sz val="8"/>
            <color indexed="81"/>
            <rFont val="Tahoma"/>
            <family val="2"/>
          </rPr>
          <t xml:space="preserve">
</t>
        </r>
      </text>
    </comment>
    <comment ref="E23" authorId="0" shapeId="0" xr:uid="{E2F3F099-97D4-47CC-B7CC-957E41BFD4EB}">
      <text>
        <r>
          <rPr>
            <b/>
            <sz val="8"/>
            <color indexed="81"/>
            <rFont val="Tahoma"/>
            <family val="2"/>
          </rPr>
          <t>n/a (not applicable).</t>
        </r>
        <r>
          <rPr>
            <sz val="8"/>
            <color indexed="81"/>
            <rFont val="Tahoma"/>
            <family val="2"/>
          </rPr>
          <t xml:space="preserve"> Select n/a only if the entire customer population is not metered and is billed for water service on a flat or fixed rate basis. In such a case the volume entered must be zero.</t>
        </r>
        <r>
          <rPr>
            <sz val="8"/>
            <color indexed="81"/>
            <rFont val="Tahoma"/>
            <family val="2"/>
          </rPr>
          <t xml:space="preserve">
</t>
        </r>
        <r>
          <rPr>
            <b/>
            <sz val="8"/>
            <color indexed="10"/>
            <rFont val="Tahoma"/>
            <family val="2"/>
          </rPr>
          <t xml:space="preserve">1. </t>
        </r>
        <r>
          <rPr>
            <sz val="8"/>
            <color indexed="10"/>
            <rFont val="Tahoma"/>
            <family val="2"/>
          </rPr>
          <t>Less than 50% of customers with volume-based billings from meter readings; flat or fixed rate billed for the majority of the customer population</t>
        </r>
        <r>
          <rPr>
            <sz val="8"/>
            <color indexed="81"/>
            <rFont val="Tahoma"/>
            <family val="2"/>
          </rPr>
          <t xml:space="preserve">
</t>
        </r>
        <r>
          <rPr>
            <b/>
            <sz val="8"/>
            <color indexed="53"/>
            <rFont val="Tahoma"/>
            <family val="2"/>
          </rPr>
          <t>2.</t>
        </r>
        <r>
          <rPr>
            <sz val="8"/>
            <color indexed="53"/>
            <rFont val="Tahoma"/>
            <family val="2"/>
          </rPr>
          <t xml:space="preserve"> At least 50% of customers with volume-based billing from meter reads; flat rate billed for others.  Manual meter reading, under 50% read success rate, remainder estimated.  Limited meter records, no regular meter testing or replacement.  Billing data maintained on paper records, with no auditing.</t>
        </r>
        <r>
          <rPr>
            <sz val="8"/>
            <color indexed="81"/>
            <rFont val="Tahoma"/>
            <family val="2"/>
          </rPr>
          <t xml:space="preserve">
</t>
        </r>
        <r>
          <rPr>
            <b/>
            <sz val="8"/>
            <color indexed="81"/>
            <rFont val="Tahoma"/>
            <family val="2"/>
          </rPr>
          <t>3.</t>
        </r>
        <r>
          <rPr>
            <sz val="8"/>
            <color indexed="81"/>
            <rFont val="Tahoma"/>
            <family val="2"/>
          </rPr>
          <t xml:space="preserve"> Conditions between 2 and 4</t>
        </r>
        <r>
          <rPr>
            <sz val="8"/>
            <color indexed="81"/>
            <rFont val="Tahoma"/>
            <family val="2"/>
          </rPr>
          <t xml:space="preserve">
</t>
        </r>
        <r>
          <rPr>
            <b/>
            <sz val="8"/>
            <color indexed="20"/>
            <rFont val="Tahoma"/>
            <family val="2"/>
          </rPr>
          <t>4.</t>
        </r>
        <r>
          <rPr>
            <sz val="8"/>
            <color indexed="20"/>
            <rFont val="Tahoma"/>
            <family val="2"/>
          </rPr>
          <t xml:space="preserve"> At least 75% of customers with volume-based billing from meter reads; flat or fixed rate billed for remainder.  Manual meter reading used, at least 50% meter read success rate, failed reads are estimated.  Purchase records verify age of customer meters; only very limited meter accuracy testing is conducted.  Customer meters replaced only upon complete failure.  Computerized billing records, but only periodic internal auditing conducted.</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90% of customers with volume-based billing from meter reads; remaining accounts are estimated.  Manual customer meter reading gives at least 80% customer meter reading success rate, failed reads are estimated.  Good customer meter records, limited meter accuracy testing, regular replacement of oldest meters.  Computerized billing records with routine auditing of global statistics.</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At least 97% of customers with volume-based billing from meter reads.  At least 90% customer meter read success rate; or minimum 80% read success rate with planning and budgeting for trials of Automatic Metering Reading (AMR) in one or more pilot areas.  Good customer meter records. Regular meter accuracy testing guides replacement of statistically significant number of meters each year.  Routine auditing of computerized billing records for global and detailed statistics; verified periodically by third party.
</t>
        </r>
        <r>
          <rPr>
            <b/>
            <sz val="8"/>
            <color indexed="81"/>
            <rFont val="Tahoma"/>
            <family val="2"/>
          </rPr>
          <t>9.</t>
        </r>
        <r>
          <rPr>
            <sz val="8"/>
            <color indexed="81"/>
            <rFont val="Tahoma"/>
            <family val="2"/>
          </rPr>
          <t xml:space="preserve"> Conditions between 8 and 10</t>
        </r>
        <r>
          <rPr>
            <sz val="8"/>
            <color indexed="81"/>
            <rFont val="Tahoma"/>
            <family val="2"/>
          </rPr>
          <t xml:space="preserve">
</t>
        </r>
        <r>
          <rPr>
            <b/>
            <sz val="8"/>
            <color indexed="17"/>
            <rFont val="Tahoma"/>
            <family val="2"/>
          </rPr>
          <t>10.</t>
        </r>
        <r>
          <rPr>
            <sz val="8"/>
            <color indexed="17"/>
            <rFont val="Tahoma"/>
            <family val="2"/>
          </rPr>
          <t xml:space="preserve"> At least 99% of customers with volume-based billing from meter reads.  At least 95% customer meter reading success rate; or minimum 80% meter reading success rate, with Automatic Meter Reading (AMR) trials underway.  Statistically significant customer meter testing and replacement program in place.  Computerized billing with routine, detailed auditing, including field investigation of representative sample of accounts.  Annual audit verification by third party.</t>
        </r>
        <r>
          <rPr>
            <sz val="8"/>
            <color indexed="81"/>
            <rFont val="Tahoma"/>
            <family val="2"/>
          </rPr>
          <t xml:space="preserve">
</t>
        </r>
      </text>
    </comment>
    <comment ref="E24" authorId="0" shapeId="0" xr:uid="{F7AF94E7-52EB-4ED1-BD91-C51CD843FDFF}">
      <text>
        <r>
          <rPr>
            <b/>
            <sz val="8"/>
            <color indexed="81"/>
            <rFont val="Tahoma"/>
            <family val="2"/>
          </rPr>
          <t>n/a (not applicable).</t>
        </r>
        <r>
          <rPr>
            <sz val="8"/>
            <color indexed="81"/>
            <rFont val="Tahoma"/>
            <family val="2"/>
          </rPr>
          <t xml:space="preserve"> Select n/a if it is the policy of the water utility to meter all customer connections and it has been confirmed by detailed auditing that all customers do indeed have a water meter; i.e. no unmetered accounts exist. In such a case the volume entered must be zero.
</t>
        </r>
        <r>
          <rPr>
            <b/>
            <sz val="8"/>
            <color indexed="10"/>
            <rFont val="Tahoma"/>
            <family val="2"/>
          </rPr>
          <t>1.</t>
        </r>
        <r>
          <rPr>
            <sz val="8"/>
            <color indexed="10"/>
            <rFont val="Tahoma"/>
            <family val="2"/>
          </rPr>
          <t xml:space="preserve"> Water utility policy does not require customer metering; flat or fixed fee billed.  No data collected on customer consumption.  Only estimates available are derived from data estimation methods using average fixture count multiplied by number of connections, or similar approach.</t>
        </r>
        <r>
          <rPr>
            <sz val="8"/>
            <color indexed="81"/>
            <rFont val="Tahoma"/>
            <family val="2"/>
          </rPr>
          <t xml:space="preserve">
</t>
        </r>
        <r>
          <rPr>
            <b/>
            <sz val="8"/>
            <color indexed="53"/>
            <rFont val="Tahoma"/>
            <family val="2"/>
          </rPr>
          <t>2.</t>
        </r>
        <r>
          <rPr>
            <sz val="8"/>
            <color indexed="53"/>
            <rFont val="Tahoma"/>
            <family val="2"/>
          </rPr>
          <t xml:space="preserve"> Water utility policy does not require customer metering; flat or fixed fee billed.  Some metered accounts exist in parts of the system (pilot areas or District Metered Areas) with consumption recorded on portable dataloggers.  Data from these sample meters are used to infer consumption for the total customer population.  Site specific estimation methods are used for unusual buildings/water uses.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Water utility policy does require metering and volume based billing but lacks written procedures and employs casual oversight, resulting in up to 20% of billed accounts believed to be unmetered.  A rough estimate of  the annual consumption for all unmetered accounts is included in the annual water audit, with no inspection of individual unmetered accounts.</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Water utility policy does require metering and volume based billing but exemption exist for a portion of accounts such as municipal buildings.  As many as 15% of billed accounts are unmetered due to this exemption or meter installation difficulties.  Only a group estimate of annual consumption for all unmetered accounts is included in the annual water audit, with no inspection of individual unmetered accounts.</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Water utility policy requires metering and volume based billing for all customer accounts.  However, less than 5% of billed accounts remain unmetered because because installation is hindered by unusual circumstances.  The goal is to minimize the number of unmetered accounts.  Reliable estimates of consumption are obtained for unmetered accounts via site specific estimation methods.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Water utility policy requires metering and volume based billing for all customer accounts.  Less than 2% of billed accounts are unmetered and exist because meter installation is hindered by unusual circumstances.  The goal exists to minimize the number of unmetered accounts to the extent that is economical.  Reliable estimates of consumption are obtained at these accounts via site specific estimation methods.</t>
        </r>
        <r>
          <rPr>
            <sz val="8"/>
            <color indexed="81"/>
            <rFont val="Tahoma"/>
            <family val="2"/>
          </rPr>
          <t xml:space="preserve">
</t>
        </r>
      </text>
    </comment>
    <comment ref="E25" authorId="0" shapeId="0" xr:uid="{24FA0C52-E375-4EFE-B7C2-534B38AB72F5}">
      <text>
        <r>
          <rPr>
            <b/>
            <sz val="8"/>
            <color indexed="81"/>
            <rFont val="Tahoma"/>
            <family val="2"/>
          </rPr>
          <t>n/a (not applicable).</t>
        </r>
        <r>
          <rPr>
            <sz val="8"/>
            <color indexed="81"/>
            <rFont val="Tahoma"/>
            <family val="2"/>
          </rPr>
          <t xml:space="preserve"> select n/a if all billing-exempt consumption is unmetered.  
</t>
        </r>
        <r>
          <rPr>
            <b/>
            <sz val="8"/>
            <color indexed="10"/>
            <rFont val="Tahoma"/>
            <family val="2"/>
          </rPr>
          <t>1.</t>
        </r>
        <r>
          <rPr>
            <sz val="8"/>
            <color indexed="10"/>
            <rFont val="Tahoma"/>
            <family val="2"/>
          </rPr>
          <t xml:space="preserve"> Billing practices exempt certain accounts, such as municipal buildings, but written policies do not exist; and a reliable count of unbilled metered accounts is unavailable.  Meter upkeep and meter reading on these accounts is rare and not considered a priority.  Due to poor recordkeeping and lack of auditing, water consumption for all such accounts is purely guesstimated. </t>
        </r>
        <r>
          <rPr>
            <sz val="8"/>
            <color indexed="81"/>
            <rFont val="Tahoma"/>
            <family val="2"/>
          </rPr>
          <t xml:space="preserve">      
</t>
        </r>
        <r>
          <rPr>
            <b/>
            <sz val="8"/>
            <color indexed="53"/>
            <rFont val="Tahoma"/>
            <family val="2"/>
          </rPr>
          <t>2.</t>
        </r>
        <r>
          <rPr>
            <sz val="8"/>
            <color indexed="53"/>
            <rFont val="Tahoma"/>
            <family val="2"/>
          </rPr>
          <t xml:space="preserve"> Billing practices exempt certain accounts, such as municipal buildings, but only scattered, dated written directives exist to justify this practice.  A reliable count of unbilled metered accounts is unavailable.  Sporadic meter replacement and meter reading occurs on an as-needed basis.  The total annual water consumption for all unbilled, metered accounts is estimated based upon approximating the number of accounts and assigning consumption from actively billed accounts of same meter size.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Dated written procedures permit billing exemption for specific accounts, such as municipal properties, but are unclear regarding certain other types of accounts.  Meter reading is given low priority and is sporadic.   Consumption is quantified from meter readings where available.  The total number of unbilled, unmetered accounts must be estimated along with consumption volumes.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Written policies regarding billing exemptions exist but adherence in practice is questionable.  Metering and meter reading for municipal buildings is reliable but sporadic for other unbilled metered accounts.  Periodic auditing of such accounts is conducted.  Water consumption is quantified directly from meter readings where available, but the majority of the consumption is estimated.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Written policy identifies the types of accounts granted a billing exemption.  Customer meter management and meter reading are considered secondary priorities, but meter reading is conducted at least annually to obtain consumption volumes for the annual water audit.  High level auditing of billing records ensures that a reliable census of such accounts exists.</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10.</t>
        </r>
        <r>
          <rPr>
            <sz val="8"/>
            <color indexed="17"/>
            <rFont val="Tahoma"/>
            <family val="2"/>
          </rPr>
          <t xml:space="preserve"> Clearly written policy identifies the types of accounts given a billing exemption, with emphasis on keeping such accounts to a minimum.  Customer meter management and meter reading for these accounts is given proper priority and is reliably conducted.  Regular auditing confirms this.  Total water consumption for these accounts is taken from reliable readings from accurate meters. </t>
        </r>
        <r>
          <rPr>
            <sz val="8"/>
            <color indexed="81"/>
            <rFont val="Tahoma"/>
            <family val="2"/>
          </rPr>
          <t xml:space="preserve">        
</t>
        </r>
      </text>
    </comment>
    <comment ref="E26" authorId="0" shapeId="0" xr:uid="{9166DB2F-7E0B-4E15-9FBC-91C0953E1D41}">
      <text>
        <r>
          <rPr>
            <b/>
            <sz val="8"/>
            <color indexed="10"/>
            <rFont val="Tahoma"/>
            <family val="2"/>
          </rPr>
          <t>1.</t>
        </r>
        <r>
          <rPr>
            <sz val="8"/>
            <color indexed="10"/>
            <rFont val="Tahoma"/>
            <family val="2"/>
          </rPr>
          <t xml:space="preserve"> Extent of unbilled, unmetered consumption is unknown due to unclear policies and poor recordkeeping.  Total consumption is quantified based upon a purely subjective estimate.  </t>
        </r>
        <r>
          <rPr>
            <sz val="8"/>
            <color indexed="81"/>
            <rFont val="Tahoma"/>
            <family val="2"/>
          </rPr>
          <t xml:space="preserve">
</t>
        </r>
        <r>
          <rPr>
            <b/>
            <sz val="8"/>
            <color indexed="53"/>
            <rFont val="Tahoma"/>
            <family val="2"/>
          </rPr>
          <t>2.</t>
        </r>
        <r>
          <rPr>
            <sz val="8"/>
            <color indexed="53"/>
            <rFont val="Tahoma"/>
            <family val="2"/>
          </rPr>
          <t xml:space="preserve"> Clear extent of unbilled, unmetered consumption is unknown, but a number of events are randomly documented each year, confirming existence of such consumption, but without sufficient documentation to quantify an accurate estimate of the annual volume consumed.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Extent of unbilled, unmetered consumption is partially known, and procedures exist to document certain events such as miscellaneous fire hydrant uses.  Formulae is used to quantify the consumption from such events (time running x typical flowrate x number of  events).  </t>
        </r>
        <r>
          <rPr>
            <sz val="8"/>
            <color indexed="81"/>
            <rFont val="Tahoma"/>
            <family val="2"/>
          </rPr>
          <t xml:space="preserve">
</t>
        </r>
        <r>
          <rPr>
            <b/>
            <sz val="8"/>
            <color indexed="81"/>
            <rFont val="Tahoma"/>
            <family val="2"/>
          </rPr>
          <t>5.</t>
        </r>
        <r>
          <rPr>
            <sz val="8"/>
            <color indexed="81"/>
            <rFont val="Tahoma"/>
            <family val="2"/>
          </rPr>
          <t xml:space="preserve"> Default value of 1.25% of system input volume is employed
</t>
        </r>
        <r>
          <rPr>
            <b/>
            <sz val="8"/>
            <color indexed="62"/>
            <rFont val="Tahoma"/>
            <family val="2"/>
          </rPr>
          <t xml:space="preserve">6. </t>
        </r>
        <r>
          <rPr>
            <sz val="8"/>
            <color indexed="62"/>
            <rFont val="Tahoma"/>
            <family val="2"/>
          </rPr>
          <t xml:space="preserve">Coherent policies exist for some forms of unbilled, unmetered consumption but others await closer evaluation. Reasonable recordkeeping for the managed uses exists and allows for annual volumes to be quantified by inference, but unsupervised uses are guesstimated.
</t>
        </r>
        <r>
          <rPr>
            <b/>
            <sz val="8"/>
            <color indexed="62"/>
            <rFont val="Tahoma"/>
            <family val="2"/>
          </rPr>
          <t>7.</t>
        </r>
        <r>
          <rPr>
            <sz val="8"/>
            <color indexed="62"/>
            <rFont val="Tahoma"/>
            <family val="2"/>
          </rPr>
          <t xml:space="preserve"> Conditions between 6 and 8</t>
        </r>
        <r>
          <rPr>
            <sz val="8"/>
            <color indexed="81"/>
            <rFont val="Tahoma"/>
            <family val="2"/>
          </rPr>
          <t xml:space="preserve">
</t>
        </r>
        <r>
          <rPr>
            <b/>
            <sz val="8"/>
            <color indexed="12"/>
            <rFont val="Tahoma"/>
            <family val="2"/>
          </rPr>
          <t xml:space="preserve">8. </t>
        </r>
        <r>
          <rPr>
            <sz val="8"/>
            <color indexed="12"/>
            <rFont val="Tahoma"/>
            <family val="2"/>
          </rPr>
          <t>Clear policies and good recordkeeping exist for some uses (ex: unmetered fire connections registering consumption), but other uses (ex: miscellaneous uses of fire hydrants) have limited oversight.  Total consumption is a mix of well quantified use such as from formulae (time x typical flow) or temporary meters, and relatively subjective estimates of less regulated use.</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10.</t>
        </r>
        <r>
          <rPr>
            <sz val="8"/>
            <color indexed="17"/>
            <rFont val="Tahoma"/>
            <family val="2"/>
          </rPr>
          <t xml:space="preserve"> Clear policies exist to identify permitted use of water in unbilled, unmetered fashion, with the intention of minimizing this type of consumption.  Good records document each occurrence and consumption is quantified via formulae (time x typical flow) or use of temporary meters.</t>
        </r>
        <r>
          <rPr>
            <sz val="8"/>
            <color indexed="81"/>
            <rFont val="Tahoma"/>
            <family val="2"/>
          </rPr>
          <t xml:space="preserve">
</t>
        </r>
      </text>
    </comment>
    <comment ref="J26" authorId="1" shapeId="0" xr:uid="{61C7CBB2-6E6A-4C49-8634-453A6F61759D}">
      <text>
        <r>
          <rPr>
            <b/>
            <sz val="8"/>
            <color indexed="81"/>
            <rFont val="Tahoma"/>
            <family val="2"/>
          </rPr>
          <t>Selecting the default percentage option will automatically assign a grading of 5 for this audit component</t>
        </r>
      </text>
    </comment>
    <comment ref="E38" authorId="0" shapeId="0" xr:uid="{F5EDA0D4-2A32-41DB-BD6B-10945BE170D2}">
      <text>
        <r>
          <rPr>
            <b/>
            <sz val="8"/>
            <color indexed="10"/>
            <rFont val="Tahoma"/>
            <family val="2"/>
          </rPr>
          <t>1.</t>
        </r>
        <r>
          <rPr>
            <sz val="8"/>
            <color indexed="10"/>
            <rFont val="Tahoma"/>
            <family val="2"/>
          </rPr>
          <t xml:space="preserve"> Extent of unauthorized consumption is unknown due to unclear policies and poor recordkeeping.  Total unauthorized consumption is guesstimated.  </t>
        </r>
        <r>
          <rPr>
            <sz val="8"/>
            <color indexed="81"/>
            <rFont val="Tahoma"/>
            <family val="2"/>
          </rPr>
          <t xml:space="preserve">
</t>
        </r>
        <r>
          <rPr>
            <b/>
            <sz val="8"/>
            <color indexed="53"/>
            <rFont val="Tahoma"/>
            <family val="2"/>
          </rPr>
          <t>2.</t>
        </r>
        <r>
          <rPr>
            <sz val="8"/>
            <color indexed="53"/>
            <rFont val="Tahoma"/>
            <family val="2"/>
          </rPr>
          <t xml:space="preserve"> Unauthorized consumption is a known occurrence, but its extent is a mystery.  There are no requirements to document observed events, but periodic field reports capture some of these occurrences.  Total unauthorized consumption is approximated from this limited data.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Procedures exist to document some unauthorized consumption such as observed unauthorized fire hydrant openings.  Use formulae to quantify this consumption (time running x typical flowrate x number of  events).  </t>
        </r>
        <r>
          <rPr>
            <sz val="8"/>
            <color indexed="81"/>
            <rFont val="Tahoma"/>
            <family val="2"/>
          </rPr>
          <t xml:space="preserve">
</t>
        </r>
        <r>
          <rPr>
            <b/>
            <sz val="8"/>
            <color indexed="81"/>
            <rFont val="Tahoma"/>
            <family val="2"/>
          </rPr>
          <t>5.</t>
        </r>
        <r>
          <rPr>
            <sz val="8"/>
            <color indexed="81"/>
            <rFont val="Tahoma"/>
            <family val="2"/>
          </rPr>
          <t xml:space="preserve"> Default value of 0.25% of system input volume is employed
</t>
        </r>
        <r>
          <rPr>
            <b/>
            <sz val="8"/>
            <color indexed="62"/>
            <rFont val="Tahoma"/>
            <family val="2"/>
          </rPr>
          <t xml:space="preserve">6. </t>
        </r>
        <r>
          <rPr>
            <sz val="8"/>
            <color indexed="62"/>
            <rFont val="Tahoma"/>
            <family val="2"/>
          </rPr>
          <t>Coherent policies exist for some forms of unauthorized consumption but others await closer evaluation. Reasonable surveillance and recordkeeping exist for occurrences that fall under the policy.  Volumes quantified by inference from these records.  Unsupervised uses are guesstimated.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 policies and good recordkeeping exist for certain events (ex: tampering with water meters); other occurrences have limited oversight.  Total consumption is a combination of volumes from formulae (time x typical flow) and subjective estimates of unconfirmed consumption.</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Clear policies exist to identify all known unauthorized uses of water.  Staff and procedures exist to provide enforcement of policies and detect violations.  Each occurrence is quantified via formulae (time x typical flow) or similar methods.</t>
        </r>
        <r>
          <rPr>
            <sz val="8"/>
            <color indexed="81"/>
            <rFont val="Tahoma"/>
            <family val="2"/>
          </rPr>
          <t xml:space="preserve">  
</t>
        </r>
      </text>
    </comment>
    <comment ref="J38" authorId="1" shapeId="0" xr:uid="{F585D50D-FFC6-4B65-B0D8-4F7D38A5E7F9}">
      <text>
        <r>
          <rPr>
            <b/>
            <sz val="8"/>
            <color indexed="81"/>
            <rFont val="Tahoma"/>
            <family val="2"/>
          </rPr>
          <t>Selecting the default percentage option will automatically assign a grading of 5 for this audit component</t>
        </r>
      </text>
    </comment>
    <comment ref="E42" authorId="0" shapeId="0" xr:uid="{ACC36B5C-630A-4D3D-93F8-ECA2DCD0052D}">
      <text>
        <r>
          <rPr>
            <b/>
            <sz val="8"/>
            <color indexed="81"/>
            <rFont val="Tahoma"/>
            <family val="2"/>
          </rPr>
          <t>n/a (not applicable).</t>
        </r>
        <r>
          <rPr>
            <sz val="8"/>
            <color indexed="81"/>
            <rFont val="Tahoma"/>
            <family val="2"/>
          </rPr>
          <t xml:space="preserve"> select n/a only if the entire customer population is unmetered. In such a case the volume entered must be zero.
</t>
        </r>
        <r>
          <rPr>
            <b/>
            <sz val="8"/>
            <color indexed="10"/>
            <rFont val="Tahoma"/>
            <family val="2"/>
          </rPr>
          <t>1.</t>
        </r>
        <r>
          <rPr>
            <sz val="8"/>
            <color indexed="10"/>
            <rFont val="Tahoma"/>
            <family val="2"/>
          </rPr>
          <t xml:space="preserve"> Customer meters exist, but with unorganized paper records on meters; no meter accuracy testing or meter replacement program.  Workflow is driven chaotically by customer complaints with no proactive management.  Loss volume due to aggregate meter inaccuracy is guesstimated.</t>
        </r>
        <r>
          <rPr>
            <sz val="8"/>
            <color indexed="81"/>
            <rFont val="Tahoma"/>
            <family val="2"/>
          </rPr>
          <t xml:space="preserve">
</t>
        </r>
        <r>
          <rPr>
            <b/>
            <sz val="8"/>
            <color indexed="53"/>
            <rFont val="Tahoma"/>
            <family val="2"/>
          </rPr>
          <t>2.</t>
        </r>
        <r>
          <rPr>
            <sz val="8"/>
            <color indexed="53"/>
            <rFont val="Tahoma"/>
            <family val="2"/>
          </rPr>
          <t xml:space="preserve"> Poor recordkeeping and meter oversight is recognized by water utility management who has allotted staff and funding resources to organize improved recordkeeping and start meter accuracy testing.  Existing paper records gathered and organized to provide cursory disposition of meter population.</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Reliable recordkeeping exists; meter information is improving as meters are replaced.    Meter accuracy testing is conducted annually for a small number of meters.  Limited number of oldest meters replaced each year.  Inaccuracy volume is largely an estimate, but refined based upon limited testing data.</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 reliable electronic recordkeeping system for meters exists.  Population includes a mix of new high performing meters and dated meters with suspect accuracy.  Routine, but limited, meter accuracy testing and meter replacement occur.  Inaccuracy volume is quantified using a mix of reliable and less certain data.</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Ongoing meter replacement and accuracy testing result in highly accurate customer meter population.  Testing is conducted on samples of meters at varying lifespans to determine optimum replacement time for various types of meters.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Good records of number, type and size of customer meters; ongoing meter replacement occurs.  Regular meter accuracy testing gives reliable measure of composite inaccuracy volume for the system.  New metering technology is embraced to keep overall accuracy improving.</t>
        </r>
      </text>
    </comment>
    <comment ref="J42" authorId="1" shapeId="0" xr:uid="{9DD433A2-5F12-4E87-9C56-7BF832F86158}">
      <text>
        <r>
          <rPr>
            <b/>
            <sz val="8"/>
            <color indexed="81"/>
            <rFont val="Tahoma"/>
            <family val="2"/>
          </rPr>
          <t>Enter a value &lt; 10%</t>
        </r>
      </text>
    </comment>
    <comment ref="E43" authorId="0" shapeId="0" xr:uid="{FD49203B-67D3-4705-81E2-0FCEAAB92618}">
      <text>
        <r>
          <rPr>
            <b/>
            <sz val="8"/>
            <color indexed="81"/>
            <rFont val="Tahoma"/>
            <family val="2"/>
          </rPr>
          <t xml:space="preserve">Note: </t>
        </r>
        <r>
          <rPr>
            <sz val="8"/>
            <color indexed="81"/>
            <rFont val="Tahoma"/>
            <family val="2"/>
          </rPr>
          <t xml:space="preserve">all water utilities incur some amount of this error. Even in water utilities with unmetered customer populations and fixed rate billing, errors occur in annual billing tabulations. Enter a positive value for the volume and select a grading.
</t>
        </r>
        <r>
          <rPr>
            <b/>
            <sz val="8"/>
            <color indexed="10"/>
            <rFont val="Tahoma"/>
            <family val="2"/>
          </rPr>
          <t>1.</t>
        </r>
        <r>
          <rPr>
            <sz val="8"/>
            <color indexed="10"/>
            <rFont val="Tahoma"/>
            <family val="2"/>
          </rPr>
          <t xml:space="preserve"> Vague policy for permitting (creating new customer accounts) and billing. Billing data maintained on paper records which are in disarray.  No audits conducted to confirm billing data handling efficiency.  Unknown number of customers escape routine billing due to lack of billing process oversight.</t>
        </r>
        <r>
          <rPr>
            <sz val="8"/>
            <color indexed="81"/>
            <rFont val="Tahoma"/>
            <family val="2"/>
          </rPr>
          <t xml:space="preserve">
</t>
        </r>
        <r>
          <rPr>
            <b/>
            <sz val="8"/>
            <color indexed="53"/>
            <rFont val="Tahoma"/>
            <family val="2"/>
          </rPr>
          <t>2.</t>
        </r>
        <r>
          <rPr>
            <sz val="8"/>
            <color indexed="53"/>
            <rFont val="Tahoma"/>
            <family val="2"/>
          </rPr>
          <t xml:space="preserve"> Policy for permitting and billing exists but needs refinement. Billing data maintained on paper records or insufficiently capable electronic database.  Only periodic unstructured auditing work conducted to confirm billing data handling efficiency.  Volume of unbilled water due to billing lapses is a guess.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Policy and procedures for permitting and billing exist but needs refinement.  Computerized billing system exists, but is dated or lacks needed functionality.  Periodic, limited internal audits conducted and confirm with approximate accuracy the consumption volumes lost to billing lapses.</t>
        </r>
        <r>
          <rPr>
            <sz val="8"/>
            <color indexed="81"/>
            <rFont val="Tahoma"/>
            <family val="2"/>
          </rPr>
          <t xml:space="preserve">
</t>
        </r>
        <r>
          <rPr>
            <b/>
            <sz val="8"/>
            <color indexed="81"/>
            <rFont val="Tahoma"/>
            <family val="2"/>
          </rPr>
          <t xml:space="preserve">5. </t>
        </r>
        <r>
          <rPr>
            <sz val="8"/>
            <color indexed="81"/>
            <rFont val="Tahoma"/>
            <family val="2"/>
          </rPr>
          <t xml:space="preserve">Conditions between 4 and 6
</t>
        </r>
        <r>
          <rPr>
            <b/>
            <sz val="8"/>
            <color indexed="62"/>
            <rFont val="Tahoma"/>
            <family val="2"/>
          </rPr>
          <t>6.</t>
        </r>
        <r>
          <rPr>
            <sz val="8"/>
            <color indexed="62"/>
            <rFont val="Tahoma"/>
            <family val="2"/>
          </rPr>
          <t xml:space="preserve"> Policy for permitting and billing is adequate and reviewed periodically.  Computerized billing system in use with basic reporting available.  Any effect of billing adjustments on measured consumption volumes is well understood.  Internal checks of billing data error conducted annually.  Reasonably accurate quantification of consumption volume lost to billing lapses is obtained.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Permitting and billing policy reviewed at least biannually.  Computerized billing system includes an array of reports to confirm billing data and system functionality.  Annual internal checks conducted with periodic third party audit.  Accountability checks flag billing lapses.  Consumption lost to billing lapses is well quantified and reducing year-by-year.</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policy exists for permitting of all customer billing accounts.  Robust computerized billing system gives high functionality and reporting capabilities.  Assessment of policy and data handling errors conducted internally and audited by third party annually, ensuring consumption lost to billing lapses is minimized and detected as it occurs. </t>
        </r>
      </text>
    </comment>
    <comment ref="E62" authorId="0" shapeId="0" xr:uid="{667CC312-7AEA-4F78-B293-7F97DED5BD03}">
      <text>
        <r>
          <rPr>
            <b/>
            <sz val="8"/>
            <color indexed="10"/>
            <rFont val="Tahoma"/>
            <family val="2"/>
          </rPr>
          <t>1.</t>
        </r>
        <r>
          <rPr>
            <sz val="8"/>
            <color indexed="10"/>
            <rFont val="Tahoma"/>
            <family val="2"/>
          </rPr>
          <t xml:space="preserve"> Poorly assembled and maintained paper as-built records of existing water main installations makes accurate determination of system pipe length impossible.  Length of mains is guesstimated.</t>
        </r>
        <r>
          <rPr>
            <sz val="8"/>
            <color indexed="81"/>
            <rFont val="Tahoma"/>
            <family val="2"/>
          </rPr>
          <t xml:space="preserve">
</t>
        </r>
        <r>
          <rPr>
            <b/>
            <sz val="8"/>
            <color indexed="53"/>
            <rFont val="Tahoma"/>
            <family val="2"/>
          </rPr>
          <t xml:space="preserve">2. </t>
        </r>
        <r>
          <rPr>
            <sz val="8"/>
            <color indexed="53"/>
            <rFont val="Tahoma"/>
            <family val="2"/>
          </rPr>
          <t>Paper records in poor condition (no annual tracking of installations &amp; abandonments).  Poor procedures to ensure that new water mains installed by developers are accurately documented.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Sound policy and procedures for permitting and documenting new water main installations, but gaps in management result in a uncertain degree of error in tabulation of mains length.</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Sound policy and procedures exist for permitting and commissioning new water mains.  Highly accurate paper records with regular field validation; or electronic records and asset management system in good condition.  Includes system backup.</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Sound policy and procedures exist for permitting and commissioning new water mains.  Electronic recordkeeping and asset management system are used to store and manage data.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policy exists for managing water mains extensions and replacements.  Geographic Information System (GIS) data and asset management database agree and random field validation proves truth of databases.</t>
        </r>
      </text>
    </comment>
    <comment ref="E63" authorId="0" shapeId="0" xr:uid="{DCAD3A5A-5915-4FBB-BC5A-D090A1A8113D}">
      <text>
        <r>
          <rPr>
            <b/>
            <sz val="8"/>
            <color indexed="10"/>
            <rFont val="Tahoma"/>
            <family val="2"/>
          </rPr>
          <t xml:space="preserve">1. </t>
        </r>
        <r>
          <rPr>
            <sz val="8"/>
            <color indexed="10"/>
            <rFont val="Tahoma"/>
            <family val="2"/>
          </rPr>
          <t>Vague permitting (of new service connections) policy and poor paper recordkeeping of customer connections/billings result in suspect determination of the number of service connections, which may be 10-15% in error from actual count.</t>
        </r>
        <r>
          <rPr>
            <sz val="8"/>
            <color indexed="81"/>
            <rFont val="Tahoma"/>
            <family val="2"/>
          </rPr>
          <t xml:space="preserve"> 
</t>
        </r>
        <r>
          <rPr>
            <b/>
            <sz val="8"/>
            <color indexed="53"/>
            <rFont val="Tahoma"/>
            <family val="2"/>
          </rPr>
          <t>2.</t>
        </r>
        <r>
          <rPr>
            <sz val="8"/>
            <color indexed="53"/>
            <rFont val="Tahoma"/>
            <family val="2"/>
          </rPr>
          <t xml:space="preserve"> General permitting policy exists but paper records, procedural gaps, and weak oversight result in questionable total for number of connections, which may vary 5-10% of actual count.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Permitting policy and procedures exist, but with some gaps in performance and oversight.  Computerized information management system is being brought online to replace dated paper recordkeeping system.  Reasonably accurate tracking of service connection installations &amp; abandonments; but count can be up to 5% in error from actual total.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Permitting policy and procedures are adequate and reviewed periodically.  Computerized information management system is in use with annual installations &amp; abandonments totaled.  Very limited field verifications and audits.  Error in count of number of service connections is believed to be no more that 3%.</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Permitting policy and procedures reviewed at least biannually.  Well-managed computerized information management system and routine, periodic field checks and internal system audits allows counts of connections that is no more than 2% in error.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Sound permitting policy and well managed and audited procedures ensure reliable management of service connection population.  Computerized information management system and Geographic Information System (GIS) information agree; field validation proves truth of databases.  Count of connections believed to be in error by less than 1%.</t>
        </r>
        <r>
          <rPr>
            <sz val="8"/>
            <color indexed="81"/>
            <rFont val="Tahoma"/>
            <family val="2"/>
          </rPr>
          <t xml:space="preserve">
</t>
        </r>
      </text>
    </comment>
    <comment ref="E65" authorId="0" shapeId="0" xr:uid="{1D532C58-291E-4E71-8573-3A9A66A69716}">
      <text>
        <r>
          <rPr>
            <b/>
            <sz val="8"/>
            <color indexed="81"/>
            <rFont val="Tahoma"/>
            <family val="2"/>
          </rPr>
          <t xml:space="preserve">Note: </t>
        </r>
        <r>
          <rPr>
            <sz val="8"/>
            <color indexed="81"/>
            <rFont val="Tahoma"/>
            <family val="2"/>
          </rPr>
          <t xml:space="preserve">if customer water meters are located outside of the customer building next to the curbstop or boundary separating utility/customer responsibility, follow the grading description for 10(a) below. Also see the Service Connection Diagram worksheet.
</t>
        </r>
        <r>
          <rPr>
            <b/>
            <sz val="8"/>
            <color indexed="10"/>
            <rFont val="Tahoma"/>
            <family val="2"/>
          </rPr>
          <t>1.</t>
        </r>
        <r>
          <rPr>
            <sz val="8"/>
            <color indexed="10"/>
            <rFont val="Tahoma"/>
            <family val="2"/>
          </rPr>
          <t xml:space="preserve"> Vague policy exists to define the delineation of water utility ownership and customer ownership of the service connection piping.  Curbstops are perceived as the breakpoint but these have not been well-maintained or documented.  Most are buried or obscured.  Their location varies widely from site-to-site, and estimating this distance is arbitrary due to the unknown location of many curbstops.</t>
        </r>
        <r>
          <rPr>
            <sz val="8"/>
            <color indexed="81"/>
            <rFont val="Tahoma"/>
            <family val="2"/>
          </rPr>
          <t xml:space="preserve">
</t>
        </r>
        <r>
          <rPr>
            <b/>
            <sz val="8"/>
            <color indexed="53"/>
            <rFont val="Tahoma"/>
            <family val="2"/>
          </rPr>
          <t>2.</t>
        </r>
        <r>
          <rPr>
            <sz val="8"/>
            <color indexed="53"/>
            <rFont val="Tahoma"/>
            <family val="2"/>
          </rPr>
          <t xml:space="preserve"> Policy requires that the curbstop serves as the delineation point between water utility ownership and customer ownership of the service connection piping.  The piping from the water main to the curbstop is the property of the water utility; and the piping from the curbstop to the customer building is owned by the customer.  Curbstop locations are not well documented and the average distance is based upon a limited number of locations measured in the field.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Good policy requires that the curbstop serves as the delineation point between water utility ownership and customer ownership of the service connection piping.  Curbstops are generally installed as needed and are reasonably documented.  Their location varies widely from site-to-site, and an estimate of this distance is hindered by the availability of paper records.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 xml:space="preserve">6. </t>
        </r>
        <r>
          <rPr>
            <sz val="8"/>
            <color indexed="62"/>
            <rFont val="Tahoma"/>
            <family val="2"/>
          </rPr>
          <t xml:space="preserve">Clear policy exists to define utility/customer responsibility for service connection piping.  Accurate, well-maintained paper or basic electronic recordkeeping system exists.  Periodic field checks confirm piping lengths for a sample of customer properties.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Clearly worded policy standardizes the location of curbstops and meters, which are inspected upon installation.  Accurate and well maintained electronic records exist with periodic field checks to confirm locations of service lines, curbstops and customer meter pits.  An accurate number of customer properties from the customer billing system allows for reliable averaging of this length.</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a) The customer water meter is located outside of the customer building adjacent to the curbstop or boundary separating utility/customer responsibility for the service connection piping.  In this case enter a value of zero in the Reporting Worksheet with a grading of 10.
b). Customer water meters are located inside customer buildings, or the properties are unmetered.  In either case the distance is highly reliable since data is drawn from a Geographic Information System (GIS) and confirmed by routine field checks.</t>
        </r>
      </text>
    </comment>
    <comment ref="E67" authorId="0" shapeId="0" xr:uid="{5BAAA8D8-D75F-4D82-9D16-88BD07F5D08F}">
      <text>
        <r>
          <rPr>
            <b/>
            <sz val="8"/>
            <color indexed="10"/>
            <rFont val="Tahoma"/>
            <family val="2"/>
          </rPr>
          <t xml:space="preserve">1. </t>
        </r>
        <r>
          <rPr>
            <sz val="8"/>
            <color indexed="10"/>
            <rFont val="Tahoma"/>
            <family val="2"/>
          </rPr>
          <t xml:space="preserve">Available records are poorly assembled and maintained paper records of supply pump characteristics and water distribution system operating conditions.  Average pressure is guesstimated based upon this information and ground elevations from crude topographical maps.  Widely varying distribution system pressures due to undulating terrain, high system head loss and weak/erratic pressure controls further compromise the validity of the average pressure calculation.  </t>
        </r>
        <r>
          <rPr>
            <sz val="8"/>
            <color indexed="81"/>
            <rFont val="Tahoma"/>
            <family val="2"/>
          </rPr>
          <t xml:space="preserve">
</t>
        </r>
        <r>
          <rPr>
            <b/>
            <sz val="8"/>
            <color indexed="53"/>
            <rFont val="Tahoma"/>
            <family val="2"/>
          </rPr>
          <t xml:space="preserve">2. </t>
        </r>
        <r>
          <rPr>
            <sz val="8"/>
            <color indexed="53"/>
            <rFont val="Tahoma"/>
            <family val="2"/>
          </rPr>
          <t xml:space="preserve">Limited telemetry monitoring of scattered sites provides some static pressure data, which is recorded in handwritten logbooks.  Pressure data is gathered at individual sites only when low pressure complaints arise.  Average pressure is determined by averaging relatively crude data, and is affected by significant variation in ground elevations, system head loss and gaps in pressure controls in the distribution system.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Effective pressure controls separate different pressure zones; moderate pressure variation across the system, occasional open boundary valves are discovered that breech pressure zones.  Basic telemetry monitoring of the distribution system logs pressure data electronically.  Pressure data gathered by gauges or dataloggers at fire hydrants or buildings when low pressure complaints arise, and during fire flow tests and system flushing.  Reliable topographical data exists.  Average pressure is calculated using this mix of data. </t>
        </r>
        <r>
          <rPr>
            <sz val="8"/>
            <color indexed="81"/>
            <rFont val="Tahoma"/>
            <family val="2"/>
          </rPr>
          <t xml:space="preserve">
</t>
        </r>
        <r>
          <rPr>
            <b/>
            <sz val="8"/>
            <color indexed="81"/>
            <rFont val="Tahoma"/>
            <family val="2"/>
          </rPr>
          <t>5.</t>
        </r>
        <r>
          <rPr>
            <sz val="8"/>
            <color indexed="81"/>
            <rFont val="Tahoma"/>
            <family val="2"/>
          </rPr>
          <t xml:space="preserve"> Conditions between 4 and 6
</t>
        </r>
        <r>
          <rPr>
            <sz val="8"/>
            <color indexed="62"/>
            <rFont val="Tahoma"/>
            <family val="2"/>
          </rPr>
          <t xml:space="preserve">6. Reliable pressure controls separate distinct pressure zones; only very occasional open boundary valves are encountered that breech pressure zones.  Well-covered telemetry monitoring of the distribution system logs extensive pressure data electronically.  Pressure gathered by gauges/dataloggers at fire hydrants and buildings when low pressure complaints arise, and during fire flow tests and system flushing.  Average pressure is determined by using this mix of reliable data.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Well-managed, discrete pressure zones exist with generally predictable pressure fluctuations.  A current full-scale SCADA System exists to monitor the water distribution system and collect data, including real time pressure readings at representative sites across the system.  The average system pressure is determined from reliable SCADA System data. </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 xml:space="preserve">10. </t>
        </r>
        <r>
          <rPr>
            <sz val="8"/>
            <color indexed="17"/>
            <rFont val="Tahoma"/>
            <family val="2"/>
          </rPr>
          <t xml:space="preserve">Well-managed pressure districts/zones, SCADA System and hydraulic model exist to give very precise pressure data across the water distribution system.  Average system pressure is reliably calculated from extensive, reliable, and cross-checked data. </t>
        </r>
      </text>
    </comment>
    <comment ref="E74" authorId="0" shapeId="0" xr:uid="{6903CCF7-661C-4827-9EEE-5C08BF108F99}">
      <text>
        <r>
          <rPr>
            <b/>
            <sz val="8"/>
            <color indexed="10"/>
            <rFont val="Tahoma"/>
            <family val="2"/>
          </rPr>
          <t>1.</t>
        </r>
        <r>
          <rPr>
            <sz val="8"/>
            <color indexed="10"/>
            <rFont val="Tahoma"/>
            <family val="2"/>
          </rPr>
          <t xml:space="preserve"> Incomplete paper records and lack of documentation on many operating functions making calculation of water system operating costs a pure guesstimate</t>
        </r>
        <r>
          <rPr>
            <sz val="8"/>
            <color indexed="81"/>
            <rFont val="Tahoma"/>
            <family val="2"/>
          </rPr>
          <t xml:space="preserve">
</t>
        </r>
        <r>
          <rPr>
            <b/>
            <sz val="8"/>
            <color indexed="53"/>
            <rFont val="Tahoma"/>
            <family val="2"/>
          </rPr>
          <t>2.</t>
        </r>
        <r>
          <rPr>
            <sz val="8"/>
            <color indexed="53"/>
            <rFont val="Tahoma"/>
            <family val="2"/>
          </rPr>
          <t xml:space="preserve"> Reasonably maintained, but incomplete, paper or electronic accounting provides data to estimate the major portion of water system operating costs.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 xml:space="preserve">Electronic, industry-standard cost accounting system in place.  Gaps in data known to exist, periodic internal reviews conducted but not a structured audit.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Data audited periodically by utility personnel, not a Certified Public Accountant (CPA).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Reliable electronic, industry-standard cost accounting system in place, with all pertinent water system operating costs tracked.  Data audited at least annually by utility personnel, and periodically by third-party CPA.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Reliable electronic, industry-standard cost accounting system in place, with all pertinent water system operating costs tracked.  Data audited annually by utility personnel and by third-party CPA.  </t>
        </r>
        <r>
          <rPr>
            <sz val="8"/>
            <color indexed="81"/>
            <rFont val="Tahoma"/>
            <family val="2"/>
          </rPr>
          <t xml:space="preserve">
</t>
        </r>
      </text>
    </comment>
    <comment ref="E75" authorId="0" shapeId="0" xr:uid="{1B8DF1EB-10E3-44E6-93B3-EC507C9B733C}">
      <text>
        <r>
          <rPr>
            <b/>
            <sz val="8"/>
            <color indexed="81"/>
            <rFont val="Tahoma"/>
            <family val="2"/>
          </rPr>
          <t xml:space="preserve">Note: </t>
        </r>
        <r>
          <rPr>
            <sz val="8"/>
            <color indexed="81"/>
            <rFont val="Tahoma"/>
            <family val="2"/>
          </rPr>
          <t>the weighted average cost should also include additional charges for sewer, stormwater or biosolids processing, if these charges are based upon the volume of potable water consumed.</t>
        </r>
        <r>
          <rPr>
            <b/>
            <sz val="8"/>
            <color indexed="10"/>
            <rFont val="Tahoma"/>
            <family val="2"/>
          </rPr>
          <t xml:space="preserve">
1. </t>
        </r>
        <r>
          <rPr>
            <sz val="8"/>
            <color indexed="10"/>
            <rFont val="Tahoma"/>
            <family val="2"/>
          </rPr>
          <t>Antiquated, cumbersome water rate structure is use, with periodic historic amendments that were poorly documented and implemented; resulting in classes of customers being billed inconsistent charges.  The actual composite billing rate likely differs significantly from the published water rate structure, but a lack of auditing leaves the degree of error indeterminate.</t>
        </r>
        <r>
          <rPr>
            <sz val="8"/>
            <color indexed="81"/>
            <rFont val="Tahoma"/>
            <family val="2"/>
          </rPr>
          <t xml:space="preserve">
</t>
        </r>
        <r>
          <rPr>
            <b/>
            <sz val="8"/>
            <color indexed="53"/>
            <rFont val="Tahoma"/>
            <family val="2"/>
          </rPr>
          <t>2.</t>
        </r>
        <r>
          <rPr>
            <sz val="8"/>
            <color indexed="53"/>
            <rFont val="Tahoma"/>
            <family val="2"/>
          </rPr>
          <t xml:space="preserve"> Dated, cumbersome water rate structure, not always employed consistently in actual billing operations.  The actual composite billing rate is known to differ from the published water rate structure, and a reasonably accurate estimate of the degree of error is determined, allowing a composite billing rate to be quantified.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Straight-forward water rate structure in use, but not updated in several years.  Billing operations reliably employ the rate structure.  The composite billing rate is derived from a single customer class such as residential customer accounts, neglecting the effect of different rates from varying customer classes.</t>
        </r>
        <r>
          <rPr>
            <sz val="8"/>
            <color indexed="81"/>
            <rFont val="Tahoma"/>
            <family val="2"/>
          </rPr>
          <t xml:space="preserve">
</t>
        </r>
        <r>
          <rPr>
            <b/>
            <sz val="8"/>
            <color indexed="81"/>
            <rFont val="Tahoma"/>
            <family val="2"/>
          </rPr>
          <t>5.</t>
        </r>
        <r>
          <rPr>
            <sz val="8"/>
            <color indexed="81"/>
            <rFont val="Tahoma"/>
            <family val="2"/>
          </rPr>
          <t xml:space="preserve"> Customer population unmetered. Fixed fee charged; single composite number derived from multiple customer classes.
</t>
        </r>
        <r>
          <rPr>
            <b/>
            <sz val="8"/>
            <color indexed="62"/>
            <rFont val="Tahoma"/>
            <family val="2"/>
          </rPr>
          <t>6.</t>
        </r>
        <r>
          <rPr>
            <sz val="8"/>
            <color indexed="62"/>
            <rFont val="Tahoma"/>
            <family val="2"/>
          </rPr>
          <t xml:space="preserve"> Clearly written, up-to-date water rate structure is in force and is applied reliably in billing operations.  Composite customer rate is determined using a weighted average residential rate using volumes of water in each rate block.</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Effective water rate structure is in force and is applied reliably in billing operations.  Composite customer rate is determined using a weighted average composite consumption rate, including residential, commercial, industrial and any other customer classes within the water rate structure.</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Third party reviewed weighted average composite consumption rate (includes residential, commercial, industrial, etc.)</t>
        </r>
      </text>
    </comment>
    <comment ref="E76" authorId="0" shapeId="0" xr:uid="{042E0147-7DC9-4042-B174-8EF296C6E33A}">
      <text>
        <r>
          <rPr>
            <b/>
            <sz val="8"/>
            <color indexed="81"/>
            <rFont val="Tahoma"/>
            <family val="2"/>
          </rPr>
          <t xml:space="preserve">Note: </t>
        </r>
        <r>
          <rPr>
            <sz val="8"/>
            <color indexed="81"/>
            <rFont val="Tahoma"/>
            <family val="2"/>
          </rPr>
          <t xml:space="preserve"> if the water utility purchases/imports its entire water supply, then enter the unit purchase cost of the bulk water supply in the Reporting Worksheet with a grading of 10
</t>
        </r>
        <r>
          <rPr>
            <b/>
            <sz val="8"/>
            <color indexed="10"/>
            <rFont val="Tahoma"/>
            <family val="2"/>
          </rPr>
          <t xml:space="preserve">1. </t>
        </r>
        <r>
          <rPr>
            <sz val="8"/>
            <color indexed="10"/>
            <rFont val="Tahoma"/>
            <family val="2"/>
          </rPr>
          <t>Incomplete paper records and lack of documentation on primary operating functions (electric power and treatment costs most importantly) makes calculation of variable production costs a pure guesstimate</t>
        </r>
        <r>
          <rPr>
            <sz val="8"/>
            <color indexed="81"/>
            <rFont val="Tahoma"/>
            <family val="2"/>
          </rPr>
          <t xml:space="preserve">
</t>
        </r>
        <r>
          <rPr>
            <b/>
            <sz val="8"/>
            <color indexed="53"/>
            <rFont val="Tahoma"/>
            <family val="2"/>
          </rPr>
          <t xml:space="preserve">2. </t>
        </r>
        <r>
          <rPr>
            <sz val="8"/>
            <color indexed="53"/>
            <rFont val="Tahoma"/>
            <family val="2"/>
          </rPr>
          <t xml:space="preserve">Reasonably maintained, but incomplete, paper or electronic accounting provides data to roughly estimate the basic operations costs (pumping power costs and treatment costs) and calculate a unit variable production cost.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 xml:space="preserve">4. </t>
        </r>
        <r>
          <rPr>
            <sz val="8"/>
            <color indexed="20"/>
            <rFont val="Tahoma"/>
            <family val="2"/>
          </rPr>
          <t xml:space="preserve">Electronic, industry-standard cost accounting system in place.  Electric power and treatment costs are reliably tracked and allow accurate calculation of unit variable production costs based on these two inputs only. All costs are audited internally on a periodic basis.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Pertinent additional costs beyond power and treatment (ex: liability, residuals management, etc.) are included in the unit variable production cost.  Data audited at least annually by utility personnel.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 xml:space="preserve">8. </t>
        </r>
        <r>
          <rPr>
            <sz val="8"/>
            <color indexed="12"/>
            <rFont val="Tahoma"/>
            <family val="2"/>
          </rPr>
          <t xml:space="preserve">Reliable electronic, industry-standard cost accounting system in place, with all pertinent variable production costs tracked.  Data audited at least annually by utility personnel, and periodically by third-party.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a) Third party CPA audit of all primary and secondary cost components on an annual basis.
or:
b) Water supply is entirely purchased as bulk imported water, and unit purchase cost serves as the variable production cost.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Andrew Chastain-Howley</author>
  </authors>
  <commentList>
    <comment ref="B5" authorId="0" shapeId="0" xr:uid="{D1655DFE-4A2A-45B6-846B-ED728BB6786A}">
      <text>
        <r>
          <rPr>
            <b/>
            <sz val="8"/>
            <color indexed="81"/>
            <rFont val="Tahoma"/>
            <family val="2"/>
          </rPr>
          <t>The volume of treated water input to that part of the water supply system to which the water balance relates. This can be from your own production facilities or bulk supplies from others.</t>
        </r>
        <r>
          <rPr>
            <sz val="8"/>
            <color indexed="81"/>
            <rFont val="Tahoma"/>
            <family val="2"/>
          </rPr>
          <t xml:space="preserve">
</t>
        </r>
      </text>
    </comment>
    <comment ref="D7" authorId="0" shapeId="0" xr:uid="{8169EBC0-2B3D-40D9-B396-C60DDDB98F59}">
      <text>
        <r>
          <rPr>
            <b/>
            <sz val="8"/>
            <color indexed="81"/>
            <rFont val="Tahoma"/>
            <family val="2"/>
          </rPr>
          <t>The volume of metered and/or unmetered water taken by registered customers who are authorized to do so by the water supplier. This also includes water exported across operational boundaries. Authorized consumption may include items such as fire fighting, training, flushing of mains and sewers, street cleaning, public fountains and gardens etc. These may be billed, unbilled, metered or unmetered.</t>
        </r>
      </text>
    </comment>
    <comment ref="E7" authorId="0" shapeId="0" xr:uid="{5D8214A3-C2BE-45B8-8559-B9B7ED05A017}">
      <text>
        <r>
          <rPr>
            <b/>
            <sz val="8"/>
            <color indexed="81"/>
            <rFont val="Tahoma"/>
            <family val="2"/>
          </rPr>
          <t>All consumption that is billed and authorized by the utility. This may include both metered and unmetered consumption.</t>
        </r>
      </text>
    </comment>
    <comment ref="F7" authorId="0" shapeId="0" xr:uid="{EA1233D5-3EA1-4E2B-BFBE-97FD70531B7F}">
      <text>
        <r>
          <rPr>
            <b/>
            <sz val="8"/>
            <color indexed="81"/>
            <rFont val="Tahoma"/>
            <family val="2"/>
          </rPr>
          <t>All metered consumption which is billed. This includes all groups of customers such as domestic, commercial, industrial or institutional and also includes water transferred across operational boundaries (water exported) which is metered and billed.</t>
        </r>
      </text>
    </comment>
    <comment ref="G7" authorId="0" shapeId="0" xr:uid="{A73D0B19-7114-4456-96E4-74A99413304E}">
      <text>
        <r>
          <rPr>
            <b/>
            <sz val="8"/>
            <color indexed="81"/>
            <rFont val="Tahoma"/>
            <family val="2"/>
          </rPr>
          <t>Water which provides revenue to the utility.</t>
        </r>
      </text>
    </comment>
    <comment ref="F9" authorId="0" shapeId="0" xr:uid="{ABCEB0DF-C226-4488-B671-529C5D6A27BE}">
      <text>
        <r>
          <rPr>
            <b/>
            <sz val="8"/>
            <color indexed="81"/>
            <rFont val="Tahoma"/>
            <family val="2"/>
          </rPr>
          <t>All billed consumption which is calculated based on estimates or norms, but is not metered. This might be a small component in fully metered systems (for example billing based on estimates for the period a customer meter is out of order) but can be the key consumption component in systems without universal metering. This component may also include water transferred across operational boundaries (water exported) which is unmetered, but billed.</t>
        </r>
      </text>
    </comment>
    <comment ref="E11" authorId="0" shapeId="0" xr:uid="{82FD85E0-34BD-47B6-9862-D4904AF186BB}">
      <text>
        <r>
          <rPr>
            <b/>
            <sz val="8"/>
            <color indexed="81"/>
            <rFont val="Tahoma"/>
            <family val="2"/>
          </rPr>
          <t xml:space="preserve">All consumption that is unbilled, but is still authorized by the utility. </t>
        </r>
      </text>
    </comment>
    <comment ref="F11" authorId="0" shapeId="0" xr:uid="{59103A69-8F0E-4B2A-81D6-BFB35DE7C2A7}">
      <text>
        <r>
          <rPr>
            <b/>
            <sz val="8"/>
            <color indexed="81"/>
            <rFont val="Tahoma"/>
            <family val="2"/>
          </rPr>
          <t>Metered consumption which is for any reason unbilled. This might for example include metered consumption of the utility itself or water or water provided to institutions free of charge, including water transferred across operational boundaries (water exported) which is metered but unbilled.</t>
        </r>
      </text>
    </comment>
    <comment ref="G11" authorId="0" shapeId="0" xr:uid="{DF3483B9-13F1-4610-93DA-7C735274D290}">
      <text>
        <r>
          <rPr>
            <b/>
            <sz val="8"/>
            <color indexed="81"/>
            <rFont val="Tahoma"/>
            <family val="2"/>
          </rPr>
          <t>Water which does not provide any revenue to the utility.</t>
        </r>
      </text>
    </comment>
    <comment ref="F13" authorId="0" shapeId="0" xr:uid="{04FE8B28-5E3C-45B2-9D10-35EC6275D074}">
      <text>
        <r>
          <rPr>
            <b/>
            <sz val="8"/>
            <color indexed="81"/>
            <rFont val="Tahoma"/>
            <family val="2"/>
          </rPr>
          <t>Any kind of Authorized Consumption which is neither billed nor metered. This component typically includes items such as fire fighting, flushing of mains and sewers, street cleaning, frost protection, etc. In a well run utility it is a small component which is often substantially overestimated. Theoretically this might also include water transferred across operational boundaries (water exported) which is unmetered and unbilled, but this is unlikely.</t>
        </r>
      </text>
    </comment>
    <comment ref="D15" authorId="0" shapeId="0" xr:uid="{8CC9B4A9-2345-42CD-B019-4ECDCA9E741A}">
      <text>
        <r>
          <rPr>
            <b/>
            <sz val="8"/>
            <color indexed="81"/>
            <rFont val="Tahoma"/>
            <family val="2"/>
          </rPr>
          <t>The difference between System Input volume and Authorized Consumption. Water losses can be considered as a total volume for the whole system, or for partial systems such as transmission or distribution schemes, or individual zones. Water losses consist of Real Losses and Apparent losses.</t>
        </r>
      </text>
    </comment>
    <comment ref="E15" authorId="0" shapeId="0" xr:uid="{EB346C16-46DA-4D48-A91C-684E48D6DECB}">
      <text>
        <r>
          <rPr>
            <b/>
            <sz val="8"/>
            <color indexed="81"/>
            <rFont val="Tahoma"/>
            <family val="2"/>
          </rPr>
          <t>Includes all types of inaccuracies associated with customer metering as well as data handling errors (meter reading and billing), plus unauthorized consumption (theft or illegal use). Note that over-registration of customer meters leads to under-estimation of Real Losses. Under-registration of customer meters leads to over-estimation of Real Losses.</t>
        </r>
      </text>
    </comment>
    <comment ref="F15" authorId="0" shapeId="0" xr:uid="{D27E50C1-8904-428E-9611-B71EF8740AC1}">
      <text>
        <r>
          <rPr>
            <b/>
            <sz val="8"/>
            <color indexed="81"/>
            <rFont val="Tahoma"/>
            <family val="2"/>
          </rPr>
          <t>Any unauthorized use of water. This may include illegal water use from hydrants (for example for construction purposes), illegal connections, bypasses to consumption meters or meter tampering.</t>
        </r>
      </text>
    </comment>
    <comment ref="F17" authorId="0" shapeId="0" xr:uid="{CEC74C1A-CEDE-42DD-81EA-430CEEB5C0AE}">
      <text>
        <r>
          <rPr>
            <b/>
            <sz val="8"/>
            <color indexed="81"/>
            <rFont val="Tahoma"/>
            <family val="2"/>
          </rPr>
          <t>Apparent water losses caused by customer meter inaccuracies.</t>
        </r>
      </text>
    </comment>
    <comment ref="F19" authorId="0" shapeId="0" xr:uid="{3DAD687D-35D2-4B91-8D91-F37E4FA9AA48}">
      <text>
        <r>
          <rPr>
            <b/>
            <sz val="8"/>
            <color indexed="81"/>
            <rFont val="Tahoma"/>
            <family val="2"/>
          </rPr>
          <t>Apparent water losses caused by data handling errors in the meter reading and billing system.</t>
        </r>
      </text>
    </comment>
    <comment ref="E21" authorId="0" shapeId="0" xr:uid="{D4737B19-B134-4DFC-BB8A-FE78B908DBF8}">
      <text>
        <r>
          <rPr>
            <b/>
            <sz val="8"/>
            <color indexed="81"/>
            <rFont val="Tahoma"/>
            <family val="2"/>
          </rPr>
          <t>Physical water losses from a pressurized system and the utilities storage tanks up to the point of customer use. In metered systems this is the customer meter. In unmetered systems this is the first point of use (the stop tap or tap) within the property. This is the annual volume lost through all types of leaks, bursts and overflows.</t>
        </r>
      </text>
    </comment>
    <comment ref="F21" authorId="0" shapeId="0" xr:uid="{BCBD850C-7554-4026-BBDB-675C8FF3E14B}">
      <text>
        <r>
          <rPr>
            <b/>
            <sz val="8"/>
            <color indexed="81"/>
            <rFont val="Tahoma"/>
            <family val="2"/>
          </rPr>
          <t>Physical water losses from a pressurized system up to the point of customer use. This is the annual volume lost through all types of leaks and bursts.</t>
        </r>
      </text>
    </comment>
    <comment ref="F23" authorId="0" shapeId="0" xr:uid="{6C81FE42-F427-4DB0-B194-FDEBEAF35D20}">
      <text>
        <r>
          <rPr>
            <b/>
            <sz val="8"/>
            <color indexed="81"/>
            <rFont val="Tahoma"/>
            <family val="2"/>
          </rPr>
          <t>Physical water losses from the utility's storage tanks.</t>
        </r>
      </text>
    </comment>
    <comment ref="F25" authorId="0" shapeId="0" xr:uid="{A24383AC-9963-4E4F-8BDF-CCF481DACA78}">
      <text>
        <r>
          <rPr>
            <b/>
            <sz val="8"/>
            <color indexed="81"/>
            <rFont val="Tahoma"/>
            <family val="2"/>
          </rPr>
          <t>Physical water losses from the utility's service lines between the distribution main (corporation stop) and the point of customer use (stop tap).</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David Sayers</author>
  </authors>
  <commentList>
    <comment ref="C3" authorId="0" shapeId="0" xr:uid="{7AA11518-32F0-4DF5-8D7B-37787C30AE03}">
      <text>
        <r>
          <rPr>
            <b/>
            <sz val="8"/>
            <color indexed="81"/>
            <rFont val="Tahoma"/>
            <family val="2"/>
          </rPr>
          <t xml:space="preserve">Grade captured from Reporting Worksheet
</t>
        </r>
        <r>
          <rPr>
            <sz val="8"/>
            <color indexed="81"/>
            <rFont val="Tahoma"/>
            <family val="2"/>
          </rPr>
          <t>If default is used, grading value is set to 3</t>
        </r>
      </text>
    </comment>
    <comment ref="D3" authorId="0" shapeId="0" xr:uid="{F5A708CB-59A7-4B43-A781-1C617AFBEE98}">
      <text>
        <r>
          <rPr>
            <b/>
            <sz val="8"/>
            <color indexed="81"/>
            <rFont val="Tahoma"/>
            <family val="2"/>
          </rPr>
          <t xml:space="preserve">Original Weighting suggested by Committee </t>
        </r>
        <r>
          <rPr>
            <sz val="8"/>
            <color indexed="81"/>
            <rFont val="Tahoma"/>
            <family val="2"/>
          </rPr>
          <t xml:space="preserve">
Weighting is set to 0 for those parameters where value is allowed to be zero (import / export / billed unmetered)</t>
        </r>
      </text>
    </comment>
    <comment ref="E3" authorId="0" shapeId="0" xr:uid="{D71BFCBB-F825-4DC3-B98D-0B0C75356F8C}">
      <text>
        <r>
          <rPr>
            <b/>
            <sz val="8"/>
            <color indexed="81"/>
            <rFont val="Tahoma"/>
            <family val="2"/>
          </rPr>
          <t>New weighting is calculated for each item - "rebasing" to 100</t>
        </r>
      </text>
    </comment>
    <comment ref="F3" authorId="0" shapeId="0" xr:uid="{195CEA0D-0BB4-4A67-A1B7-4BD9667DAFD0}">
      <text>
        <r>
          <rPr>
            <b/>
            <sz val="8"/>
            <color indexed="81"/>
            <rFont val="Tahoma"/>
            <family val="2"/>
          </rPr>
          <t>Creates "multiplier" for what each point (1-10) is worth</t>
        </r>
      </text>
    </comment>
    <comment ref="G3" authorId="0" shapeId="0" xr:uid="{DAA1F0D1-395F-41CD-BE29-38CB2069D115}">
      <text>
        <r>
          <rPr>
            <b/>
            <sz val="8"/>
            <color indexed="81"/>
            <rFont val="Tahoma"/>
            <family val="2"/>
          </rPr>
          <t xml:space="preserve">Calculates score (col C x col F) a perfect score will always = 100. </t>
        </r>
      </text>
    </comment>
    <comment ref="H3" authorId="0" shapeId="0" xr:uid="{DDCA59AB-9B47-4843-B85A-30B0EC9610AC}">
      <text>
        <r>
          <rPr>
            <b/>
            <sz val="8"/>
            <color indexed="81"/>
            <rFont val="Tahoma"/>
            <family val="2"/>
          </rPr>
          <t>Calcualates where most points were lost</t>
        </r>
      </text>
    </comment>
    <comment ref="I3" authorId="0" shapeId="0" xr:uid="{3EFB8191-9ABF-4F40-801A-2C69C607DAD3}">
      <text>
        <r>
          <rPr>
            <b/>
            <sz val="8"/>
            <color indexed="81"/>
            <rFont val="Tahoma"/>
            <family val="2"/>
          </rPr>
          <t>Unique ranking formula</t>
        </r>
        <r>
          <rPr>
            <sz val="8"/>
            <color indexed="81"/>
            <rFont val="Tahoma"/>
            <family val="2"/>
          </rPr>
          <t>; avoids limitation with Excel RANK() function of duplicate ranks</t>
        </r>
      </text>
    </comment>
    <comment ref="M3" authorId="0" shapeId="0" xr:uid="{92FAADC1-4A3D-444B-B6DF-1EB8CBEF1045}">
      <text>
        <r>
          <rPr>
            <b/>
            <sz val="8"/>
            <color indexed="81"/>
            <rFont val="Tahoma"/>
            <family val="2"/>
          </rPr>
          <t xml:space="preserve">Identifies if grade is required and has been missed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DavidSayers</author>
    <author>David Sayers</author>
  </authors>
  <commentList>
    <comment ref="E14" authorId="0" shapeId="0" xr:uid="{A57FA5C6-5955-4699-9D4B-4DEFBD5298B8}">
      <text>
        <r>
          <rPr>
            <b/>
            <sz val="8"/>
            <color indexed="81"/>
            <rFont val="Tahoma"/>
            <family val="2"/>
          </rPr>
          <t>n/a (not applicable).</t>
        </r>
        <r>
          <rPr>
            <sz val="8"/>
            <color indexed="81"/>
            <rFont val="Tahoma"/>
            <family val="2"/>
          </rPr>
          <t xml:space="preserve"> Select this grading only if the water utility purchases/imports all of its water resources (i.e. has no sources of its own)
</t>
        </r>
        <r>
          <rPr>
            <b/>
            <sz val="8"/>
            <color indexed="10"/>
            <rFont val="Tahoma"/>
            <family val="2"/>
          </rPr>
          <t>1.</t>
        </r>
        <r>
          <rPr>
            <sz val="8"/>
            <color indexed="10"/>
            <rFont val="Tahoma"/>
            <family val="2"/>
          </rPr>
          <t xml:space="preserve"> Less than 25% of treated water production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treated water production sources are metered; other sources estimated.  No regular meter accuracy testing.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50% - 75% of treated water production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treated water production sources are metered, or at least 90% of the source flow is derived from metered sources.  Meter accuracy testing and/or electronic calibration conducted annually.  Less than 25% of tested meters are found outside of +/- 6% accuracy.  </t>
        </r>
        <r>
          <rPr>
            <sz val="8"/>
            <color indexed="81"/>
            <rFont val="Tahoma"/>
            <family val="2"/>
          </rPr>
          <t xml:space="preserve">
</t>
        </r>
        <r>
          <rPr>
            <b/>
            <sz val="8"/>
            <color indexed="81"/>
            <rFont val="Tahoma"/>
            <family val="2"/>
          </rPr>
          <t xml:space="preserve">7. </t>
        </r>
        <r>
          <rPr>
            <sz val="8"/>
            <color indexed="81"/>
            <rFont val="Tahoma"/>
            <family val="2"/>
          </rPr>
          <t xml:space="preserve">Conditions between 6 and 8
</t>
        </r>
        <r>
          <rPr>
            <b/>
            <sz val="8"/>
            <color indexed="12"/>
            <rFont val="Tahoma"/>
            <family val="2"/>
          </rPr>
          <t>8.</t>
        </r>
        <r>
          <rPr>
            <sz val="8"/>
            <color indexed="12"/>
            <rFont val="Tahoma"/>
            <family val="2"/>
          </rPr>
          <t xml:space="preserve"> 100% of treated water production sources are metered, meter accuracy testing and electronic calibration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treated water production sources are metered, meter accuracy testing and electronic calibration conducted semi-annually, with less than 10% found outside of +/- 3% accuracy.</t>
        </r>
      </text>
    </comment>
    <comment ref="E15" authorId="0" shapeId="0" xr:uid="{4D3B46BD-053F-4AA6-BF49-99ED94B2E1FF}">
      <text>
        <r>
          <rPr>
            <b/>
            <sz val="8"/>
            <color indexed="81"/>
            <rFont val="Tahoma"/>
            <family val="2"/>
          </rPr>
          <t>n/a (not applicable).</t>
        </r>
        <r>
          <rPr>
            <sz val="8"/>
            <color indexed="81"/>
            <rFont val="Tahoma"/>
            <family val="2"/>
          </rPr>
          <t xml:space="preserve"> Select n/a only if the water utility fails to have meters on its sources of supply, either its own source, and/or imported (purchased) water sources 
</t>
        </r>
        <r>
          <rPr>
            <b/>
            <sz val="8"/>
            <color indexed="10"/>
            <rFont val="Tahoma"/>
            <family val="2"/>
          </rPr>
          <t>1.</t>
        </r>
        <r>
          <rPr>
            <sz val="8"/>
            <color indexed="10"/>
            <rFont val="Tahoma"/>
            <family val="2"/>
          </rPr>
          <t xml:space="preserve"> Inventory information on meters and paper records of measured volumes in crude condition; data error cannot be determined </t>
        </r>
        <r>
          <rPr>
            <sz val="8"/>
            <color indexed="81"/>
            <rFont val="Tahoma"/>
            <family val="2"/>
          </rPr>
          <t xml:space="preserve">
</t>
        </r>
        <r>
          <rPr>
            <b/>
            <sz val="8"/>
            <color indexed="53"/>
            <rFont val="Tahoma"/>
            <family val="2"/>
          </rPr>
          <t>2.</t>
        </r>
        <r>
          <rPr>
            <sz val="8"/>
            <color indexed="53"/>
            <rFont val="Tahoma"/>
            <family val="2"/>
          </rPr>
          <t xml:space="preserve"> No automatic datalogging of production volumes; daily readings are scribed on paper records.  Tank/storage elevation changes are not employed in calculating "Volume from own sources" component.</t>
        </r>
        <r>
          <rPr>
            <sz val="8"/>
            <color indexed="81"/>
            <rFont val="Tahoma"/>
            <family val="2"/>
          </rPr>
          <t xml:space="preserve">  </t>
        </r>
        <r>
          <rPr>
            <sz val="8"/>
            <color indexed="53"/>
            <rFont val="Tahoma"/>
            <family val="2"/>
          </rPr>
          <t>Data is adjusted only when grossly evident data error occurs.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Production meter data is logged automatically in electronic format and reviewed at least on a monthly basis.  "Volume from own sources" tabulations include estimate of daily changes in tanks/storage facilities.  Meter data is adjusted when gross data errors occur, or occasional meter testing deems this necessary.</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Hourly production meter data logged automatically &amp; reviewed on at least a weekly basis.  Data adjusted to correct gross error from equipment malfunction and error confirmed by meter accuracy testing.  Tank/storage facility elevation changes are automatically used in calculating a balanced "Volume from own sources" component.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Continuous production meter data logged automatically &amp; reviewed daily.  Data adjusted to correct gross error from equipment malfunction &amp; results of meter accuracy testing.  Tank/storage facility elevation changes are automatically used in "Volume from own sources" tabulations.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Computerized system (SCADA or similar) automatically balances flows from all sources and storages; results reviewed daily.  Mass balance technique compares production meter data to raw (untreated) water and treatment volumes to detect anomalies.  Regular calibrations between SCADA and sources meters ensures minimal data transfer error.  </t>
        </r>
        <r>
          <rPr>
            <sz val="8"/>
            <color indexed="81"/>
            <rFont val="Tahoma"/>
            <family val="2"/>
          </rPr>
          <t xml:space="preserve">
</t>
        </r>
      </text>
    </comment>
    <comment ref="E16" authorId="0" shapeId="0" xr:uid="{A9895A31-BC8A-4D20-9A74-360B6E647EF6}">
      <text>
        <r>
          <rPr>
            <b/>
            <sz val="8"/>
            <color indexed="81"/>
            <rFont val="Tahoma"/>
            <family val="2"/>
          </rPr>
          <t>n/a (not applicable).</t>
        </r>
        <r>
          <rPr>
            <sz val="8"/>
            <color indexed="81"/>
            <rFont val="Tahoma"/>
            <family val="2"/>
          </rPr>
          <t xml:space="preserve"> Select n/a if the water utility's supply is exclusively from its own water resources (no bulk purchased/ imported water)
</t>
        </r>
        <r>
          <rPr>
            <b/>
            <sz val="8"/>
            <color indexed="10"/>
            <rFont val="Tahoma"/>
            <family val="2"/>
          </rPr>
          <t xml:space="preserve">1. </t>
        </r>
        <r>
          <rPr>
            <sz val="8"/>
            <color indexed="10"/>
            <rFont val="Tahoma"/>
            <family val="2"/>
          </rPr>
          <t>Less than 25% of imported water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imported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50% - 75% of imported water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imported water sources are metered, meter accuracy testing and/or electronic calibration conducted annually.  Less than 25% of tested meters are found outside of +/- 6% accuracy.</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100% of imported water sources are metered, meter accuracy testing and/or electronic calibration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imported water sources are metered, meter accuracy testing and/or electronic calibration conducted semi-annually, with less than 10% found outside of +/- 3% accuracy.     </t>
        </r>
        <r>
          <rPr>
            <sz val="8"/>
            <color indexed="81"/>
            <rFont val="Tahoma"/>
            <family val="2"/>
          </rPr>
          <t xml:space="preserve">
</t>
        </r>
      </text>
    </comment>
    <comment ref="E17" authorId="0" shapeId="0" xr:uid="{751CD08B-5CA4-45C9-B668-CD0E930EED10}">
      <text>
        <r>
          <rPr>
            <b/>
            <sz val="8"/>
            <color indexed="81"/>
            <rFont val="Tahoma"/>
            <family val="2"/>
          </rPr>
          <t xml:space="preserve">n/a (not applicable). </t>
        </r>
        <r>
          <rPr>
            <sz val="8"/>
            <color indexed="81"/>
            <rFont val="Tahoma"/>
            <family val="2"/>
          </rPr>
          <t xml:space="preserve">Select n/a if the water utility sells no bulk water to neighboring water utilities (no exported water sales)
</t>
        </r>
        <r>
          <rPr>
            <b/>
            <sz val="8"/>
            <color indexed="10"/>
            <rFont val="Tahoma"/>
            <family val="2"/>
          </rPr>
          <t>1.</t>
        </r>
        <r>
          <rPr>
            <sz val="8"/>
            <color indexed="10"/>
            <rFont val="Tahoma"/>
            <family val="2"/>
          </rPr>
          <t xml:space="preserve"> Less than 25% of exported water sources are metered, remaining sources are estimated.  No regular meter accuracy testing.</t>
        </r>
        <r>
          <rPr>
            <sz val="8"/>
            <color indexed="81"/>
            <rFont val="Tahoma"/>
            <family val="2"/>
          </rPr>
          <t xml:space="preserve">
</t>
        </r>
        <r>
          <rPr>
            <b/>
            <sz val="8"/>
            <color indexed="53"/>
            <rFont val="Tahoma"/>
            <family val="2"/>
          </rPr>
          <t xml:space="preserve">2. </t>
        </r>
        <r>
          <rPr>
            <sz val="8"/>
            <color indexed="53"/>
            <rFont val="Tahoma"/>
            <family val="2"/>
          </rPr>
          <t xml:space="preserve">25% - 50% of exported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50% - 75% of exported water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exported water sources are metered, meter accuracy testing and/or electronic calibration conducted annually.  Less than 25% of tested meters are found outside of +/- 6% accuracy.</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 xml:space="preserve">8. </t>
        </r>
        <r>
          <rPr>
            <sz val="8"/>
            <color indexed="12"/>
            <rFont val="Tahoma"/>
            <family val="2"/>
          </rPr>
          <t>100% of exported water sources are metered, meter accuracy testing and/or electronic calibration conducted annually, less than 10% of meters are found outside of +/- 6% accuracy</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 xml:space="preserve">10. </t>
        </r>
        <r>
          <rPr>
            <sz val="8"/>
            <color indexed="17"/>
            <rFont val="Tahoma"/>
            <family val="2"/>
          </rPr>
          <t xml:space="preserve">100% of exported water sources are metered, meter accuracy testing and/or electronic calibration conducted semi-annually, with less than 10% found outside of +/- 3% accuracy.     </t>
        </r>
        <r>
          <rPr>
            <sz val="8"/>
            <color indexed="81"/>
            <rFont val="Tahoma"/>
            <family val="2"/>
          </rPr>
          <t xml:space="preserve">
</t>
        </r>
      </text>
    </comment>
    <comment ref="E23" authorId="0" shapeId="0" xr:uid="{C0AF7D2E-082A-430A-B7C4-109FDBFA3D12}">
      <text>
        <r>
          <rPr>
            <b/>
            <sz val="8"/>
            <color indexed="81"/>
            <rFont val="Tahoma"/>
            <family val="2"/>
          </rPr>
          <t>n/a (not applicable).</t>
        </r>
        <r>
          <rPr>
            <sz val="8"/>
            <color indexed="81"/>
            <rFont val="Tahoma"/>
            <family val="2"/>
          </rPr>
          <t xml:space="preserve"> Select n/a only if the entire customer population is not metered and is billed for water service on a flat or fixed rate basis. In such a case the volume entered must be zero.</t>
        </r>
        <r>
          <rPr>
            <sz val="8"/>
            <color indexed="81"/>
            <rFont val="Tahoma"/>
            <family val="2"/>
          </rPr>
          <t xml:space="preserve">
</t>
        </r>
        <r>
          <rPr>
            <b/>
            <sz val="8"/>
            <color indexed="10"/>
            <rFont val="Tahoma"/>
            <family val="2"/>
          </rPr>
          <t xml:space="preserve">1. </t>
        </r>
        <r>
          <rPr>
            <sz val="8"/>
            <color indexed="10"/>
            <rFont val="Tahoma"/>
            <family val="2"/>
          </rPr>
          <t>Less than 50% of customers with volume-based billings from meter readings; flat or fixed rate billed for the majority of the customer population</t>
        </r>
        <r>
          <rPr>
            <sz val="8"/>
            <color indexed="81"/>
            <rFont val="Tahoma"/>
            <family val="2"/>
          </rPr>
          <t xml:space="preserve">
</t>
        </r>
        <r>
          <rPr>
            <b/>
            <sz val="8"/>
            <color indexed="53"/>
            <rFont val="Tahoma"/>
            <family val="2"/>
          </rPr>
          <t>2.</t>
        </r>
        <r>
          <rPr>
            <sz val="8"/>
            <color indexed="53"/>
            <rFont val="Tahoma"/>
            <family val="2"/>
          </rPr>
          <t xml:space="preserve"> At least 50% of customers with volume-based billing from meter reads; flat rate billed for others.  Manual meter reading, under 50% read success rate, remainder estimated.  Limited meter records, no regular meter testing or replacement.  Billing data maintained on paper records, with no auditing.</t>
        </r>
        <r>
          <rPr>
            <sz val="8"/>
            <color indexed="81"/>
            <rFont val="Tahoma"/>
            <family val="2"/>
          </rPr>
          <t xml:space="preserve">
</t>
        </r>
        <r>
          <rPr>
            <b/>
            <sz val="8"/>
            <color indexed="81"/>
            <rFont val="Tahoma"/>
            <family val="2"/>
          </rPr>
          <t>3.</t>
        </r>
        <r>
          <rPr>
            <sz val="8"/>
            <color indexed="81"/>
            <rFont val="Tahoma"/>
            <family val="2"/>
          </rPr>
          <t xml:space="preserve"> Conditions between 2 and 4</t>
        </r>
        <r>
          <rPr>
            <sz val="8"/>
            <color indexed="81"/>
            <rFont val="Tahoma"/>
            <family val="2"/>
          </rPr>
          <t xml:space="preserve">
</t>
        </r>
        <r>
          <rPr>
            <b/>
            <sz val="8"/>
            <color indexed="20"/>
            <rFont val="Tahoma"/>
            <family val="2"/>
          </rPr>
          <t>4.</t>
        </r>
        <r>
          <rPr>
            <sz val="8"/>
            <color indexed="20"/>
            <rFont val="Tahoma"/>
            <family val="2"/>
          </rPr>
          <t xml:space="preserve"> At least 75% of customers with volume-based billing from meter reads; flat or fixed rate billed for remainder.  Manual meter reading used, at least 50% meter read success rate, failed reads are estimated.  Purchase records verify age of customer meters; only very limited meter accuracy testing is conducted.  Customer meters replaced only upon complete failure.  Computerized billing records, but only periodic internal auditing conducted.</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90% of customers with volume-based billing from meter reads; remaining accounts are estimated.  Manual customer meter reading gives at least 80% customer meter reading success rate, failed reads are estimated.  Good customer meter records, limited meter accuracy testing, regular replacement of oldest meters.  Computerized billing records with routine auditing of global statistics.</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At least 97% of customers with volume-based billing from meter reads.  At least 90% customer meter read success rate; or minimum 80% read success rate with planning and budgeting for trials of Automatic Metering Reading (AMR) in one or more pilot areas.  Good customer meter records. Regular meter accuracy testing guides replacement of statistically significant number of meters each year.  Routine auditing of computerized billing records for global and detailed statistics; verified periodically by third party.
</t>
        </r>
        <r>
          <rPr>
            <b/>
            <sz val="8"/>
            <color indexed="81"/>
            <rFont val="Tahoma"/>
            <family val="2"/>
          </rPr>
          <t>9.</t>
        </r>
        <r>
          <rPr>
            <sz val="8"/>
            <color indexed="81"/>
            <rFont val="Tahoma"/>
            <family val="2"/>
          </rPr>
          <t xml:space="preserve"> Conditions between 8 and 10</t>
        </r>
        <r>
          <rPr>
            <sz val="8"/>
            <color indexed="81"/>
            <rFont val="Tahoma"/>
            <family val="2"/>
          </rPr>
          <t xml:space="preserve">
</t>
        </r>
        <r>
          <rPr>
            <b/>
            <sz val="8"/>
            <color indexed="17"/>
            <rFont val="Tahoma"/>
            <family val="2"/>
          </rPr>
          <t>10.</t>
        </r>
        <r>
          <rPr>
            <sz val="8"/>
            <color indexed="17"/>
            <rFont val="Tahoma"/>
            <family val="2"/>
          </rPr>
          <t xml:space="preserve"> At least 99% of customers with volume-based billing from meter reads.  At least 95% customer meter reading success rate; or minimum 80% meter reading success rate, with Automatic Meter Reading (AMR) trials underway.  Statistically significant customer meter testing and replacement program in place.  Computerized billing with routine, detailed auditing, including field investigation of representative sample of accounts.  Annual audit verification by third party.</t>
        </r>
        <r>
          <rPr>
            <sz val="8"/>
            <color indexed="81"/>
            <rFont val="Tahoma"/>
            <family val="2"/>
          </rPr>
          <t xml:space="preserve">
</t>
        </r>
      </text>
    </comment>
    <comment ref="E24" authorId="0" shapeId="0" xr:uid="{3929F078-EDE6-4288-BA40-F05F28D4ADAE}">
      <text>
        <r>
          <rPr>
            <b/>
            <sz val="8"/>
            <color indexed="81"/>
            <rFont val="Tahoma"/>
            <family val="2"/>
          </rPr>
          <t>n/a (not applicable).</t>
        </r>
        <r>
          <rPr>
            <sz val="8"/>
            <color indexed="81"/>
            <rFont val="Tahoma"/>
            <family val="2"/>
          </rPr>
          <t xml:space="preserve"> Select n/a if it is the policy of the water utility to meter all customer connections and it has been confirmed by detailed auditing that all customers do indeed have a water meter; i.e. no unmetered accounts exist. In such a case the volume entered must be zero.
</t>
        </r>
        <r>
          <rPr>
            <b/>
            <sz val="8"/>
            <color indexed="10"/>
            <rFont val="Tahoma"/>
            <family val="2"/>
          </rPr>
          <t>1.</t>
        </r>
        <r>
          <rPr>
            <sz val="8"/>
            <color indexed="10"/>
            <rFont val="Tahoma"/>
            <family val="2"/>
          </rPr>
          <t xml:space="preserve"> Water utility policy does not require customer metering; flat or fixed fee billed.  No data collected on customer consumption.  Only estimates available are derived from data estimation methods using average fixture count multiplied by number of connections, or similar approach.</t>
        </r>
        <r>
          <rPr>
            <sz val="8"/>
            <color indexed="81"/>
            <rFont val="Tahoma"/>
            <family val="2"/>
          </rPr>
          <t xml:space="preserve">
</t>
        </r>
        <r>
          <rPr>
            <b/>
            <sz val="8"/>
            <color indexed="53"/>
            <rFont val="Tahoma"/>
            <family val="2"/>
          </rPr>
          <t>2.</t>
        </r>
        <r>
          <rPr>
            <sz val="8"/>
            <color indexed="53"/>
            <rFont val="Tahoma"/>
            <family val="2"/>
          </rPr>
          <t xml:space="preserve"> Water utility policy does not require customer metering; flat or fixed fee billed.  Some metered accounts exist in parts of the system (pilot areas or District Metered Areas) with consumption recorded on portable dataloggers.  Data from these sample meters are used to infer consumption for the total customer population.  Site specific estimation methods are used for unusual buildings/water uses.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Water utility policy does require metering and volume based billing but lacks written procedures and employs casual oversight, resulting in up to 20% of billed accounts believed to be unmetered.  A rough estimate of  the annual consumption for all unmetered accounts is included in the annual water audit, with no inspection of individual unmetered accounts.</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Water utility policy does require metering and volume based billing but exemption exist for a portion of accounts such as municipal buildings.  As many as 15% of billed accounts are unmetered due to this exemption or meter installation difficulties.  Only a group estimate of annual consumption for all unmetered accounts is included in the annual water audit, with no inspection of individual unmetered accounts.</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Water utility policy requires metering and volume based billing for all customer accounts.  However, less than 5% of billed accounts remain unmetered because because installation is hindered by unusual circumstances.  The goal is to minimize the number of unmetered accounts.  Reliable estimates of consumption are obtained for unmetered accounts via site specific estimation methods.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Water utility policy requires metering and volume based billing for all customer accounts.  Less than 2% of billed accounts are unmetered and exist because meter installation is hindered by unusual circumstances.  The goal exists to minimize the number of unmetered accounts to the extent that is economical.  Reliable estimates of consumption are obtained at these accounts via site specific estimation methods.</t>
        </r>
        <r>
          <rPr>
            <sz val="8"/>
            <color indexed="81"/>
            <rFont val="Tahoma"/>
            <family val="2"/>
          </rPr>
          <t xml:space="preserve">
</t>
        </r>
      </text>
    </comment>
    <comment ref="E25" authorId="0" shapeId="0" xr:uid="{94AA00BE-6287-4843-8F4F-9A16B3F67F8E}">
      <text>
        <r>
          <rPr>
            <b/>
            <sz val="8"/>
            <color indexed="81"/>
            <rFont val="Tahoma"/>
            <family val="2"/>
          </rPr>
          <t>n/a (not applicable).</t>
        </r>
        <r>
          <rPr>
            <sz val="8"/>
            <color indexed="81"/>
            <rFont val="Tahoma"/>
            <family val="2"/>
          </rPr>
          <t xml:space="preserve"> select n/a if all billing-exempt consumption is unmetered.  
</t>
        </r>
        <r>
          <rPr>
            <b/>
            <sz val="8"/>
            <color indexed="10"/>
            <rFont val="Tahoma"/>
            <family val="2"/>
          </rPr>
          <t>1.</t>
        </r>
        <r>
          <rPr>
            <sz val="8"/>
            <color indexed="10"/>
            <rFont val="Tahoma"/>
            <family val="2"/>
          </rPr>
          <t xml:space="preserve"> Billing practices exempt certain accounts, such as municipal buildings, but written policies do not exist; and a reliable count of unbilled metered accounts is unavailable.  Meter upkeep and meter reading on these accounts is rare and not considered a priority.  Due to poor recordkeeping and lack of auditing, water consumption for all such accounts is purely guesstimated. </t>
        </r>
        <r>
          <rPr>
            <sz val="8"/>
            <color indexed="81"/>
            <rFont val="Tahoma"/>
            <family val="2"/>
          </rPr>
          <t xml:space="preserve">      
</t>
        </r>
        <r>
          <rPr>
            <b/>
            <sz val="8"/>
            <color indexed="53"/>
            <rFont val="Tahoma"/>
            <family val="2"/>
          </rPr>
          <t>2.</t>
        </r>
        <r>
          <rPr>
            <sz val="8"/>
            <color indexed="53"/>
            <rFont val="Tahoma"/>
            <family val="2"/>
          </rPr>
          <t xml:space="preserve"> Billing practices exempt certain accounts, such as municipal buildings, but only scattered, dated written directives exist to justify this practice.  A reliable count of unbilled metered accounts is unavailable.  Sporadic meter replacement and meter reading occurs on an as-needed basis.  The total annual water consumption for all unbilled, metered accounts is estimated based upon approximating the number of accounts and assigning consumption from actively billed accounts of same meter size.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Dated written procedures permit billing exemption for specific accounts, such as municipal properties, but are unclear regarding certain other types of accounts.  Meter reading is given low priority and is sporadic.   Consumption is quantified from meter readings where available.  The total number of unbilled, unmetered accounts must be estimated along with consumption volumes.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Written policies regarding billing exemptions exist but adherence in practice is questionable.  Metering and meter reading for municipal buildings is reliable but sporadic for other unbilled metered accounts.  Periodic auditing of such accounts is conducted.  Water consumption is quantified directly from meter readings where available, but the majority of the consumption is estimated.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Written policy identifies the types of accounts granted a billing exemption.  Customer meter management and meter reading are considered secondary priorities, but meter reading is conducted at least annually to obtain consumption volumes for the annual water audit.  High level auditing of billing records ensures that a reliable census of such accounts exists.</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10.</t>
        </r>
        <r>
          <rPr>
            <sz val="8"/>
            <color indexed="17"/>
            <rFont val="Tahoma"/>
            <family val="2"/>
          </rPr>
          <t xml:space="preserve"> Clearly written policy identifies the types of accounts given a billing exemption, with emphasis on keeping such accounts to a minimum.  Customer meter management and meter reading for these accounts is given proper priority and is reliably conducted.  Regular auditing confirms this.  Total water consumption for these accounts is taken from reliable readings from accurate meters. </t>
        </r>
        <r>
          <rPr>
            <sz val="8"/>
            <color indexed="81"/>
            <rFont val="Tahoma"/>
            <family val="2"/>
          </rPr>
          <t xml:space="preserve">        
</t>
        </r>
      </text>
    </comment>
    <comment ref="E26" authorId="0" shapeId="0" xr:uid="{0C564047-4C69-4CB5-BC79-E4B4A9FF9AC2}">
      <text>
        <r>
          <rPr>
            <b/>
            <sz val="8"/>
            <color indexed="10"/>
            <rFont val="Tahoma"/>
            <family val="2"/>
          </rPr>
          <t>1.</t>
        </r>
        <r>
          <rPr>
            <sz val="8"/>
            <color indexed="10"/>
            <rFont val="Tahoma"/>
            <family val="2"/>
          </rPr>
          <t xml:space="preserve"> Extent of unbilled, unmetered consumption is unknown due to unclear policies and poor recordkeeping.  Total consumption is quantified based upon a purely subjective estimate.  </t>
        </r>
        <r>
          <rPr>
            <sz val="8"/>
            <color indexed="81"/>
            <rFont val="Tahoma"/>
            <family val="2"/>
          </rPr>
          <t xml:space="preserve">
</t>
        </r>
        <r>
          <rPr>
            <b/>
            <sz val="8"/>
            <color indexed="53"/>
            <rFont val="Tahoma"/>
            <family val="2"/>
          </rPr>
          <t>2.</t>
        </r>
        <r>
          <rPr>
            <sz val="8"/>
            <color indexed="53"/>
            <rFont val="Tahoma"/>
            <family val="2"/>
          </rPr>
          <t xml:space="preserve"> Clear extent of unbilled, unmetered consumption is unknown, but a number of events are randomly documented each year, confirming existence of such consumption, but without sufficient documentation to quantify an accurate estimate of the annual volume consumed.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Extent of unbilled, unmetered consumption is partially known, and procedures exist to document certain events such as miscellaneous fire hydrant uses.  Formulae is used to quantify the consumption from such events (time running x typical flowrate x number of  events).  </t>
        </r>
        <r>
          <rPr>
            <sz val="8"/>
            <color indexed="81"/>
            <rFont val="Tahoma"/>
            <family val="2"/>
          </rPr>
          <t xml:space="preserve">
</t>
        </r>
        <r>
          <rPr>
            <b/>
            <sz val="8"/>
            <color indexed="81"/>
            <rFont val="Tahoma"/>
            <family val="2"/>
          </rPr>
          <t>5.</t>
        </r>
        <r>
          <rPr>
            <sz val="8"/>
            <color indexed="81"/>
            <rFont val="Tahoma"/>
            <family val="2"/>
          </rPr>
          <t xml:space="preserve"> Default value of 1.25% of system input volume is employed
</t>
        </r>
        <r>
          <rPr>
            <b/>
            <sz val="8"/>
            <color indexed="62"/>
            <rFont val="Tahoma"/>
            <family val="2"/>
          </rPr>
          <t xml:space="preserve">6. </t>
        </r>
        <r>
          <rPr>
            <sz val="8"/>
            <color indexed="62"/>
            <rFont val="Tahoma"/>
            <family val="2"/>
          </rPr>
          <t xml:space="preserve">Coherent policies exist for some forms of unbilled, unmetered consumption but others await closer evaluation. Reasonable recordkeeping for the managed uses exists and allows for annual volumes to be quantified by inference, but unsupervised uses are guesstimated.
</t>
        </r>
        <r>
          <rPr>
            <b/>
            <sz val="8"/>
            <color indexed="62"/>
            <rFont val="Tahoma"/>
            <family val="2"/>
          </rPr>
          <t>7.</t>
        </r>
        <r>
          <rPr>
            <sz val="8"/>
            <color indexed="62"/>
            <rFont val="Tahoma"/>
            <family val="2"/>
          </rPr>
          <t xml:space="preserve"> Conditions between 6 and 8</t>
        </r>
        <r>
          <rPr>
            <sz val="8"/>
            <color indexed="81"/>
            <rFont val="Tahoma"/>
            <family val="2"/>
          </rPr>
          <t xml:space="preserve">
</t>
        </r>
        <r>
          <rPr>
            <b/>
            <sz val="8"/>
            <color indexed="12"/>
            <rFont val="Tahoma"/>
            <family val="2"/>
          </rPr>
          <t xml:space="preserve">8. </t>
        </r>
        <r>
          <rPr>
            <sz val="8"/>
            <color indexed="12"/>
            <rFont val="Tahoma"/>
            <family val="2"/>
          </rPr>
          <t>Clear policies and good recordkeeping exist for some uses (ex: unmetered fire connections registering consumption), but other uses (ex: miscellaneous uses of fire hydrants) have limited oversight.  Total consumption is a mix of well quantified use such as from formulae (time x typical flow) or temporary meters, and relatively subjective estimates of less regulated use.</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10.</t>
        </r>
        <r>
          <rPr>
            <sz val="8"/>
            <color indexed="17"/>
            <rFont val="Tahoma"/>
            <family val="2"/>
          </rPr>
          <t xml:space="preserve"> Clear policies exist to identify permitted use of water in unbilled, unmetered fashion, with the intention of minimizing this type of consumption.  Good records document each occurrence and consumption is quantified via formulae (time x typical flow) or use of temporary meters.</t>
        </r>
        <r>
          <rPr>
            <sz val="8"/>
            <color indexed="81"/>
            <rFont val="Tahoma"/>
            <family val="2"/>
          </rPr>
          <t xml:space="preserve">
</t>
        </r>
      </text>
    </comment>
    <comment ref="J26" authorId="1" shapeId="0" xr:uid="{95644C39-A9A4-4DC1-913B-B3DB93A1DDFC}">
      <text>
        <r>
          <rPr>
            <b/>
            <sz val="8"/>
            <color indexed="81"/>
            <rFont val="Tahoma"/>
            <family val="2"/>
          </rPr>
          <t>Selecting the default percentage option will automatically assign a grading of 5 for this audit component</t>
        </r>
      </text>
    </comment>
    <comment ref="E38" authorId="0" shapeId="0" xr:uid="{5E0451B7-EE34-4DAA-B7AF-C1212EEF3CF8}">
      <text>
        <r>
          <rPr>
            <b/>
            <sz val="8"/>
            <color indexed="10"/>
            <rFont val="Tahoma"/>
            <family val="2"/>
          </rPr>
          <t>1.</t>
        </r>
        <r>
          <rPr>
            <sz val="8"/>
            <color indexed="10"/>
            <rFont val="Tahoma"/>
            <family val="2"/>
          </rPr>
          <t xml:space="preserve"> Extent of unauthorized consumption is unknown due to unclear policies and poor recordkeeping.  Total unauthorized consumption is guesstimated.  </t>
        </r>
        <r>
          <rPr>
            <sz val="8"/>
            <color indexed="81"/>
            <rFont val="Tahoma"/>
            <family val="2"/>
          </rPr>
          <t xml:space="preserve">
</t>
        </r>
        <r>
          <rPr>
            <b/>
            <sz val="8"/>
            <color indexed="53"/>
            <rFont val="Tahoma"/>
            <family val="2"/>
          </rPr>
          <t>2.</t>
        </r>
        <r>
          <rPr>
            <sz val="8"/>
            <color indexed="53"/>
            <rFont val="Tahoma"/>
            <family val="2"/>
          </rPr>
          <t xml:space="preserve"> Unauthorized consumption is a known occurrence, but its extent is a mystery.  There are no requirements to document observed events, but periodic field reports capture some of these occurrences.  Total unauthorized consumption is approximated from this limited data.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Procedures exist to document some unauthorized consumption such as observed unauthorized fire hydrant openings.  Use formulae to quantify this consumption (time running x typical flowrate x number of  events).  </t>
        </r>
        <r>
          <rPr>
            <sz val="8"/>
            <color indexed="81"/>
            <rFont val="Tahoma"/>
            <family val="2"/>
          </rPr>
          <t xml:space="preserve">
</t>
        </r>
        <r>
          <rPr>
            <b/>
            <sz val="8"/>
            <color indexed="81"/>
            <rFont val="Tahoma"/>
            <family val="2"/>
          </rPr>
          <t>5.</t>
        </r>
        <r>
          <rPr>
            <sz val="8"/>
            <color indexed="81"/>
            <rFont val="Tahoma"/>
            <family val="2"/>
          </rPr>
          <t xml:space="preserve"> Default value of 0.25% of system input volume is employed
</t>
        </r>
        <r>
          <rPr>
            <b/>
            <sz val="8"/>
            <color indexed="62"/>
            <rFont val="Tahoma"/>
            <family val="2"/>
          </rPr>
          <t xml:space="preserve">6. </t>
        </r>
        <r>
          <rPr>
            <sz val="8"/>
            <color indexed="62"/>
            <rFont val="Tahoma"/>
            <family val="2"/>
          </rPr>
          <t>Coherent policies exist for some forms of unauthorized consumption but others await closer evaluation. Reasonable surveillance and recordkeeping exist for occurrences that fall under the policy.  Volumes quantified by inference from these records.  Unsupervised uses are guesstimated.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 policies and good recordkeeping exist for certain events (ex: tampering with water meters); other occurrences have limited oversight.  Total consumption is a combination of volumes from formulae (time x typical flow) and subjective estimates of unconfirmed consumption.</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Clear policies exist to identify all known unauthorized uses of water.  Staff and procedures exist to provide enforcement of policies and detect violations.  Each occurrence is quantified via formulae (time x typical flow) or similar methods.</t>
        </r>
        <r>
          <rPr>
            <sz val="8"/>
            <color indexed="81"/>
            <rFont val="Tahoma"/>
            <family val="2"/>
          </rPr>
          <t xml:space="preserve">  
</t>
        </r>
      </text>
    </comment>
    <comment ref="J38" authorId="1" shapeId="0" xr:uid="{18EC2AE5-ED48-4F11-B1B2-92C45B10FB17}">
      <text>
        <r>
          <rPr>
            <b/>
            <sz val="8"/>
            <color indexed="81"/>
            <rFont val="Tahoma"/>
            <family val="2"/>
          </rPr>
          <t>Selecting the default percentage option will automatically assign a grading of 5 for this audit component</t>
        </r>
      </text>
    </comment>
    <comment ref="E42" authorId="0" shapeId="0" xr:uid="{208DD057-0DD5-4FE9-9AFE-655157C35951}">
      <text>
        <r>
          <rPr>
            <b/>
            <sz val="8"/>
            <color indexed="81"/>
            <rFont val="Tahoma"/>
            <family val="2"/>
          </rPr>
          <t>n/a (not applicable).</t>
        </r>
        <r>
          <rPr>
            <sz val="8"/>
            <color indexed="81"/>
            <rFont val="Tahoma"/>
            <family val="2"/>
          </rPr>
          <t xml:space="preserve"> select n/a only if the entire customer population is unmetered. In such a case the volume entered must be zero.
</t>
        </r>
        <r>
          <rPr>
            <b/>
            <sz val="8"/>
            <color indexed="10"/>
            <rFont val="Tahoma"/>
            <family val="2"/>
          </rPr>
          <t>1.</t>
        </r>
        <r>
          <rPr>
            <sz val="8"/>
            <color indexed="10"/>
            <rFont val="Tahoma"/>
            <family val="2"/>
          </rPr>
          <t xml:space="preserve"> Customer meters exist, but with unorganized paper records on meters; no meter accuracy testing or meter replacement program.  Workflow is driven chaotically by customer complaints with no proactive management.  Loss volume due to aggregate meter inaccuracy is guesstimated.</t>
        </r>
        <r>
          <rPr>
            <sz val="8"/>
            <color indexed="81"/>
            <rFont val="Tahoma"/>
            <family val="2"/>
          </rPr>
          <t xml:space="preserve">
</t>
        </r>
        <r>
          <rPr>
            <b/>
            <sz val="8"/>
            <color indexed="53"/>
            <rFont val="Tahoma"/>
            <family val="2"/>
          </rPr>
          <t>2.</t>
        </r>
        <r>
          <rPr>
            <sz val="8"/>
            <color indexed="53"/>
            <rFont val="Tahoma"/>
            <family val="2"/>
          </rPr>
          <t xml:space="preserve"> Poor recordkeeping and meter oversight is recognized by water utility management who has allotted staff and funding resources to organize improved recordkeeping and start meter accuracy testing.  Existing paper records gathered and organized to provide cursory disposition of meter population.</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Reliable recordkeeping exists; meter information is improving as meters are replaced.    Meter accuracy testing is conducted annually for a small number of meters.  Limited number of oldest meters replaced each year.  Inaccuracy volume is largely an estimate, but refined based upon limited testing data.</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 reliable electronic recordkeeping system for meters exists.  Population includes a mix of new high performing meters and dated meters with suspect accuracy.  Routine, but limited, meter accuracy testing and meter replacement occur.  Inaccuracy volume is quantified using a mix of reliable and less certain data.</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Ongoing meter replacement and accuracy testing result in highly accurate customer meter population.  Testing is conducted on samples of meters at varying lifespans to determine optimum replacement time for various types of meters.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Good records of number, type and size of customer meters; ongoing meter replacement occurs.  Regular meter accuracy testing gives reliable measure of composite inaccuracy volume for the system.  New metering technology is embraced to keep overall accuracy improving.</t>
        </r>
      </text>
    </comment>
    <comment ref="J42" authorId="1" shapeId="0" xr:uid="{5EF88C75-AF3F-40BD-A770-A78348527976}">
      <text>
        <r>
          <rPr>
            <b/>
            <sz val="8"/>
            <color indexed="81"/>
            <rFont val="Tahoma"/>
            <family val="2"/>
          </rPr>
          <t>Enter a value &lt; 10%</t>
        </r>
      </text>
    </comment>
    <comment ref="E43" authorId="0" shapeId="0" xr:uid="{8CBF11EF-4B3D-469F-B124-D53E7739714F}">
      <text>
        <r>
          <rPr>
            <b/>
            <sz val="8"/>
            <color indexed="81"/>
            <rFont val="Tahoma"/>
            <family val="2"/>
          </rPr>
          <t xml:space="preserve">Note: </t>
        </r>
        <r>
          <rPr>
            <sz val="8"/>
            <color indexed="81"/>
            <rFont val="Tahoma"/>
            <family val="2"/>
          </rPr>
          <t xml:space="preserve">all water utilities incur some amount of this error. Even in water utilities with unmetered customer populations and fixed rate billing, errors occur in annual billing tabulations. Enter a positive value for the volume and select a grading.
</t>
        </r>
        <r>
          <rPr>
            <b/>
            <sz val="8"/>
            <color indexed="10"/>
            <rFont val="Tahoma"/>
            <family val="2"/>
          </rPr>
          <t>1.</t>
        </r>
        <r>
          <rPr>
            <sz val="8"/>
            <color indexed="10"/>
            <rFont val="Tahoma"/>
            <family val="2"/>
          </rPr>
          <t xml:space="preserve"> Vague policy for permitting (creating new customer accounts) and billing. Billing data maintained on paper records which are in disarray.  No audits conducted to confirm billing data handling efficiency.  Unknown number of customers escape routine billing due to lack of billing process oversight.</t>
        </r>
        <r>
          <rPr>
            <sz val="8"/>
            <color indexed="81"/>
            <rFont val="Tahoma"/>
            <family val="2"/>
          </rPr>
          <t xml:space="preserve">
</t>
        </r>
        <r>
          <rPr>
            <b/>
            <sz val="8"/>
            <color indexed="53"/>
            <rFont val="Tahoma"/>
            <family val="2"/>
          </rPr>
          <t>2.</t>
        </r>
        <r>
          <rPr>
            <sz val="8"/>
            <color indexed="53"/>
            <rFont val="Tahoma"/>
            <family val="2"/>
          </rPr>
          <t xml:space="preserve"> Policy for permitting and billing exists but needs refinement. Billing data maintained on paper records or insufficiently capable electronic database.  Only periodic unstructured auditing work conducted to confirm billing data handling efficiency.  Volume of unbilled water due to billing lapses is a guess.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Policy and procedures for permitting and billing exist but needs refinement.  Computerized billing system exists, but is dated or lacks needed functionality.  Periodic, limited internal audits conducted and confirm with approximate accuracy the consumption volumes lost to billing lapses.</t>
        </r>
        <r>
          <rPr>
            <sz val="8"/>
            <color indexed="81"/>
            <rFont val="Tahoma"/>
            <family val="2"/>
          </rPr>
          <t xml:space="preserve">
</t>
        </r>
        <r>
          <rPr>
            <b/>
            <sz val="8"/>
            <color indexed="81"/>
            <rFont val="Tahoma"/>
            <family val="2"/>
          </rPr>
          <t xml:space="preserve">5. </t>
        </r>
        <r>
          <rPr>
            <sz val="8"/>
            <color indexed="81"/>
            <rFont val="Tahoma"/>
            <family val="2"/>
          </rPr>
          <t xml:space="preserve">Conditions between 4 and 6
</t>
        </r>
        <r>
          <rPr>
            <b/>
            <sz val="8"/>
            <color indexed="62"/>
            <rFont val="Tahoma"/>
            <family val="2"/>
          </rPr>
          <t>6.</t>
        </r>
        <r>
          <rPr>
            <sz val="8"/>
            <color indexed="62"/>
            <rFont val="Tahoma"/>
            <family val="2"/>
          </rPr>
          <t xml:space="preserve"> Policy for permitting and billing is adequate and reviewed periodically.  Computerized billing system in use with basic reporting available.  Any effect of billing adjustments on measured consumption volumes is well understood.  Internal checks of billing data error conducted annually.  Reasonably accurate quantification of consumption volume lost to billing lapses is obtained.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Permitting and billing policy reviewed at least biannually.  Computerized billing system includes an array of reports to confirm billing data and system functionality.  Annual internal checks conducted with periodic third party audit.  Accountability checks flag billing lapses.  Consumption lost to billing lapses is well quantified and reducing year-by-year.</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policy exists for permitting of all customer billing accounts.  Robust computerized billing system gives high functionality and reporting capabilities.  Assessment of policy and data handling errors conducted internally and audited by third party annually, ensuring consumption lost to billing lapses is minimized and detected as it occurs. </t>
        </r>
      </text>
    </comment>
    <comment ref="E62" authorId="0" shapeId="0" xr:uid="{E22648CA-1469-4B11-808B-BD0A12007B7F}">
      <text>
        <r>
          <rPr>
            <b/>
            <sz val="8"/>
            <color indexed="10"/>
            <rFont val="Tahoma"/>
            <family val="2"/>
          </rPr>
          <t>1.</t>
        </r>
        <r>
          <rPr>
            <sz val="8"/>
            <color indexed="10"/>
            <rFont val="Tahoma"/>
            <family val="2"/>
          </rPr>
          <t xml:space="preserve"> Poorly assembled and maintained paper as-built records of existing water main installations makes accurate determination of system pipe length impossible.  Length of mains is guesstimated.</t>
        </r>
        <r>
          <rPr>
            <sz val="8"/>
            <color indexed="81"/>
            <rFont val="Tahoma"/>
            <family val="2"/>
          </rPr>
          <t xml:space="preserve">
</t>
        </r>
        <r>
          <rPr>
            <b/>
            <sz val="8"/>
            <color indexed="53"/>
            <rFont val="Tahoma"/>
            <family val="2"/>
          </rPr>
          <t xml:space="preserve">2. </t>
        </r>
        <r>
          <rPr>
            <sz val="8"/>
            <color indexed="53"/>
            <rFont val="Tahoma"/>
            <family val="2"/>
          </rPr>
          <t>Paper records in poor condition (no annual tracking of installations &amp; abandonments).  Poor procedures to ensure that new water mains installed by developers are accurately documented.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Sound policy and procedures for permitting and documenting new water main installations, but gaps in management result in a uncertain degree of error in tabulation of mains length.</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Sound policy and procedures exist for permitting and commissioning new water mains.  Highly accurate paper records with regular field validation; or electronic records and asset management system in good condition.  Includes system backup.</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Sound policy and procedures exist for permitting and commissioning new water mains.  Electronic recordkeeping and asset management system are used to store and manage data.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policy exists for managing water mains extensions and replacements.  Geographic Information System (GIS) data and asset management database agree and random field validation proves truth of databases.</t>
        </r>
      </text>
    </comment>
    <comment ref="E63" authorId="0" shapeId="0" xr:uid="{E5B0209D-ECA5-4295-A1A7-B390D50879F0}">
      <text>
        <r>
          <rPr>
            <b/>
            <sz val="8"/>
            <color indexed="10"/>
            <rFont val="Tahoma"/>
            <family val="2"/>
          </rPr>
          <t xml:space="preserve">1. </t>
        </r>
        <r>
          <rPr>
            <sz val="8"/>
            <color indexed="10"/>
            <rFont val="Tahoma"/>
            <family val="2"/>
          </rPr>
          <t>Vague permitting (of new service connections) policy and poor paper recordkeeping of customer connections/billings result in suspect determination of the number of service connections, which may be 10-15% in error from actual count.</t>
        </r>
        <r>
          <rPr>
            <sz val="8"/>
            <color indexed="81"/>
            <rFont val="Tahoma"/>
            <family val="2"/>
          </rPr>
          <t xml:space="preserve"> 
</t>
        </r>
        <r>
          <rPr>
            <b/>
            <sz val="8"/>
            <color indexed="53"/>
            <rFont val="Tahoma"/>
            <family val="2"/>
          </rPr>
          <t>2.</t>
        </r>
        <r>
          <rPr>
            <sz val="8"/>
            <color indexed="53"/>
            <rFont val="Tahoma"/>
            <family val="2"/>
          </rPr>
          <t xml:space="preserve"> General permitting policy exists but paper records, procedural gaps, and weak oversight result in questionable total for number of connections, which may vary 5-10% of actual count.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Permitting policy and procedures exist, but with some gaps in performance and oversight.  Computerized information management system is being brought online to replace dated paper recordkeeping system.  Reasonably accurate tracking of service connection installations &amp; abandonments; but count can be up to 5% in error from actual total.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Permitting policy and procedures are adequate and reviewed periodically.  Computerized information management system is in use with annual installations &amp; abandonments totaled.  Very limited field verifications and audits.  Error in count of number of service connections is believed to be no more that 3%.</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Permitting policy and procedures reviewed at least biannually.  Well-managed computerized information management system and routine, periodic field checks and internal system audits allows counts of connections that is no more than 2% in error.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Sound permitting policy and well managed and audited procedures ensure reliable management of service connection population.  Computerized information management system and Geographic Information System (GIS) information agree; field validation proves truth of databases.  Count of connections believed to be in error by less than 1%.</t>
        </r>
        <r>
          <rPr>
            <sz val="8"/>
            <color indexed="81"/>
            <rFont val="Tahoma"/>
            <family val="2"/>
          </rPr>
          <t xml:space="preserve">
</t>
        </r>
      </text>
    </comment>
    <comment ref="E65" authorId="0" shapeId="0" xr:uid="{BA9805EA-52DC-4FD6-B2A9-82BAB8A74BDB}">
      <text>
        <r>
          <rPr>
            <b/>
            <sz val="8"/>
            <color indexed="81"/>
            <rFont val="Tahoma"/>
            <family val="2"/>
          </rPr>
          <t xml:space="preserve">Note: </t>
        </r>
        <r>
          <rPr>
            <sz val="8"/>
            <color indexed="81"/>
            <rFont val="Tahoma"/>
            <family val="2"/>
          </rPr>
          <t xml:space="preserve">if customer water meters are located outside of the customer building next to the curbstop or boundary separating utility/customer responsibility, follow the grading description for 10(a) below. Also see the Service Connection Diagram worksheet.
</t>
        </r>
        <r>
          <rPr>
            <b/>
            <sz val="8"/>
            <color indexed="10"/>
            <rFont val="Tahoma"/>
            <family val="2"/>
          </rPr>
          <t>1.</t>
        </r>
        <r>
          <rPr>
            <sz val="8"/>
            <color indexed="10"/>
            <rFont val="Tahoma"/>
            <family val="2"/>
          </rPr>
          <t xml:space="preserve"> Vague policy exists to define the delineation of water utility ownership and customer ownership of the service connection piping.  Curbstops are perceived as the breakpoint but these have not been well-maintained or documented.  Most are buried or obscured.  Their location varies widely from site-to-site, and estimating this distance is arbitrary due to the unknown location of many curbstops.</t>
        </r>
        <r>
          <rPr>
            <sz val="8"/>
            <color indexed="81"/>
            <rFont val="Tahoma"/>
            <family val="2"/>
          </rPr>
          <t xml:space="preserve">
</t>
        </r>
        <r>
          <rPr>
            <b/>
            <sz val="8"/>
            <color indexed="53"/>
            <rFont val="Tahoma"/>
            <family val="2"/>
          </rPr>
          <t>2.</t>
        </r>
        <r>
          <rPr>
            <sz val="8"/>
            <color indexed="53"/>
            <rFont val="Tahoma"/>
            <family val="2"/>
          </rPr>
          <t xml:space="preserve"> Policy requires that the curbstop serves as the delineation point between water utility ownership and customer ownership of the service connection piping.  The piping from the water main to the curbstop is the property of the water utility; and the piping from the curbstop to the customer building is owned by the customer.  Curbstop locations are not well documented and the average distance is based upon a limited number of locations measured in the field.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Good policy requires that the curbstop serves as the delineation point between water utility ownership and customer ownership of the service connection piping.  Curbstops are generally installed as needed and are reasonably documented.  Their location varies widely from site-to-site, and an estimate of this distance is hindered by the availability of paper records.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 xml:space="preserve">6. </t>
        </r>
        <r>
          <rPr>
            <sz val="8"/>
            <color indexed="62"/>
            <rFont val="Tahoma"/>
            <family val="2"/>
          </rPr>
          <t xml:space="preserve">Clear policy exists to define utility/customer responsibility for service connection piping.  Accurate, well-maintained paper or basic electronic recordkeeping system exists.  Periodic field checks confirm piping lengths for a sample of customer properties.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Clearly worded policy standardizes the location of curbstops and meters, which are inspected upon installation.  Accurate and well maintained electronic records exist with periodic field checks to confirm locations of service lines, curbstops and customer meter pits.  An accurate number of customer properties from the customer billing system allows for reliable averaging of this length.</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a) The customer water meter is located outside of the customer building adjacent to the curbstop or boundary separating utility/customer responsibility for the service connection piping.  In this case enter a value of zero in the Reporting Worksheet with a grading of 10.
b). Customer water meters are located inside customer buildings, or the properties are unmetered.  In either case the distance is highly reliable since data is drawn from a Geographic Information System (GIS) and confirmed by routine field checks.</t>
        </r>
      </text>
    </comment>
    <comment ref="E67" authorId="0" shapeId="0" xr:uid="{5B50B4E3-AC03-4B2E-A69B-7A2889E8E9D2}">
      <text>
        <r>
          <rPr>
            <b/>
            <sz val="8"/>
            <color indexed="10"/>
            <rFont val="Tahoma"/>
            <family val="2"/>
          </rPr>
          <t xml:space="preserve">1. </t>
        </r>
        <r>
          <rPr>
            <sz val="8"/>
            <color indexed="10"/>
            <rFont val="Tahoma"/>
            <family val="2"/>
          </rPr>
          <t xml:space="preserve">Available records are poorly assembled and maintained paper records of supply pump characteristics and water distribution system operating conditions.  Average pressure is guesstimated based upon this information and ground elevations from crude topographical maps.  Widely varying distribution system pressures due to undulating terrain, high system head loss and weak/erratic pressure controls further compromise the validity of the average pressure calculation.  </t>
        </r>
        <r>
          <rPr>
            <sz val="8"/>
            <color indexed="81"/>
            <rFont val="Tahoma"/>
            <family val="2"/>
          </rPr>
          <t xml:space="preserve">
</t>
        </r>
        <r>
          <rPr>
            <b/>
            <sz val="8"/>
            <color indexed="53"/>
            <rFont val="Tahoma"/>
            <family val="2"/>
          </rPr>
          <t xml:space="preserve">2. </t>
        </r>
        <r>
          <rPr>
            <sz val="8"/>
            <color indexed="53"/>
            <rFont val="Tahoma"/>
            <family val="2"/>
          </rPr>
          <t xml:space="preserve">Limited telemetry monitoring of scattered sites provides some static pressure data, which is recorded in handwritten logbooks.  Pressure data is gathered at individual sites only when low pressure complaints arise.  Average pressure is determined by averaging relatively crude data, and is affected by significant variation in ground elevations, system head loss and gaps in pressure controls in the distribution system.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Effective pressure controls separate different pressure zones; moderate pressure variation across the system, occasional open boundary valves are discovered that breech pressure zones.  Basic telemetry monitoring of the distribution system logs pressure data electronically.  Pressure data gathered by gauges or dataloggers at fire hydrants or buildings when low pressure complaints arise, and during fire flow tests and system flushing.  Reliable topographical data exists.  Average pressure is calculated using this mix of data. </t>
        </r>
        <r>
          <rPr>
            <sz val="8"/>
            <color indexed="81"/>
            <rFont val="Tahoma"/>
            <family val="2"/>
          </rPr>
          <t xml:space="preserve">
</t>
        </r>
        <r>
          <rPr>
            <b/>
            <sz val="8"/>
            <color indexed="81"/>
            <rFont val="Tahoma"/>
            <family val="2"/>
          </rPr>
          <t>5.</t>
        </r>
        <r>
          <rPr>
            <sz val="8"/>
            <color indexed="81"/>
            <rFont val="Tahoma"/>
            <family val="2"/>
          </rPr>
          <t xml:space="preserve"> Conditions between 4 and 6
</t>
        </r>
        <r>
          <rPr>
            <sz val="8"/>
            <color indexed="62"/>
            <rFont val="Tahoma"/>
            <family val="2"/>
          </rPr>
          <t xml:space="preserve">6. Reliable pressure controls separate distinct pressure zones; only very occasional open boundary valves are encountered that breech pressure zones.  Well-covered telemetry monitoring of the distribution system logs extensive pressure data electronically.  Pressure gathered by gauges/dataloggers at fire hydrants and buildings when low pressure complaints arise, and during fire flow tests and system flushing.  Average pressure is determined by using this mix of reliable data.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Well-managed, discrete pressure zones exist with generally predictable pressure fluctuations.  A current full-scale SCADA System exists to monitor the water distribution system and collect data, including real time pressure readings at representative sites across the system.  The average system pressure is determined from reliable SCADA System data. </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 xml:space="preserve">10. </t>
        </r>
        <r>
          <rPr>
            <sz val="8"/>
            <color indexed="17"/>
            <rFont val="Tahoma"/>
            <family val="2"/>
          </rPr>
          <t xml:space="preserve">Well-managed pressure districts/zones, SCADA System and hydraulic model exist to give very precise pressure data across the water distribution system.  Average system pressure is reliably calculated from extensive, reliable, and cross-checked data. </t>
        </r>
      </text>
    </comment>
    <comment ref="E74" authorId="0" shapeId="0" xr:uid="{BED6E7B7-556F-420B-ACC5-1BD0042DCF39}">
      <text>
        <r>
          <rPr>
            <b/>
            <sz val="8"/>
            <color indexed="10"/>
            <rFont val="Tahoma"/>
            <family val="2"/>
          </rPr>
          <t>1.</t>
        </r>
        <r>
          <rPr>
            <sz val="8"/>
            <color indexed="10"/>
            <rFont val="Tahoma"/>
            <family val="2"/>
          </rPr>
          <t xml:space="preserve"> Incomplete paper records and lack of documentation on many operating functions making calculation of water system operating costs a pure guesstimate</t>
        </r>
        <r>
          <rPr>
            <sz val="8"/>
            <color indexed="81"/>
            <rFont val="Tahoma"/>
            <family val="2"/>
          </rPr>
          <t xml:space="preserve">
</t>
        </r>
        <r>
          <rPr>
            <b/>
            <sz val="8"/>
            <color indexed="53"/>
            <rFont val="Tahoma"/>
            <family val="2"/>
          </rPr>
          <t>2.</t>
        </r>
        <r>
          <rPr>
            <sz val="8"/>
            <color indexed="53"/>
            <rFont val="Tahoma"/>
            <family val="2"/>
          </rPr>
          <t xml:space="preserve"> Reasonably maintained, but incomplete, paper or electronic accounting provides data to estimate the major portion of water system operating costs.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 xml:space="preserve">Electronic, industry-standard cost accounting system in place.  Gaps in data known to exist, periodic internal reviews conducted but not a structured audit.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Data audited periodically by utility personnel, not a Certified Public Accountant (CPA).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Reliable electronic, industry-standard cost accounting system in place, with all pertinent water system operating costs tracked.  Data audited at least annually by utility personnel, and periodically by third-party CPA.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Reliable electronic, industry-standard cost accounting system in place, with all pertinent water system operating costs tracked.  Data audited annually by utility personnel and by third-party CPA.  </t>
        </r>
        <r>
          <rPr>
            <sz val="8"/>
            <color indexed="81"/>
            <rFont val="Tahoma"/>
            <family val="2"/>
          </rPr>
          <t xml:space="preserve">
</t>
        </r>
      </text>
    </comment>
    <comment ref="E75" authorId="0" shapeId="0" xr:uid="{B30F7DA2-CD97-4692-B1AB-158A4BCD1865}">
      <text>
        <r>
          <rPr>
            <b/>
            <sz val="8"/>
            <color indexed="10"/>
            <rFont val="Tahoma"/>
            <family val="2"/>
          </rPr>
          <t xml:space="preserve">1. </t>
        </r>
        <r>
          <rPr>
            <sz val="8"/>
            <color indexed="10"/>
            <rFont val="Tahoma"/>
            <family val="2"/>
          </rPr>
          <t>Antiquated, cumbersome water rate structure is use, with periodic historic amendments that were poorly documented and implemented; resulting in classes of customers being billed inconsistent charges.  The actual composite billing rate likely differs significantly from the published water rate structure, but a lack of auditing leaves the degree of error indeterminate.</t>
        </r>
        <r>
          <rPr>
            <sz val="8"/>
            <color indexed="81"/>
            <rFont val="Tahoma"/>
            <family val="2"/>
          </rPr>
          <t xml:space="preserve">
</t>
        </r>
        <r>
          <rPr>
            <b/>
            <sz val="8"/>
            <color indexed="53"/>
            <rFont val="Tahoma"/>
            <family val="2"/>
          </rPr>
          <t>2.</t>
        </r>
        <r>
          <rPr>
            <sz val="8"/>
            <color indexed="53"/>
            <rFont val="Tahoma"/>
            <family val="2"/>
          </rPr>
          <t xml:space="preserve"> Dated, cumbersome water rate structure, not always employed consistently in actual billing operations.  The actual composite billing rate is known to differ from the published water rate structure, and a reasonably accurate estimate of the degree of error is determined, allowing a composite billing rate to be quantified.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Straight-forward water rate structure in use, but not updated in several years.  Billing operations reliably employ the rate structure.  The composite billing rate is derived from a single customer class such as residential customer accounts, neglecting the effect of different rates from varying customer classes.</t>
        </r>
        <r>
          <rPr>
            <sz val="8"/>
            <color indexed="81"/>
            <rFont val="Tahoma"/>
            <family val="2"/>
          </rPr>
          <t xml:space="preserve">
</t>
        </r>
        <r>
          <rPr>
            <b/>
            <sz val="8"/>
            <color indexed="81"/>
            <rFont val="Tahoma"/>
            <family val="2"/>
          </rPr>
          <t>5.</t>
        </r>
        <r>
          <rPr>
            <sz val="8"/>
            <color indexed="81"/>
            <rFont val="Tahoma"/>
            <family val="2"/>
          </rPr>
          <t xml:space="preserve"> Customer population unmetered. Fixed fee charged; single composite number derived from multiple customer classes.
</t>
        </r>
        <r>
          <rPr>
            <b/>
            <sz val="8"/>
            <color indexed="62"/>
            <rFont val="Tahoma"/>
            <family val="2"/>
          </rPr>
          <t>6.</t>
        </r>
        <r>
          <rPr>
            <sz val="8"/>
            <color indexed="62"/>
            <rFont val="Tahoma"/>
            <family val="2"/>
          </rPr>
          <t xml:space="preserve"> Clearly written, up-to-date water rate structure is in force and is applied reliably in billing operations.  Composite customer rate is determined using a weighted average residential rate using volumes of water in each rate block.</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Effective water rate structure is in force and is applied reliably in billing operations.  Composite customer rate is determined using a weighted average composite consumption rate, including residential, commercial, industrial and any other customer classes within the water rate structure.</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Third party reviewed weighted average composite consumption rate (includes residential, commercial, industrial, etc.)</t>
        </r>
      </text>
    </comment>
    <comment ref="E76" authorId="0" shapeId="0" xr:uid="{49D6034B-FBD6-4C44-805E-1421783C92E1}">
      <text>
        <r>
          <rPr>
            <b/>
            <sz val="8"/>
            <color indexed="81"/>
            <rFont val="Tahoma"/>
            <family val="2"/>
          </rPr>
          <t xml:space="preserve">Note: </t>
        </r>
        <r>
          <rPr>
            <sz val="8"/>
            <color indexed="81"/>
            <rFont val="Tahoma"/>
            <family val="2"/>
          </rPr>
          <t xml:space="preserve"> if the water utility purchases/imports its entire water supply, then enter the unit purchase cost of the bulk water supply in the Reporting Worksheet with a grading of 10
</t>
        </r>
        <r>
          <rPr>
            <b/>
            <sz val="8"/>
            <color indexed="10"/>
            <rFont val="Tahoma"/>
            <family val="2"/>
          </rPr>
          <t xml:space="preserve">1. </t>
        </r>
        <r>
          <rPr>
            <sz val="8"/>
            <color indexed="10"/>
            <rFont val="Tahoma"/>
            <family val="2"/>
          </rPr>
          <t>Incomplete paper records and lack of documentation on primary operating functions (electric power and treatment costs most importantly) makes calculation of variable production costs a pure guesstimate</t>
        </r>
        <r>
          <rPr>
            <sz val="8"/>
            <color indexed="81"/>
            <rFont val="Tahoma"/>
            <family val="2"/>
          </rPr>
          <t xml:space="preserve">
</t>
        </r>
        <r>
          <rPr>
            <b/>
            <sz val="8"/>
            <color indexed="53"/>
            <rFont val="Tahoma"/>
            <family val="2"/>
          </rPr>
          <t xml:space="preserve">2. </t>
        </r>
        <r>
          <rPr>
            <sz val="8"/>
            <color indexed="53"/>
            <rFont val="Tahoma"/>
            <family val="2"/>
          </rPr>
          <t xml:space="preserve">Reasonably maintained, but incomplete, paper or electronic accounting provides data to roughly estimate the basic operations costs (pumping power costs and treatment costs) and calculate a unit variable production cost.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 xml:space="preserve">4. </t>
        </r>
        <r>
          <rPr>
            <sz val="8"/>
            <color indexed="20"/>
            <rFont val="Tahoma"/>
            <family val="2"/>
          </rPr>
          <t xml:space="preserve">Electronic, industry-standard cost accounting system in place.  Electric power and treatment costs are reliably tracked and allow accurate calculation of unit variable production costs based on these two inputs only. All costs are audited internally on a periodic basis.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Pertinent additional costs beyond power and treatment (ex: liability, residuals management, etc.) are included in the unit variable production cost.  Data audited at least annually by utility personnel.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 xml:space="preserve">8. </t>
        </r>
        <r>
          <rPr>
            <sz val="8"/>
            <color indexed="12"/>
            <rFont val="Tahoma"/>
            <family val="2"/>
          </rPr>
          <t xml:space="preserve">Reliable electronic, industry-standard cost accounting system in place, with all pertinent variable production costs tracked.  Data audited at least annually by utility personnel, and periodically by third-party.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a) Third party CPA audit of all primary and secondary cost components on an annual basis.
or:
b) Water supply is entirely purchased as bulk imported water, and unit purchase cost serves as the variable production cost.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DavidSayers</author>
    <author>David Sayers</author>
  </authors>
  <commentList>
    <comment ref="E14" authorId="0" shapeId="0" xr:uid="{B22539A1-070D-47EC-BDD5-28CBA5270A36}">
      <text>
        <r>
          <rPr>
            <b/>
            <sz val="8"/>
            <color indexed="81"/>
            <rFont val="Tahoma"/>
            <family val="2"/>
          </rPr>
          <t>n/a (not applicable).</t>
        </r>
        <r>
          <rPr>
            <sz val="8"/>
            <color indexed="81"/>
            <rFont val="Tahoma"/>
            <family val="2"/>
          </rPr>
          <t xml:space="preserve"> Select this grading only if the water utility purchases/imports all of its water resources (i.e. has no sources of its own)
</t>
        </r>
        <r>
          <rPr>
            <b/>
            <sz val="8"/>
            <color indexed="10"/>
            <rFont val="Tahoma"/>
            <family val="2"/>
          </rPr>
          <t>1.</t>
        </r>
        <r>
          <rPr>
            <sz val="8"/>
            <color indexed="10"/>
            <rFont val="Tahoma"/>
            <family val="2"/>
          </rPr>
          <t xml:space="preserve"> Less than 25% of treated water production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treated water production sources are metered; other sources estimated.  No regular meter accuracy testing.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50% - 75% of treated water production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treated water production sources are metered, or at least 90% of the source flow is derived from metered sources.  Meter accuracy testing and/or electronic calibration conducted annually.  Less than 25% of tested meters are found outside of +/- 6% accuracy.  </t>
        </r>
        <r>
          <rPr>
            <sz val="8"/>
            <color indexed="81"/>
            <rFont val="Tahoma"/>
            <family val="2"/>
          </rPr>
          <t xml:space="preserve">
</t>
        </r>
        <r>
          <rPr>
            <b/>
            <sz val="8"/>
            <color indexed="81"/>
            <rFont val="Tahoma"/>
            <family val="2"/>
          </rPr>
          <t xml:space="preserve">7. </t>
        </r>
        <r>
          <rPr>
            <sz val="8"/>
            <color indexed="81"/>
            <rFont val="Tahoma"/>
            <family val="2"/>
          </rPr>
          <t xml:space="preserve">Conditions between 6 and 8
</t>
        </r>
        <r>
          <rPr>
            <b/>
            <sz val="8"/>
            <color indexed="12"/>
            <rFont val="Tahoma"/>
            <family val="2"/>
          </rPr>
          <t>8.</t>
        </r>
        <r>
          <rPr>
            <sz val="8"/>
            <color indexed="12"/>
            <rFont val="Tahoma"/>
            <family val="2"/>
          </rPr>
          <t xml:space="preserve"> 100% of treated water production sources are metered, meter accuracy testing and electronic calibration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treated water production sources are metered, meter accuracy testing and electronic calibration conducted semi-annually, with less than 10% found outside of +/- 3% accuracy.</t>
        </r>
      </text>
    </comment>
    <comment ref="E15" authorId="0" shapeId="0" xr:uid="{D92BEAD0-2A3D-4B2F-8D91-A3B469870B0B}">
      <text>
        <r>
          <rPr>
            <b/>
            <sz val="8"/>
            <color indexed="81"/>
            <rFont val="Tahoma"/>
            <family val="2"/>
          </rPr>
          <t>n/a (not applicable).</t>
        </r>
        <r>
          <rPr>
            <sz val="8"/>
            <color indexed="81"/>
            <rFont val="Tahoma"/>
            <family val="2"/>
          </rPr>
          <t xml:space="preserve"> Select n/a only if the water utility fails to have meters on its sources of supply, either its own source, and/or imported (purchased) water sources 
</t>
        </r>
        <r>
          <rPr>
            <b/>
            <sz val="8"/>
            <color indexed="10"/>
            <rFont val="Tahoma"/>
            <family val="2"/>
          </rPr>
          <t>1.</t>
        </r>
        <r>
          <rPr>
            <sz val="8"/>
            <color indexed="10"/>
            <rFont val="Tahoma"/>
            <family val="2"/>
          </rPr>
          <t xml:space="preserve"> Inventory information on meters and paper records of measured volumes in crude condition; data error cannot be determined </t>
        </r>
        <r>
          <rPr>
            <sz val="8"/>
            <color indexed="81"/>
            <rFont val="Tahoma"/>
            <family val="2"/>
          </rPr>
          <t xml:space="preserve">
</t>
        </r>
        <r>
          <rPr>
            <b/>
            <sz val="8"/>
            <color indexed="53"/>
            <rFont val="Tahoma"/>
            <family val="2"/>
          </rPr>
          <t>2.</t>
        </r>
        <r>
          <rPr>
            <sz val="8"/>
            <color indexed="53"/>
            <rFont val="Tahoma"/>
            <family val="2"/>
          </rPr>
          <t xml:space="preserve"> No automatic datalogging of production volumes; daily readings are scribed on paper records.  Tank/storage elevation changes are not employed in calculating "Volume from own sources" component.</t>
        </r>
        <r>
          <rPr>
            <sz val="8"/>
            <color indexed="81"/>
            <rFont val="Tahoma"/>
            <family val="2"/>
          </rPr>
          <t xml:space="preserve">  </t>
        </r>
        <r>
          <rPr>
            <sz val="8"/>
            <color indexed="53"/>
            <rFont val="Tahoma"/>
            <family val="2"/>
          </rPr>
          <t>Data is adjusted only when grossly evident data error occurs.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Production meter data is logged automatically in electronic format and reviewed at least on a monthly basis.  "Volume from own sources" tabulations include estimate of daily changes in tanks/storage facilities.  Meter data is adjusted when gross data errors occur, or occasional meter testing deems this necessary.</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Hourly production meter data logged automatically &amp; reviewed on at least a weekly basis.  Data adjusted to correct gross error from equipment malfunction and error confirmed by meter accuracy testing.  Tank/storage facility elevation changes are automatically used in calculating a balanced "Volume from own sources" component.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Continuous production meter data logged automatically &amp; reviewed daily.  Data adjusted to correct gross error from equipment malfunction &amp; results of meter accuracy testing.  Tank/storage facility elevation changes are automatically used in "Volume from own sources" tabulations.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Computerized system (SCADA or similar) automatically balances flows from all sources and storages; results reviewed daily.  Mass balance technique compares production meter data to raw (untreated) water and treatment volumes to detect anomalies.  Regular calibrations between SCADA and sources meters ensures minimal data transfer error.  </t>
        </r>
        <r>
          <rPr>
            <sz val="8"/>
            <color indexed="81"/>
            <rFont val="Tahoma"/>
            <family val="2"/>
          </rPr>
          <t xml:space="preserve">
</t>
        </r>
      </text>
    </comment>
    <comment ref="E16" authorId="0" shapeId="0" xr:uid="{2C61AC74-E23A-4CCF-93F3-692E202ED774}">
      <text>
        <r>
          <rPr>
            <b/>
            <sz val="8"/>
            <color indexed="81"/>
            <rFont val="Tahoma"/>
            <family val="2"/>
          </rPr>
          <t>n/a (not applicable).</t>
        </r>
        <r>
          <rPr>
            <sz val="8"/>
            <color indexed="81"/>
            <rFont val="Tahoma"/>
            <family val="2"/>
          </rPr>
          <t xml:space="preserve"> Select n/a if the water utility's supply is exclusively from its own water resources (no bulk purchased/ imported water)
</t>
        </r>
        <r>
          <rPr>
            <b/>
            <sz val="8"/>
            <color indexed="10"/>
            <rFont val="Tahoma"/>
            <family val="2"/>
          </rPr>
          <t xml:space="preserve">1. </t>
        </r>
        <r>
          <rPr>
            <sz val="8"/>
            <color indexed="10"/>
            <rFont val="Tahoma"/>
            <family val="2"/>
          </rPr>
          <t>Less than 25% of imported water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imported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50% - 75% of imported water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imported water sources are metered, meter accuracy testing and/or electronic calibration conducted annually.  Less than 25% of tested meters are found outside of +/- 6% accuracy.</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100% of imported water sources are metered, meter accuracy testing and/or electronic calibration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imported water sources are metered, meter accuracy testing and/or electronic calibration conducted semi-annually, with less than 10% found outside of +/- 3% accuracy.     </t>
        </r>
        <r>
          <rPr>
            <sz val="8"/>
            <color indexed="81"/>
            <rFont val="Tahoma"/>
            <family val="2"/>
          </rPr>
          <t xml:space="preserve">
</t>
        </r>
      </text>
    </comment>
    <comment ref="E17" authorId="0" shapeId="0" xr:uid="{6533062B-8E2B-4ECE-88CD-DE575118ED43}">
      <text>
        <r>
          <rPr>
            <b/>
            <sz val="8"/>
            <color indexed="81"/>
            <rFont val="Tahoma"/>
            <family val="2"/>
          </rPr>
          <t xml:space="preserve">n/a (not applicable). </t>
        </r>
        <r>
          <rPr>
            <sz val="8"/>
            <color indexed="81"/>
            <rFont val="Tahoma"/>
            <family val="2"/>
          </rPr>
          <t xml:space="preserve">Select n/a if the water utility sells no bulk water to neighboring water utilities (no exported water sales)
</t>
        </r>
        <r>
          <rPr>
            <b/>
            <sz val="8"/>
            <color indexed="10"/>
            <rFont val="Tahoma"/>
            <family val="2"/>
          </rPr>
          <t>1.</t>
        </r>
        <r>
          <rPr>
            <sz val="8"/>
            <color indexed="10"/>
            <rFont val="Tahoma"/>
            <family val="2"/>
          </rPr>
          <t xml:space="preserve"> Less than 25% of exported water sources are metered, remaining sources are estimated.  No regular meter accuracy testing.</t>
        </r>
        <r>
          <rPr>
            <sz val="8"/>
            <color indexed="81"/>
            <rFont val="Tahoma"/>
            <family val="2"/>
          </rPr>
          <t xml:space="preserve">
</t>
        </r>
        <r>
          <rPr>
            <b/>
            <sz val="8"/>
            <color indexed="53"/>
            <rFont val="Tahoma"/>
            <family val="2"/>
          </rPr>
          <t xml:space="preserve">2. </t>
        </r>
        <r>
          <rPr>
            <sz val="8"/>
            <color indexed="53"/>
            <rFont val="Tahoma"/>
            <family val="2"/>
          </rPr>
          <t xml:space="preserve">25% - 50% of exported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50% - 75% of exported water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exported water sources are metered, meter accuracy testing and/or electronic calibration conducted annually.  Less than 25% of tested meters are found outside of +/- 6% accuracy.</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 xml:space="preserve">8. </t>
        </r>
        <r>
          <rPr>
            <sz val="8"/>
            <color indexed="12"/>
            <rFont val="Tahoma"/>
            <family val="2"/>
          </rPr>
          <t>100% of exported water sources are metered, meter accuracy testing and/or electronic calibration conducted annually, less than 10% of meters are found outside of +/- 6% accuracy</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 xml:space="preserve">10. </t>
        </r>
        <r>
          <rPr>
            <sz val="8"/>
            <color indexed="17"/>
            <rFont val="Tahoma"/>
            <family val="2"/>
          </rPr>
          <t xml:space="preserve">100% of exported water sources are metered, meter accuracy testing and/or electronic calibration conducted semi-annually, with less than 10% found outside of +/- 3% accuracy.     </t>
        </r>
        <r>
          <rPr>
            <sz val="8"/>
            <color indexed="81"/>
            <rFont val="Tahoma"/>
            <family val="2"/>
          </rPr>
          <t xml:space="preserve">
</t>
        </r>
      </text>
    </comment>
    <comment ref="E23" authorId="0" shapeId="0" xr:uid="{48EE2074-7223-479C-81B3-D0090F6C4631}">
      <text>
        <r>
          <rPr>
            <b/>
            <sz val="8"/>
            <color indexed="81"/>
            <rFont val="Tahoma"/>
            <family val="2"/>
          </rPr>
          <t>n/a (not applicable).</t>
        </r>
        <r>
          <rPr>
            <sz val="8"/>
            <color indexed="81"/>
            <rFont val="Tahoma"/>
            <family val="2"/>
          </rPr>
          <t xml:space="preserve"> Select n/a only if the entire customer population is not metered and is billed for water service on a flat or fixed rate basis. In such a case the volume entered must be zero.</t>
        </r>
        <r>
          <rPr>
            <sz val="8"/>
            <color indexed="81"/>
            <rFont val="Tahoma"/>
            <family val="2"/>
          </rPr>
          <t xml:space="preserve">
</t>
        </r>
        <r>
          <rPr>
            <b/>
            <sz val="8"/>
            <color indexed="10"/>
            <rFont val="Tahoma"/>
            <family val="2"/>
          </rPr>
          <t xml:space="preserve">1. </t>
        </r>
        <r>
          <rPr>
            <sz val="8"/>
            <color indexed="10"/>
            <rFont val="Tahoma"/>
            <family val="2"/>
          </rPr>
          <t>Less than 50% of customers with volume-based billings from meter readings; flat or fixed rate billed for the majority of the customer population</t>
        </r>
        <r>
          <rPr>
            <sz val="8"/>
            <color indexed="81"/>
            <rFont val="Tahoma"/>
            <family val="2"/>
          </rPr>
          <t xml:space="preserve">
</t>
        </r>
        <r>
          <rPr>
            <b/>
            <sz val="8"/>
            <color indexed="53"/>
            <rFont val="Tahoma"/>
            <family val="2"/>
          </rPr>
          <t>2.</t>
        </r>
        <r>
          <rPr>
            <sz val="8"/>
            <color indexed="53"/>
            <rFont val="Tahoma"/>
            <family val="2"/>
          </rPr>
          <t xml:space="preserve"> At least 50% of customers with volume-based billing from meter reads; flat rate billed for others.  Manual meter reading, under 50% read success rate, remainder estimated.  Limited meter records, no regular meter testing or replacement.  Billing data maintained on paper records, with no auditing.</t>
        </r>
        <r>
          <rPr>
            <sz val="8"/>
            <color indexed="81"/>
            <rFont val="Tahoma"/>
            <family val="2"/>
          </rPr>
          <t xml:space="preserve">
</t>
        </r>
        <r>
          <rPr>
            <b/>
            <sz val="8"/>
            <color indexed="81"/>
            <rFont val="Tahoma"/>
            <family val="2"/>
          </rPr>
          <t>3.</t>
        </r>
        <r>
          <rPr>
            <sz val="8"/>
            <color indexed="81"/>
            <rFont val="Tahoma"/>
            <family val="2"/>
          </rPr>
          <t xml:space="preserve"> Conditions between 2 and 4</t>
        </r>
        <r>
          <rPr>
            <sz val="8"/>
            <color indexed="81"/>
            <rFont val="Tahoma"/>
            <family val="2"/>
          </rPr>
          <t xml:space="preserve">
</t>
        </r>
        <r>
          <rPr>
            <b/>
            <sz val="8"/>
            <color indexed="20"/>
            <rFont val="Tahoma"/>
            <family val="2"/>
          </rPr>
          <t>4.</t>
        </r>
        <r>
          <rPr>
            <sz val="8"/>
            <color indexed="20"/>
            <rFont val="Tahoma"/>
            <family val="2"/>
          </rPr>
          <t xml:space="preserve"> At least 75% of customers with volume-based billing from meter reads; flat or fixed rate billed for remainder.  Manual meter reading used, at least 50% meter read success rate, failed reads are estimated.  Purchase records verify age of customer meters; only very limited meter accuracy testing is conducted.  Customer meters replaced only upon complete failure.  Computerized billing records, but only periodic internal auditing conducted.</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90% of customers with volume-based billing from meter reads; remaining accounts are estimated.  Manual customer meter reading gives at least 80% customer meter reading success rate, failed reads are estimated.  Good customer meter records, limited meter accuracy testing, regular replacement of oldest meters.  Computerized billing records with routine auditing of global statistics.</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At least 97% of customers with volume-based billing from meter reads.  At least 90% customer meter read success rate; or minimum 80% read success rate with planning and budgeting for trials of Automatic Metering Reading (AMR) in one or more pilot areas.  Good customer meter records. Regular meter accuracy testing guides replacement of statistically significant number of meters each year.  Routine auditing of computerized billing records for global and detailed statistics; verified periodically by third party.
</t>
        </r>
        <r>
          <rPr>
            <b/>
            <sz val="8"/>
            <color indexed="81"/>
            <rFont val="Tahoma"/>
            <family val="2"/>
          </rPr>
          <t>9.</t>
        </r>
        <r>
          <rPr>
            <sz val="8"/>
            <color indexed="81"/>
            <rFont val="Tahoma"/>
            <family val="2"/>
          </rPr>
          <t xml:space="preserve"> Conditions between 8 and 10</t>
        </r>
        <r>
          <rPr>
            <sz val="8"/>
            <color indexed="81"/>
            <rFont val="Tahoma"/>
            <family val="2"/>
          </rPr>
          <t xml:space="preserve">
</t>
        </r>
        <r>
          <rPr>
            <b/>
            <sz val="8"/>
            <color indexed="17"/>
            <rFont val="Tahoma"/>
            <family val="2"/>
          </rPr>
          <t>10.</t>
        </r>
        <r>
          <rPr>
            <sz val="8"/>
            <color indexed="17"/>
            <rFont val="Tahoma"/>
            <family val="2"/>
          </rPr>
          <t xml:space="preserve"> At least 99% of customers with volume-based billing from meter reads.  At least 95% customer meter reading success rate; or minimum 80% meter reading success rate, with Automatic Meter Reading (AMR) trials underway.  Statistically significant customer meter testing and replacement program in place.  Computerized billing with routine, detailed auditing, including field investigation of representative sample of accounts.  Annual audit verification by third party.</t>
        </r>
        <r>
          <rPr>
            <sz val="8"/>
            <color indexed="81"/>
            <rFont val="Tahoma"/>
            <family val="2"/>
          </rPr>
          <t xml:space="preserve">
</t>
        </r>
      </text>
    </comment>
    <comment ref="E24" authorId="0" shapeId="0" xr:uid="{3F6F9E23-1CFA-4884-9BA3-F1623B211C3D}">
      <text>
        <r>
          <rPr>
            <b/>
            <sz val="8"/>
            <color indexed="81"/>
            <rFont val="Tahoma"/>
            <family val="2"/>
          </rPr>
          <t>n/a (not applicable).</t>
        </r>
        <r>
          <rPr>
            <sz val="8"/>
            <color indexed="81"/>
            <rFont val="Tahoma"/>
            <family val="2"/>
          </rPr>
          <t xml:space="preserve"> Select n/a if it is the policy of the water utility to meter all customer connections and it has been confirmed by detailed auditing that all customers do indeed have a water meter; i.e. no unmetered accounts exist. In such a case the volume entered must be zero.
</t>
        </r>
        <r>
          <rPr>
            <b/>
            <sz val="8"/>
            <color indexed="10"/>
            <rFont val="Tahoma"/>
            <family val="2"/>
          </rPr>
          <t>1.</t>
        </r>
        <r>
          <rPr>
            <sz val="8"/>
            <color indexed="10"/>
            <rFont val="Tahoma"/>
            <family val="2"/>
          </rPr>
          <t xml:space="preserve"> Water utility policy does not require customer metering; flat or fixed fee billed.  No data collected on customer consumption.  Only estimates available are derived from data estimation methods using average fixture count multiplied by number of connections, or similar approach.</t>
        </r>
        <r>
          <rPr>
            <sz val="8"/>
            <color indexed="81"/>
            <rFont val="Tahoma"/>
            <family val="2"/>
          </rPr>
          <t xml:space="preserve">
</t>
        </r>
        <r>
          <rPr>
            <b/>
            <sz val="8"/>
            <color indexed="53"/>
            <rFont val="Tahoma"/>
            <family val="2"/>
          </rPr>
          <t>2.</t>
        </r>
        <r>
          <rPr>
            <sz val="8"/>
            <color indexed="53"/>
            <rFont val="Tahoma"/>
            <family val="2"/>
          </rPr>
          <t xml:space="preserve"> Water utility policy does not require customer metering; flat or fixed fee billed.  Some metered accounts exist in parts of the system (pilot areas or District Metered Areas) with consumption recorded on portable dataloggers.  Data from these sample meters are used to infer consumption for the total customer population.  Site specific estimation methods are used for unusual buildings/water uses.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Water utility policy does require metering and volume based billing but lacks written procedures and employs casual oversight, resulting in up to 20% of billed accounts believed to be unmetered.  A rough estimate of  the annual consumption for all unmetered accounts is included in the annual water audit, with no inspection of individual unmetered accounts.</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Water utility policy does require metering and volume based billing but exemption exist for a portion of accounts such as municipal buildings.  As many as 15% of billed accounts are unmetered due to this exemption or meter installation difficulties.  Only a group estimate of annual consumption for all unmetered accounts is included in the annual water audit, with no inspection of individual unmetered accounts.</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Water utility policy requires metering and volume based billing for all customer accounts.  However, less than 5% of billed accounts remain unmetered because because installation is hindered by unusual circumstances.  The goal is to minimize the number of unmetered accounts.  Reliable estimates of consumption are obtained for unmetered accounts via site specific estimation methods.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Water utility policy requires metering and volume based billing for all customer accounts.  Less than 2% of billed accounts are unmetered and exist because meter installation is hindered by unusual circumstances.  The goal exists to minimize the number of unmetered accounts to the extent that is economical.  Reliable estimates of consumption are obtained at these accounts via site specific estimation methods.</t>
        </r>
        <r>
          <rPr>
            <sz val="8"/>
            <color indexed="81"/>
            <rFont val="Tahoma"/>
            <family val="2"/>
          </rPr>
          <t xml:space="preserve">
</t>
        </r>
      </text>
    </comment>
    <comment ref="E25" authorId="0" shapeId="0" xr:uid="{F21FCA5D-B278-4127-94DC-415F1E7CEE93}">
      <text>
        <r>
          <rPr>
            <b/>
            <sz val="8"/>
            <color indexed="81"/>
            <rFont val="Tahoma"/>
            <family val="2"/>
          </rPr>
          <t>n/a (not applicable).</t>
        </r>
        <r>
          <rPr>
            <sz val="8"/>
            <color indexed="81"/>
            <rFont val="Tahoma"/>
            <family val="2"/>
          </rPr>
          <t xml:space="preserve"> select n/a if all billing-exempt consumption is unmetered.  
</t>
        </r>
        <r>
          <rPr>
            <b/>
            <sz val="8"/>
            <color indexed="10"/>
            <rFont val="Tahoma"/>
            <family val="2"/>
          </rPr>
          <t>1.</t>
        </r>
        <r>
          <rPr>
            <sz val="8"/>
            <color indexed="10"/>
            <rFont val="Tahoma"/>
            <family val="2"/>
          </rPr>
          <t xml:space="preserve"> Billing practices exempt certain accounts, such as municipal buildings, but written policies do not exist; and a reliable count of unbilled metered accounts is unavailable.  Meter upkeep and meter reading on these accounts is rare and not considered a priority.  Due to poor recordkeeping and lack of auditing, water consumption for all such accounts is purely guesstimated. </t>
        </r>
        <r>
          <rPr>
            <sz val="8"/>
            <color indexed="81"/>
            <rFont val="Tahoma"/>
            <family val="2"/>
          </rPr>
          <t xml:space="preserve">      
</t>
        </r>
        <r>
          <rPr>
            <b/>
            <sz val="8"/>
            <color indexed="53"/>
            <rFont val="Tahoma"/>
            <family val="2"/>
          </rPr>
          <t>2.</t>
        </r>
        <r>
          <rPr>
            <sz val="8"/>
            <color indexed="53"/>
            <rFont val="Tahoma"/>
            <family val="2"/>
          </rPr>
          <t xml:space="preserve"> Billing practices exempt certain accounts, such as municipal buildings, but only scattered, dated written directives exist to justify this practice.  A reliable count of unbilled metered accounts is unavailable.  Sporadic meter replacement and meter reading occurs on an as-needed basis.  The total annual water consumption for all unbilled, metered accounts is estimated based upon approximating the number of accounts and assigning consumption from actively billed accounts of same meter size.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Dated written procedures permit billing exemption for specific accounts, such as municipal properties, but are unclear regarding certain other types of accounts.  Meter reading is given low priority and is sporadic.   Consumption is quantified from meter readings where available.  The total number of unbilled, unmetered accounts must be estimated along with consumption volumes.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Written policies regarding billing exemptions exist but adherence in practice is questionable.  Metering and meter reading for municipal buildings is reliable but sporadic for other unbilled metered accounts.  Periodic auditing of such accounts is conducted.  Water consumption is quantified directly from meter readings where available, but the majority of the consumption is estimated.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Written policy identifies the types of accounts granted a billing exemption.  Customer meter management and meter reading are considered secondary priorities, but meter reading is conducted at least annually to obtain consumption volumes for the annual water audit.  High level auditing of billing records ensures that a reliable census of such accounts exists.</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10.</t>
        </r>
        <r>
          <rPr>
            <sz val="8"/>
            <color indexed="17"/>
            <rFont val="Tahoma"/>
            <family val="2"/>
          </rPr>
          <t xml:space="preserve"> Clearly written policy identifies the types of accounts given a billing exemption, with emphasis on keeping such accounts to a minimum.  Customer meter management and meter reading for these accounts is given proper priority and is reliably conducted.  Regular auditing confirms this.  Total water consumption for these accounts is taken from reliable readings from accurate meters. </t>
        </r>
        <r>
          <rPr>
            <sz val="8"/>
            <color indexed="81"/>
            <rFont val="Tahoma"/>
            <family val="2"/>
          </rPr>
          <t xml:space="preserve">        
</t>
        </r>
      </text>
    </comment>
    <comment ref="E26" authorId="0" shapeId="0" xr:uid="{0E3644E3-436A-4305-829F-C909B69A3717}">
      <text>
        <r>
          <rPr>
            <b/>
            <sz val="8"/>
            <color indexed="10"/>
            <rFont val="Tahoma"/>
            <family val="2"/>
          </rPr>
          <t>1.</t>
        </r>
        <r>
          <rPr>
            <sz val="8"/>
            <color indexed="10"/>
            <rFont val="Tahoma"/>
            <family val="2"/>
          </rPr>
          <t xml:space="preserve"> Extent of unbilled, unmetered consumption is unknown due to unclear policies and poor recordkeeping.  Total consumption is quantified based upon a purely subjective estimate.  </t>
        </r>
        <r>
          <rPr>
            <sz val="8"/>
            <color indexed="81"/>
            <rFont val="Tahoma"/>
            <family val="2"/>
          </rPr>
          <t xml:space="preserve">
</t>
        </r>
        <r>
          <rPr>
            <b/>
            <sz val="8"/>
            <color indexed="53"/>
            <rFont val="Tahoma"/>
            <family val="2"/>
          </rPr>
          <t>2.</t>
        </r>
        <r>
          <rPr>
            <sz val="8"/>
            <color indexed="53"/>
            <rFont val="Tahoma"/>
            <family val="2"/>
          </rPr>
          <t xml:space="preserve"> Clear extent of unbilled, unmetered consumption is unknown, but a number of events are randomly documented each year, confirming existence of such consumption, but without sufficient documentation to quantify an accurate estimate of the annual volume consumed.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Extent of unbilled, unmetered consumption is partially known, and procedures exist to document certain events such as miscellaneous fire hydrant uses.  Formulae is used to quantify the consumption from such events (time running x typical flowrate x number of  events).  </t>
        </r>
        <r>
          <rPr>
            <sz val="8"/>
            <color indexed="81"/>
            <rFont val="Tahoma"/>
            <family val="2"/>
          </rPr>
          <t xml:space="preserve">
</t>
        </r>
        <r>
          <rPr>
            <b/>
            <sz val="8"/>
            <color indexed="81"/>
            <rFont val="Tahoma"/>
            <family val="2"/>
          </rPr>
          <t>5.</t>
        </r>
        <r>
          <rPr>
            <sz val="8"/>
            <color indexed="81"/>
            <rFont val="Tahoma"/>
            <family val="2"/>
          </rPr>
          <t xml:space="preserve"> Default value of 1.25% of system input volume is employed
</t>
        </r>
        <r>
          <rPr>
            <b/>
            <sz val="8"/>
            <color indexed="62"/>
            <rFont val="Tahoma"/>
            <family val="2"/>
          </rPr>
          <t xml:space="preserve">6. </t>
        </r>
        <r>
          <rPr>
            <sz val="8"/>
            <color indexed="62"/>
            <rFont val="Tahoma"/>
            <family val="2"/>
          </rPr>
          <t xml:space="preserve">Coherent policies exist for some forms of unbilled, unmetered consumption but others await closer evaluation. Reasonable recordkeeping for the managed uses exists and allows for annual volumes to be quantified by inference, but unsupervised uses are guesstimated.
</t>
        </r>
        <r>
          <rPr>
            <b/>
            <sz val="8"/>
            <color indexed="62"/>
            <rFont val="Tahoma"/>
            <family val="2"/>
          </rPr>
          <t>7.</t>
        </r>
        <r>
          <rPr>
            <sz val="8"/>
            <color indexed="62"/>
            <rFont val="Tahoma"/>
            <family val="2"/>
          </rPr>
          <t xml:space="preserve"> Conditions between 6 and 8</t>
        </r>
        <r>
          <rPr>
            <sz val="8"/>
            <color indexed="81"/>
            <rFont val="Tahoma"/>
            <family val="2"/>
          </rPr>
          <t xml:space="preserve">
</t>
        </r>
        <r>
          <rPr>
            <b/>
            <sz val="8"/>
            <color indexed="12"/>
            <rFont val="Tahoma"/>
            <family val="2"/>
          </rPr>
          <t xml:space="preserve">8. </t>
        </r>
        <r>
          <rPr>
            <sz val="8"/>
            <color indexed="12"/>
            <rFont val="Tahoma"/>
            <family val="2"/>
          </rPr>
          <t>Clear policies and good recordkeeping exist for some uses (ex: unmetered fire connections registering consumption), but other uses (ex: miscellaneous uses of fire hydrants) have limited oversight.  Total consumption is a mix of well quantified use such as from formulae (time x typical flow) or temporary meters, and relatively subjective estimates of less regulated use.</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10.</t>
        </r>
        <r>
          <rPr>
            <sz val="8"/>
            <color indexed="17"/>
            <rFont val="Tahoma"/>
            <family val="2"/>
          </rPr>
          <t xml:space="preserve"> Clear policies exist to identify permitted use of water in unbilled, unmetered fashion, with the intention of minimizing this type of consumption.  Good records document each occurrence and consumption is quantified via formulae (time x typical flow) or use of temporary meters.</t>
        </r>
        <r>
          <rPr>
            <sz val="8"/>
            <color indexed="81"/>
            <rFont val="Tahoma"/>
            <family val="2"/>
          </rPr>
          <t xml:space="preserve">
</t>
        </r>
      </text>
    </comment>
    <comment ref="J26" authorId="1" shapeId="0" xr:uid="{5749FED6-D2E7-47BC-9E27-A8D5D804F5D8}">
      <text>
        <r>
          <rPr>
            <b/>
            <sz val="8"/>
            <color indexed="81"/>
            <rFont val="Tahoma"/>
            <family val="2"/>
          </rPr>
          <t>Selecting the default percentage option will automatically assign a grading of 5 for this audit component</t>
        </r>
      </text>
    </comment>
    <comment ref="E38" authorId="0" shapeId="0" xr:uid="{0952F8A7-9636-4FBA-912A-5EC869B82023}">
      <text>
        <r>
          <rPr>
            <b/>
            <sz val="8"/>
            <color indexed="10"/>
            <rFont val="Tahoma"/>
            <family val="2"/>
          </rPr>
          <t>1.</t>
        </r>
        <r>
          <rPr>
            <sz val="8"/>
            <color indexed="10"/>
            <rFont val="Tahoma"/>
            <family val="2"/>
          </rPr>
          <t xml:space="preserve"> Extent of unauthorized consumption is unknown due to unclear policies and poor recordkeeping.  Total unauthorized consumption is guesstimated.  </t>
        </r>
        <r>
          <rPr>
            <sz val="8"/>
            <color indexed="81"/>
            <rFont val="Tahoma"/>
            <family val="2"/>
          </rPr>
          <t xml:space="preserve">
</t>
        </r>
        <r>
          <rPr>
            <b/>
            <sz val="8"/>
            <color indexed="53"/>
            <rFont val="Tahoma"/>
            <family val="2"/>
          </rPr>
          <t>2.</t>
        </r>
        <r>
          <rPr>
            <sz val="8"/>
            <color indexed="53"/>
            <rFont val="Tahoma"/>
            <family val="2"/>
          </rPr>
          <t xml:space="preserve"> Unauthorized consumption is a known occurrence, but its extent is a mystery.  There are no requirements to document observed events, but periodic field reports capture some of these occurrences.  Total unauthorized consumption is approximated from this limited data.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Procedures exist to document some unauthorized consumption such as observed unauthorized fire hydrant openings.  Use formulae to quantify this consumption (time running x typical flowrate x number of  events).  </t>
        </r>
        <r>
          <rPr>
            <sz val="8"/>
            <color indexed="81"/>
            <rFont val="Tahoma"/>
            <family val="2"/>
          </rPr>
          <t xml:space="preserve">
</t>
        </r>
        <r>
          <rPr>
            <b/>
            <sz val="8"/>
            <color indexed="81"/>
            <rFont val="Tahoma"/>
            <family val="2"/>
          </rPr>
          <t>5.</t>
        </r>
        <r>
          <rPr>
            <sz val="8"/>
            <color indexed="81"/>
            <rFont val="Tahoma"/>
            <family val="2"/>
          </rPr>
          <t xml:space="preserve"> Default value of 0.25% of system input volume is employed
</t>
        </r>
        <r>
          <rPr>
            <b/>
            <sz val="8"/>
            <color indexed="62"/>
            <rFont val="Tahoma"/>
            <family val="2"/>
          </rPr>
          <t xml:space="preserve">6. </t>
        </r>
        <r>
          <rPr>
            <sz val="8"/>
            <color indexed="62"/>
            <rFont val="Tahoma"/>
            <family val="2"/>
          </rPr>
          <t>Coherent policies exist for some forms of unauthorized consumption but others await closer evaluation. Reasonable surveillance and recordkeeping exist for occurrences that fall under the policy.  Volumes quantified by inference from these records.  Unsupervised uses are guesstimated.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 policies and good recordkeeping exist for certain events (ex: tampering with water meters); other occurrences have limited oversight.  Total consumption is a combination of volumes from formulae (time x typical flow) and subjective estimates of unconfirmed consumption.</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Clear policies exist to identify all known unauthorized uses of water.  Staff and procedures exist to provide enforcement of policies and detect violations.  Each occurrence is quantified via formulae (time x typical flow) or similar methods.</t>
        </r>
        <r>
          <rPr>
            <sz val="8"/>
            <color indexed="81"/>
            <rFont val="Tahoma"/>
            <family val="2"/>
          </rPr>
          <t xml:space="preserve">  
</t>
        </r>
      </text>
    </comment>
    <comment ref="J38" authorId="1" shapeId="0" xr:uid="{267F9BD2-1AA7-4ECB-986B-7291ECE0FF40}">
      <text>
        <r>
          <rPr>
            <b/>
            <sz val="8"/>
            <color indexed="81"/>
            <rFont val="Tahoma"/>
            <family val="2"/>
          </rPr>
          <t>Selecting the default percentage option will automatically assign a grading of 5 for this audit component</t>
        </r>
      </text>
    </comment>
    <comment ref="E42" authorId="0" shapeId="0" xr:uid="{6B246274-2FB6-4C58-9DAE-3CE2647B73CB}">
      <text>
        <r>
          <rPr>
            <b/>
            <sz val="8"/>
            <color indexed="81"/>
            <rFont val="Tahoma"/>
            <family val="2"/>
          </rPr>
          <t>n/a (not applicable).</t>
        </r>
        <r>
          <rPr>
            <sz val="8"/>
            <color indexed="81"/>
            <rFont val="Tahoma"/>
            <family val="2"/>
          </rPr>
          <t xml:space="preserve"> select n/a only if the entire customer population is unmetered. In such a case the volume entered must be zero.
</t>
        </r>
        <r>
          <rPr>
            <b/>
            <sz val="8"/>
            <color indexed="10"/>
            <rFont val="Tahoma"/>
            <family val="2"/>
          </rPr>
          <t>1.</t>
        </r>
        <r>
          <rPr>
            <sz val="8"/>
            <color indexed="10"/>
            <rFont val="Tahoma"/>
            <family val="2"/>
          </rPr>
          <t xml:space="preserve"> Customer meters exist, but with unorganized paper records on meters; no meter accuracy testing or meter replacement program.  Workflow is driven chaotically by customer complaints with no proactive management.  Loss volume due to aggregate meter inaccuracy is guesstimated.</t>
        </r>
        <r>
          <rPr>
            <sz val="8"/>
            <color indexed="81"/>
            <rFont val="Tahoma"/>
            <family val="2"/>
          </rPr>
          <t xml:space="preserve">
</t>
        </r>
        <r>
          <rPr>
            <b/>
            <sz val="8"/>
            <color indexed="53"/>
            <rFont val="Tahoma"/>
            <family val="2"/>
          </rPr>
          <t>2.</t>
        </r>
        <r>
          <rPr>
            <sz val="8"/>
            <color indexed="53"/>
            <rFont val="Tahoma"/>
            <family val="2"/>
          </rPr>
          <t xml:space="preserve"> Poor recordkeeping and meter oversight is recognized by water utility management who has allotted staff and funding resources to organize improved recordkeeping and start meter accuracy testing.  Existing paper records gathered and organized to provide cursory disposition of meter population.</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Reliable recordkeeping exists; meter information is improving as meters are replaced.    Meter accuracy testing is conducted annually for a small number of meters.  Limited number of oldest meters replaced each year.  Inaccuracy volume is largely an estimate, but refined based upon limited testing data.</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 reliable electronic recordkeeping system for meters exists.  Population includes a mix of new high performing meters and dated meters with suspect accuracy.  Routine, but limited, meter accuracy testing and meter replacement occur.  Inaccuracy volume is quantified using a mix of reliable and less certain data.</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Ongoing meter replacement and accuracy testing result in highly accurate customer meter population.  Testing is conducted on samples of meters at varying lifespans to determine optimum replacement time for various types of meters.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Good records of number, type and size of customer meters; ongoing meter replacement occurs.  Regular meter accuracy testing gives reliable measure of composite inaccuracy volume for the system.  New metering technology is embraced to keep overall accuracy improving.</t>
        </r>
      </text>
    </comment>
    <comment ref="J42" authorId="1" shapeId="0" xr:uid="{738C499E-ED70-4894-B182-4AC806CB3D5B}">
      <text>
        <r>
          <rPr>
            <b/>
            <sz val="8"/>
            <color indexed="81"/>
            <rFont val="Tahoma"/>
            <family val="2"/>
          </rPr>
          <t>Enter a value &lt; 10%</t>
        </r>
      </text>
    </comment>
    <comment ref="E43" authorId="0" shapeId="0" xr:uid="{724695FC-3947-4930-9AE6-73197127C279}">
      <text>
        <r>
          <rPr>
            <b/>
            <sz val="8"/>
            <color indexed="81"/>
            <rFont val="Tahoma"/>
            <family val="2"/>
          </rPr>
          <t xml:space="preserve">Note: </t>
        </r>
        <r>
          <rPr>
            <sz val="8"/>
            <color indexed="81"/>
            <rFont val="Tahoma"/>
            <family val="2"/>
          </rPr>
          <t xml:space="preserve">all water utilities incur some amount of this error. Even in water utilities with unmetered customer populations and fixed rate billing, errors occur in annual billing tabulations. Enter a positive value for the volume and select a grading.
</t>
        </r>
        <r>
          <rPr>
            <b/>
            <sz val="8"/>
            <color indexed="10"/>
            <rFont val="Tahoma"/>
            <family val="2"/>
          </rPr>
          <t>1.</t>
        </r>
        <r>
          <rPr>
            <sz val="8"/>
            <color indexed="10"/>
            <rFont val="Tahoma"/>
            <family val="2"/>
          </rPr>
          <t xml:space="preserve"> Vague policy for permitting (creating new customer accounts) and billing. Billing data maintained on paper records which are in disarray.  No audits conducted to confirm billing data handling efficiency.  Unknown number of customers escape routine billing due to lack of billing process oversight.</t>
        </r>
        <r>
          <rPr>
            <sz val="8"/>
            <color indexed="81"/>
            <rFont val="Tahoma"/>
            <family val="2"/>
          </rPr>
          <t xml:space="preserve">
</t>
        </r>
        <r>
          <rPr>
            <b/>
            <sz val="8"/>
            <color indexed="53"/>
            <rFont val="Tahoma"/>
            <family val="2"/>
          </rPr>
          <t>2.</t>
        </r>
        <r>
          <rPr>
            <sz val="8"/>
            <color indexed="53"/>
            <rFont val="Tahoma"/>
            <family val="2"/>
          </rPr>
          <t xml:space="preserve"> Policy for permitting and billing exists but needs refinement. Billing data maintained on paper records or insufficiently capable electronic database.  Only periodic unstructured auditing work conducted to confirm billing data handling efficiency.  Volume of unbilled water due to billing lapses is a guess.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Policy and procedures for permitting and billing exist but needs refinement.  Computerized billing system exists, but is dated or lacks needed functionality.  Periodic, limited internal audits conducted and confirm with approximate accuracy the consumption volumes lost to billing lapses.</t>
        </r>
        <r>
          <rPr>
            <sz val="8"/>
            <color indexed="81"/>
            <rFont val="Tahoma"/>
            <family val="2"/>
          </rPr>
          <t xml:space="preserve">
</t>
        </r>
        <r>
          <rPr>
            <b/>
            <sz val="8"/>
            <color indexed="81"/>
            <rFont val="Tahoma"/>
            <family val="2"/>
          </rPr>
          <t xml:space="preserve">5. </t>
        </r>
        <r>
          <rPr>
            <sz val="8"/>
            <color indexed="81"/>
            <rFont val="Tahoma"/>
            <family val="2"/>
          </rPr>
          <t xml:space="preserve">Conditions between 4 and 6
</t>
        </r>
        <r>
          <rPr>
            <b/>
            <sz val="8"/>
            <color indexed="62"/>
            <rFont val="Tahoma"/>
            <family val="2"/>
          </rPr>
          <t>6.</t>
        </r>
        <r>
          <rPr>
            <sz val="8"/>
            <color indexed="62"/>
            <rFont val="Tahoma"/>
            <family val="2"/>
          </rPr>
          <t xml:space="preserve"> Policy for permitting and billing is adequate and reviewed periodically.  Computerized billing system in use with basic reporting available.  Any effect of billing adjustments on measured consumption volumes is well understood.  Internal checks of billing data error conducted annually.  Reasonably accurate quantification of consumption volume lost to billing lapses is obtained.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Permitting and billing policy reviewed at least biannually.  Computerized billing system includes an array of reports to confirm billing data and system functionality.  Annual internal checks conducted with periodic third party audit.  Accountability checks flag billing lapses.  Consumption lost to billing lapses is well quantified and reducing year-by-year.</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policy exists for permitting of all customer billing accounts.  Robust computerized billing system gives high functionality and reporting capabilities.  Assessment of policy and data handling errors conducted internally and audited by third party annually, ensuring consumption lost to billing lapses is minimized and detected as it occurs. </t>
        </r>
      </text>
    </comment>
    <comment ref="E62" authorId="0" shapeId="0" xr:uid="{4E08470C-9C1A-4E14-BBA9-B46C3A99290C}">
      <text>
        <r>
          <rPr>
            <b/>
            <sz val="8"/>
            <color indexed="10"/>
            <rFont val="Tahoma"/>
            <family val="2"/>
          </rPr>
          <t>1.</t>
        </r>
        <r>
          <rPr>
            <sz val="8"/>
            <color indexed="10"/>
            <rFont val="Tahoma"/>
            <family val="2"/>
          </rPr>
          <t xml:space="preserve"> Poorly assembled and maintained paper as-built records of existing water main installations makes accurate determination of system pipe length impossible.  Length of mains is guesstimated.</t>
        </r>
        <r>
          <rPr>
            <sz val="8"/>
            <color indexed="81"/>
            <rFont val="Tahoma"/>
            <family val="2"/>
          </rPr>
          <t xml:space="preserve">
</t>
        </r>
        <r>
          <rPr>
            <b/>
            <sz val="8"/>
            <color indexed="53"/>
            <rFont val="Tahoma"/>
            <family val="2"/>
          </rPr>
          <t xml:space="preserve">2. </t>
        </r>
        <r>
          <rPr>
            <sz val="8"/>
            <color indexed="53"/>
            <rFont val="Tahoma"/>
            <family val="2"/>
          </rPr>
          <t>Paper records in poor condition (no annual tracking of installations &amp; abandonments).  Poor procedures to ensure that new water mains installed by developers are accurately documented.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Sound policy and procedures for permitting and documenting new water main installations, but gaps in management result in a uncertain degree of error in tabulation of mains length.</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Sound policy and procedures exist for permitting and commissioning new water mains.  Highly accurate paper records with regular field validation; or electronic records and asset management system in good condition.  Includes system backup.</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Sound policy and procedures exist for permitting and commissioning new water mains.  Electronic recordkeeping and asset management system are used to store and manage data.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policy exists for managing water mains extensions and replacements.  Geographic Information System (GIS) data and asset management database agree and random field validation proves truth of databases.</t>
        </r>
      </text>
    </comment>
    <comment ref="E63" authorId="0" shapeId="0" xr:uid="{F5D43537-0C39-4062-BE35-DEEF02FDF461}">
      <text>
        <r>
          <rPr>
            <b/>
            <sz val="8"/>
            <color indexed="10"/>
            <rFont val="Tahoma"/>
            <family val="2"/>
          </rPr>
          <t xml:space="preserve">1. </t>
        </r>
        <r>
          <rPr>
            <sz val="8"/>
            <color indexed="10"/>
            <rFont val="Tahoma"/>
            <family val="2"/>
          </rPr>
          <t>Vague permitting (of new service connections) policy and poor paper recordkeeping of customer connections/billings result in suspect determination of the number of service connections, which may be 10-15% in error from actual count.</t>
        </r>
        <r>
          <rPr>
            <sz val="8"/>
            <color indexed="81"/>
            <rFont val="Tahoma"/>
            <family val="2"/>
          </rPr>
          <t xml:space="preserve"> 
</t>
        </r>
        <r>
          <rPr>
            <b/>
            <sz val="8"/>
            <color indexed="53"/>
            <rFont val="Tahoma"/>
            <family val="2"/>
          </rPr>
          <t>2.</t>
        </r>
        <r>
          <rPr>
            <sz val="8"/>
            <color indexed="53"/>
            <rFont val="Tahoma"/>
            <family val="2"/>
          </rPr>
          <t xml:space="preserve"> General permitting policy exists but paper records, procedural gaps, and weak oversight result in questionable total for number of connections, which may vary 5-10% of actual count.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Permitting policy and procedures exist, but with some gaps in performance and oversight.  Computerized information management system is being brought online to replace dated paper recordkeeping system.  Reasonably accurate tracking of service connection installations &amp; abandonments; but count can be up to 5% in error from actual total.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Permitting policy and procedures are adequate and reviewed periodically.  Computerized information management system is in use with annual installations &amp; abandonments totaled.  Very limited field verifications and audits.  Error in count of number of service connections is believed to be no more that 3%.</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Permitting policy and procedures reviewed at least biannually.  Well-managed computerized information management system and routine, periodic field checks and internal system audits allows counts of connections that is no more than 2% in error.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Sound permitting policy and well managed and audited procedures ensure reliable management of service connection population.  Computerized information management system and Geographic Information System (GIS) information agree; field validation proves truth of databases.  Count of connections believed to be in error by less than 1%.</t>
        </r>
        <r>
          <rPr>
            <sz val="8"/>
            <color indexed="81"/>
            <rFont val="Tahoma"/>
            <family val="2"/>
          </rPr>
          <t xml:space="preserve">
</t>
        </r>
      </text>
    </comment>
    <comment ref="E65" authorId="0" shapeId="0" xr:uid="{BE02B9C2-C5F5-4B44-927A-3D6C748DFDB7}">
      <text>
        <r>
          <rPr>
            <b/>
            <sz val="8"/>
            <color indexed="81"/>
            <rFont val="Tahoma"/>
            <family val="2"/>
          </rPr>
          <t xml:space="preserve">Note: </t>
        </r>
        <r>
          <rPr>
            <sz val="8"/>
            <color indexed="81"/>
            <rFont val="Tahoma"/>
            <family val="2"/>
          </rPr>
          <t xml:space="preserve">if customer water meters are located outside of the customer building next to the curbstop or boundary separating utility/customer responsibility, follow the grading description for 10(a) below. Also see the Service Connection Diagram worksheet.
</t>
        </r>
        <r>
          <rPr>
            <b/>
            <sz val="8"/>
            <color indexed="10"/>
            <rFont val="Tahoma"/>
            <family val="2"/>
          </rPr>
          <t>1.</t>
        </r>
        <r>
          <rPr>
            <sz val="8"/>
            <color indexed="10"/>
            <rFont val="Tahoma"/>
            <family val="2"/>
          </rPr>
          <t xml:space="preserve"> Vague policy exists to define the delineation of water utility ownership and customer ownership of the service connection piping.  Curbstops are perceived as the breakpoint but these have not been well-maintained or documented.  Most are buried or obscured.  Their location varies widely from site-to-site, and estimating this distance is arbitrary due to the unknown location of many curbstops.</t>
        </r>
        <r>
          <rPr>
            <sz val="8"/>
            <color indexed="81"/>
            <rFont val="Tahoma"/>
            <family val="2"/>
          </rPr>
          <t xml:space="preserve">
</t>
        </r>
        <r>
          <rPr>
            <b/>
            <sz val="8"/>
            <color indexed="53"/>
            <rFont val="Tahoma"/>
            <family val="2"/>
          </rPr>
          <t>2.</t>
        </r>
        <r>
          <rPr>
            <sz val="8"/>
            <color indexed="53"/>
            <rFont val="Tahoma"/>
            <family val="2"/>
          </rPr>
          <t xml:space="preserve"> Policy requires that the curbstop serves as the delineation point between water utility ownership and customer ownership of the service connection piping.  The piping from the water main to the curbstop is the property of the water utility; and the piping from the curbstop to the customer building is owned by the customer.  Curbstop locations are not well documented and the average distance is based upon a limited number of locations measured in the field.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Good policy requires that the curbstop serves as the delineation point between water utility ownership and customer ownership of the service connection piping.  Curbstops are generally installed as needed and are reasonably documented.  Their location varies widely from site-to-site, and an estimate of this distance is hindered by the availability of paper records.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 xml:space="preserve">6. </t>
        </r>
        <r>
          <rPr>
            <sz val="8"/>
            <color indexed="62"/>
            <rFont val="Tahoma"/>
            <family val="2"/>
          </rPr>
          <t xml:space="preserve">Clear policy exists to define utility/customer responsibility for service connection piping.  Accurate, well-maintained paper or basic electronic recordkeeping system exists.  Periodic field checks confirm piping lengths for a sample of customer properties.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Clearly worded policy standardizes the location of curbstops and meters, which are inspected upon installation.  Accurate and well maintained electronic records exist with periodic field checks to confirm locations of service lines, curbstops and customer meter pits.  An accurate number of customer properties from the customer billing system allows for reliable averaging of this length.</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a) The customer water meter is located outside of the customer building adjacent to the curbstop or boundary separating utility/customer responsibility for the service connection piping.  In this case enter a value of zero in the Reporting Worksheet with a grading of 10.
b). Customer water meters are located inside customer buildings, or the properties are unmetered.  In either case the distance is highly reliable since data is drawn from a Geographic Information System (GIS) and confirmed by routine field checks.</t>
        </r>
      </text>
    </comment>
    <comment ref="E67" authorId="0" shapeId="0" xr:uid="{49129ACB-8336-44AB-84BA-842C6A8C1403}">
      <text>
        <r>
          <rPr>
            <b/>
            <sz val="8"/>
            <color indexed="10"/>
            <rFont val="Tahoma"/>
            <family val="2"/>
          </rPr>
          <t xml:space="preserve">1. </t>
        </r>
        <r>
          <rPr>
            <sz val="8"/>
            <color indexed="10"/>
            <rFont val="Tahoma"/>
            <family val="2"/>
          </rPr>
          <t xml:space="preserve">Available records are poorly assembled and maintained paper records of supply pump characteristics and water distribution system operating conditions.  Average pressure is guesstimated based upon this information and ground elevations from crude topographical maps.  Widely varying distribution system pressures due to undulating terrain, high system head loss and weak/erratic pressure controls further compromise the validity of the average pressure calculation.  </t>
        </r>
        <r>
          <rPr>
            <sz val="8"/>
            <color indexed="81"/>
            <rFont val="Tahoma"/>
            <family val="2"/>
          </rPr>
          <t xml:space="preserve">
</t>
        </r>
        <r>
          <rPr>
            <b/>
            <sz val="8"/>
            <color indexed="53"/>
            <rFont val="Tahoma"/>
            <family val="2"/>
          </rPr>
          <t xml:space="preserve">2. </t>
        </r>
        <r>
          <rPr>
            <sz val="8"/>
            <color indexed="53"/>
            <rFont val="Tahoma"/>
            <family val="2"/>
          </rPr>
          <t xml:space="preserve">Limited telemetry monitoring of scattered sites provides some static pressure data, which is recorded in handwritten logbooks.  Pressure data is gathered at individual sites only when low pressure complaints arise.  Average pressure is determined by averaging relatively crude data, and is affected by significant variation in ground elevations, system head loss and gaps in pressure controls in the distribution system.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Effective pressure controls separate different pressure zones; moderate pressure variation across the system, occasional open boundary valves are discovered that breech pressure zones.  Basic telemetry monitoring of the distribution system logs pressure data electronically.  Pressure data gathered by gauges or dataloggers at fire hydrants or buildings when low pressure complaints arise, and during fire flow tests and system flushing.  Reliable topographical data exists.  Average pressure is calculated using this mix of data. </t>
        </r>
        <r>
          <rPr>
            <sz val="8"/>
            <color indexed="81"/>
            <rFont val="Tahoma"/>
            <family val="2"/>
          </rPr>
          <t xml:space="preserve">
</t>
        </r>
        <r>
          <rPr>
            <b/>
            <sz val="8"/>
            <color indexed="81"/>
            <rFont val="Tahoma"/>
            <family val="2"/>
          </rPr>
          <t>5.</t>
        </r>
        <r>
          <rPr>
            <sz val="8"/>
            <color indexed="81"/>
            <rFont val="Tahoma"/>
            <family val="2"/>
          </rPr>
          <t xml:space="preserve"> Conditions between 4 and 6
</t>
        </r>
        <r>
          <rPr>
            <sz val="8"/>
            <color indexed="62"/>
            <rFont val="Tahoma"/>
            <family val="2"/>
          </rPr>
          <t xml:space="preserve">6. Reliable pressure controls separate distinct pressure zones; only very occasional open boundary valves are encountered that breech pressure zones.  Well-covered telemetry monitoring of the distribution system logs extensive pressure data electronically.  Pressure gathered by gauges/dataloggers at fire hydrants and buildings when low pressure complaints arise, and during fire flow tests and system flushing.  Average pressure is determined by using this mix of reliable data.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Well-managed, discrete pressure zones exist with generally predictable pressure fluctuations.  A current full-scale SCADA System exists to monitor the water distribution system and collect data, including real time pressure readings at representative sites across the system.  The average system pressure is determined from reliable SCADA System data. </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 xml:space="preserve">10. </t>
        </r>
        <r>
          <rPr>
            <sz val="8"/>
            <color indexed="17"/>
            <rFont val="Tahoma"/>
            <family val="2"/>
          </rPr>
          <t xml:space="preserve">Well-managed pressure districts/zones, SCADA System and hydraulic model exist to give very precise pressure data across the water distribution system.  Average system pressure is reliably calculated from extensive, reliable, and cross-checked data. </t>
        </r>
      </text>
    </comment>
    <comment ref="E74" authorId="0" shapeId="0" xr:uid="{FC65249F-FDCA-4917-AEAE-75423C8FD426}">
      <text>
        <r>
          <rPr>
            <b/>
            <sz val="8"/>
            <color indexed="10"/>
            <rFont val="Tahoma"/>
            <family val="2"/>
          </rPr>
          <t>1.</t>
        </r>
        <r>
          <rPr>
            <sz val="8"/>
            <color indexed="10"/>
            <rFont val="Tahoma"/>
            <family val="2"/>
          </rPr>
          <t xml:space="preserve"> Incomplete paper records and lack of documentation on many operating functions making calculation of water system operating costs a pure guesstimate</t>
        </r>
        <r>
          <rPr>
            <sz val="8"/>
            <color indexed="81"/>
            <rFont val="Tahoma"/>
            <family val="2"/>
          </rPr>
          <t xml:space="preserve">
</t>
        </r>
        <r>
          <rPr>
            <b/>
            <sz val="8"/>
            <color indexed="53"/>
            <rFont val="Tahoma"/>
            <family val="2"/>
          </rPr>
          <t>2.</t>
        </r>
        <r>
          <rPr>
            <sz val="8"/>
            <color indexed="53"/>
            <rFont val="Tahoma"/>
            <family val="2"/>
          </rPr>
          <t xml:space="preserve"> Reasonably maintained, but incomplete, paper or electronic accounting provides data to estimate the major portion of water system operating costs.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 xml:space="preserve">Electronic, industry-standard cost accounting system in place.  Gaps in data known to exist, periodic internal reviews conducted but not a structured audit.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Data audited periodically by utility personnel, not a Certified Public Accountant (CPA).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Reliable electronic, industry-standard cost accounting system in place, with all pertinent water system operating costs tracked.  Data audited at least annually by utility personnel, and periodically by third-party CPA.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Reliable electronic, industry-standard cost accounting system in place, with all pertinent water system operating costs tracked.  Data audited annually by utility personnel and by third-party CPA.  </t>
        </r>
        <r>
          <rPr>
            <sz val="8"/>
            <color indexed="81"/>
            <rFont val="Tahoma"/>
            <family val="2"/>
          </rPr>
          <t xml:space="preserve">
</t>
        </r>
      </text>
    </comment>
    <comment ref="E75" authorId="0" shapeId="0" xr:uid="{74715E37-AD62-48FE-B5B3-E238DD293CED}">
      <text>
        <r>
          <rPr>
            <b/>
            <sz val="8"/>
            <color indexed="10"/>
            <rFont val="Tahoma"/>
            <family val="2"/>
          </rPr>
          <t xml:space="preserve">1. </t>
        </r>
        <r>
          <rPr>
            <sz val="8"/>
            <color indexed="10"/>
            <rFont val="Tahoma"/>
            <family val="2"/>
          </rPr>
          <t>Antiquated, cumbersome water rate structure is use, with periodic historic amendments that were poorly documented and implemented; resulting in classes of customers being billed inconsistent charges.  The actual composite billing rate likely differs significantly from the published water rate structure, but a lack of auditing leaves the degree of error indeterminate.</t>
        </r>
        <r>
          <rPr>
            <sz val="8"/>
            <color indexed="81"/>
            <rFont val="Tahoma"/>
            <family val="2"/>
          </rPr>
          <t xml:space="preserve">
</t>
        </r>
        <r>
          <rPr>
            <b/>
            <sz val="8"/>
            <color indexed="53"/>
            <rFont val="Tahoma"/>
            <family val="2"/>
          </rPr>
          <t>2.</t>
        </r>
        <r>
          <rPr>
            <sz val="8"/>
            <color indexed="53"/>
            <rFont val="Tahoma"/>
            <family val="2"/>
          </rPr>
          <t xml:space="preserve"> Dated, cumbersome water rate structure, not always employed consistently in actual billing operations.  The actual composite billing rate is known to differ from the published water rate structure, and a reasonably accurate estimate of the degree of error is determined, allowing a composite billing rate to be quantified.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Straight-forward water rate structure in use, but not updated in several years.  Billing operations reliably employ the rate structure.  The composite billing rate is derived from a single customer class such as residential customer accounts, neglecting the effect of different rates from varying customer classes.</t>
        </r>
        <r>
          <rPr>
            <sz val="8"/>
            <color indexed="81"/>
            <rFont val="Tahoma"/>
            <family val="2"/>
          </rPr>
          <t xml:space="preserve">
</t>
        </r>
        <r>
          <rPr>
            <b/>
            <sz val="8"/>
            <color indexed="81"/>
            <rFont val="Tahoma"/>
            <family val="2"/>
          </rPr>
          <t>5.</t>
        </r>
        <r>
          <rPr>
            <sz val="8"/>
            <color indexed="81"/>
            <rFont val="Tahoma"/>
            <family val="2"/>
          </rPr>
          <t xml:space="preserve"> Customer population unmetered. Fixed fee charged; single composite number derived from multiple customer classes.
</t>
        </r>
        <r>
          <rPr>
            <b/>
            <sz val="8"/>
            <color indexed="62"/>
            <rFont val="Tahoma"/>
            <family val="2"/>
          </rPr>
          <t>6.</t>
        </r>
        <r>
          <rPr>
            <sz val="8"/>
            <color indexed="62"/>
            <rFont val="Tahoma"/>
            <family val="2"/>
          </rPr>
          <t xml:space="preserve"> Clearly written, up-to-date water rate structure is in force and is applied reliably in billing operations.  Composite customer rate is determined using a weighted average residential rate using volumes of water in each rate block.</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Effective water rate structure is in force and is applied reliably in billing operations.  Composite customer rate is determined using a weighted average composite consumption rate, including residential, commercial, industrial and any other customer classes within the water rate structure.</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Third party reviewed weighted average composite consumption rate (includes residential, commercial, industrial, etc.)</t>
        </r>
      </text>
    </comment>
    <comment ref="E76" authorId="0" shapeId="0" xr:uid="{EA07F236-98DF-4F95-986E-40B85BFE5EA3}">
      <text>
        <r>
          <rPr>
            <b/>
            <sz val="8"/>
            <color indexed="81"/>
            <rFont val="Tahoma"/>
            <family val="2"/>
          </rPr>
          <t xml:space="preserve">Note: </t>
        </r>
        <r>
          <rPr>
            <sz val="8"/>
            <color indexed="81"/>
            <rFont val="Tahoma"/>
            <family val="2"/>
          </rPr>
          <t xml:space="preserve"> if the water utility purchases/imports its entire water supply, then enter the unit purchase cost of the bulk water supply in the Reporting Worksheet with a grading of 10
</t>
        </r>
        <r>
          <rPr>
            <b/>
            <sz val="8"/>
            <color indexed="10"/>
            <rFont val="Tahoma"/>
            <family val="2"/>
          </rPr>
          <t xml:space="preserve">1. </t>
        </r>
        <r>
          <rPr>
            <sz val="8"/>
            <color indexed="10"/>
            <rFont val="Tahoma"/>
            <family val="2"/>
          </rPr>
          <t>Incomplete paper records and lack of documentation on primary operating functions (electric power and treatment costs most importantly) makes calculation of variable production costs a pure guesstimate</t>
        </r>
        <r>
          <rPr>
            <sz val="8"/>
            <color indexed="81"/>
            <rFont val="Tahoma"/>
            <family val="2"/>
          </rPr>
          <t xml:space="preserve">
</t>
        </r>
        <r>
          <rPr>
            <b/>
            <sz val="8"/>
            <color indexed="53"/>
            <rFont val="Tahoma"/>
            <family val="2"/>
          </rPr>
          <t xml:space="preserve">2. </t>
        </r>
        <r>
          <rPr>
            <sz val="8"/>
            <color indexed="53"/>
            <rFont val="Tahoma"/>
            <family val="2"/>
          </rPr>
          <t xml:space="preserve">Reasonably maintained, but incomplete, paper or electronic accounting provides data to roughly estimate the basic operations costs (pumping power costs and treatment costs) and calculate a unit variable production cost.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 xml:space="preserve">4. </t>
        </r>
        <r>
          <rPr>
            <sz val="8"/>
            <color indexed="20"/>
            <rFont val="Tahoma"/>
            <family val="2"/>
          </rPr>
          <t xml:space="preserve">Electronic, industry-standard cost accounting system in place.  Electric power and treatment costs are reliably tracked and allow accurate calculation of unit variable production costs based on these two inputs only. All costs are audited internally on a periodic basis.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Pertinent additional costs beyond power and treatment (ex: liability, residuals management, etc.) are included in the unit variable production cost.  Data audited at least annually by utility personnel.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 xml:space="preserve">8. </t>
        </r>
        <r>
          <rPr>
            <sz val="8"/>
            <color indexed="12"/>
            <rFont val="Tahoma"/>
            <family val="2"/>
          </rPr>
          <t xml:space="preserve">Reliable electronic, industry-standard cost accounting system in place, with all pertinent variable production costs tracked.  Data audited at least annually by utility personnel, and periodically by third-party.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a) Third party CPA audit of all primary and secondary cost components on an annual basis.
or:
b) Water supply is entirely purchased as bulk imported water, and unit purchase cost serves as the variable production cost.</t>
        </r>
      </text>
    </comment>
  </commentList>
</comments>
</file>

<file path=xl/sharedStrings.xml><?xml version="1.0" encoding="utf-8"?>
<sst xmlns="http://schemas.openxmlformats.org/spreadsheetml/2006/main" count="968" uniqueCount="632">
  <si>
    <t>Select n/a if it is the policy of the water utility to meter all customer connections and it has been confirmed by detailed auditing that all customers do indeed have a water meter; i.e. no unmetered accounts exist</t>
  </si>
  <si>
    <t>Water utility policy does require metering and volume based billing but exemption exist for a portion of accounts such as municipal buildings.  As many as 15% of billed accounts are unmetered due to this exemption or meter installation difficulties.  Only a group estimate of annual consumption for all unmetered accounts is included in the annual water audit, with no inspection of individual unmetered accounts.</t>
  </si>
  <si>
    <t>Water utility policy requires metering and volume based billing for all customer accounts.  Less than 2% of billed accounts are unmetered and exist because meter installation is hindered by unusual circumstances.  The goal exists to minimize the number of unmetered accounts to the extent that is economical.  Reliable estimates of consumption are obtained at these accounts via site specific estimation methods.</t>
  </si>
  <si>
    <r>
      <t>to qualify for 8</t>
    </r>
    <r>
      <rPr>
        <sz val="8"/>
        <rFont val="Arial"/>
        <family val="2"/>
      </rPr>
      <t>:
Install customer meters on a full scale basis.  Refine metering policy and procedures to ensure that all accounts, including municipal properties, are designated for meters.  Implement procedures to obtain reliable consumption estimate for unmetered accounts awaiting meter installation.</t>
    </r>
  </si>
  <si>
    <t>Improvements to attain higher data grading for "Unbilled Unmetered Consumption" component:</t>
  </si>
  <si>
    <t>Improvements to attain higher data grading for "Unauthorized Consumption" component:</t>
  </si>
  <si>
    <t>Poor recordkeeping and meter oversight is recognized by water utility management who has allotted staff and funding resources to organize improved recordkeeping and start meter accuracy testing.  Existing paper records gathered and organized to provide cursory disposition of meter population.</t>
  </si>
  <si>
    <t>English 4.1</t>
  </si>
  <si>
    <r>
      <t xml:space="preserve">to qualify for 2:
</t>
    </r>
    <r>
      <rPr>
        <sz val="8"/>
        <rFont val="Arial"/>
        <family val="2"/>
      </rPr>
      <t>Develop plan to restructure recordkeeping system to capture all flow data; set procedure to review data daily to detect input errors</t>
    </r>
  </si>
  <si>
    <r>
      <t>to qualify for 6</t>
    </r>
    <r>
      <rPr>
        <sz val="8"/>
        <rFont val="Arial"/>
        <family val="2"/>
      </rPr>
      <t xml:space="preserve">:
Review hourly production meter data for gross error on, at least, a weekly basis.  Begin to install instrumentation on tanks/storage facilities to record elevation changes.  Use daily net storage change to balance flows in calculating "Water Supplied" volume. </t>
    </r>
  </si>
  <si>
    <t>An estimate or measure of the degree of any inaccuracy that exists in the master meters measuring the Volume from own sources. Please also indicate if this adjustment is because the master meters under-registered (did not capture all the flow) or over-registered (overstated the actual flow). All systems encounter some degree of error in their Master Meter data. Please enter a positive value.</t>
  </si>
  <si>
    <r>
      <t xml:space="preserve">Once data has been entered into the Reporting Worksheet, the performance indicators are automatically calculated.  How does a water utility operator know how well his or her system is performing?  The AWWA Water Loss Control Committee provided the following table to assist water utilities is gauging an approximate Infrastructure Leakage Index (ILI) that is appropriate for their water system and local conditions.  The lower the amount of leakage and real losses that exist in the system, then the lower the ILI value will be. 
</t>
    </r>
    <r>
      <rPr>
        <b/>
        <u/>
        <sz val="11"/>
        <rFont val="Courier New"/>
        <family val="3"/>
      </rPr>
      <t>Note:</t>
    </r>
    <r>
      <rPr>
        <b/>
        <sz val="11"/>
        <rFont val="Courier New"/>
        <family val="3"/>
      </rPr>
      <t xml:space="preserve"> this table offers an approximate guideline for leakage reduction target-setting.  The best means of setting such targets include performing an economic assessment of various loss control methods.  However, this table is useful if such an assessment is not possible. </t>
    </r>
  </si>
  <si>
    <r>
      <t>to qualify for 8</t>
    </r>
    <r>
      <rPr>
        <sz val="8"/>
        <rFont val="Arial"/>
        <family val="2"/>
      </rPr>
      <t xml:space="preserve">:  
Install a Supervisory Control and Data Acquisition (SCADA) System to monitor system parameters and control operations.  Set regular calibration schedule for instrumentation to insure data accuracy.  Obtain accurate topographical data and utilize pressure data gathered from field surveys to provide extensive, reliable data for pressure averaging.  </t>
    </r>
  </si>
  <si>
    <t xml:space="preserve">Good policy requires that the curbstop serves as the delineation point between water utility ownership and customer ownership of the service connection piping.  Curbstops are generally installed as needed and are reasonably documented.  Their location varies widely from site-to-site, and an estimate of this distance is hindered by the availability of paper records.   </t>
  </si>
  <si>
    <t>The user may develop an audit based on one of three unit selections: 
1) Million Gallons (US)
2) Megalitres (Thousand Cubic Metres)
3) Acre-feet
Once this selection has been made in the instructions sheet, all calculations are made on the basis of the chosen units. Should the user wish to make additional conversions, a unit converter is provided below (use drop down menus to select units from the yellow unit boxes):</t>
  </si>
  <si>
    <t>Regional Municipality of Peel</t>
  </si>
  <si>
    <t>Systematic data handling errors:</t>
  </si>
  <si>
    <t>Water imported:</t>
  </si>
  <si>
    <t>Water exported:</t>
  </si>
  <si>
    <t>Authorized Consumption</t>
  </si>
  <si>
    <t>Billed Authorized Consumption</t>
  </si>
  <si>
    <t>Billed Metered Consumption (inc. water exported)</t>
  </si>
  <si>
    <t>Revenue Water</t>
  </si>
  <si>
    <t>Billed Unmetered Consumption</t>
  </si>
  <si>
    <t>Unbilled Authorized Consumption</t>
  </si>
  <si>
    <t>Unbilled Metered Consumption</t>
  </si>
  <si>
    <t>Non-Revenue Water (NRW)</t>
  </si>
  <si>
    <t>Unbilled Unmetered Consumption</t>
  </si>
  <si>
    <t>Unauthorized Consumption</t>
  </si>
  <si>
    <t>Customer Metering Inaccuracies</t>
  </si>
  <si>
    <t>Leakage on Transmission and/or Distribution Mains</t>
  </si>
  <si>
    <t>Leakage and Overflows at Utility's Storage Tanks</t>
  </si>
  <si>
    <t>All metered consumption which is billed.  This includes all groups of customers such as domestic, commercial, industrial or institutional.  It does NOT include water sold to neighboring utilities (water exported) which is metered and billed.  The metered consumption data can be taken directly from billing records for the water audit period.  The accuracy of yearly metered consumption data can be refined by including an adjustment to account for customer meter reading lagtime, however additional analysis is necessary to determine the adjustment value, which may or may not be significant.</t>
  </si>
  <si>
    <t>WATER LOSSES</t>
  </si>
  <si>
    <t>Unauthorized consumption</t>
  </si>
  <si>
    <t>Systematic data handling errors</t>
  </si>
  <si>
    <t>NON-REVENUE WATER</t>
  </si>
  <si>
    <t>Average operating pressure</t>
  </si>
  <si>
    <t>Total annual cost of operating the water system</t>
  </si>
  <si>
    <t>Customer retail unit cost</t>
  </si>
  <si>
    <t>Sound policy and procedures exist for permitting and commissioning new water mains.  Highly accurate paper records with regular field validation; or electronic records and asset management system in good condition.  Includes system backup.</t>
  </si>
  <si>
    <r>
      <t xml:space="preserve"> AWWA WLCC Free Water Audit Software: </t>
    </r>
    <r>
      <rPr>
        <b/>
        <u/>
        <sz val="16"/>
        <color indexed="9"/>
        <rFont val="Courier New"/>
        <family val="3"/>
      </rPr>
      <t>Reporting Worksheet</t>
    </r>
  </si>
  <si>
    <r>
      <t xml:space="preserve"> AWWA WLCC Free Water Audit Software: </t>
    </r>
    <r>
      <rPr>
        <b/>
        <u/>
        <sz val="14"/>
        <color indexed="9"/>
        <rFont val="Courier New"/>
        <family val="3"/>
      </rPr>
      <t>Water Balance</t>
    </r>
  </si>
  <si>
    <r>
      <t xml:space="preserve"> AWWA WLCC Free Water Audit Software: </t>
    </r>
    <r>
      <rPr>
        <b/>
        <u/>
        <sz val="15"/>
        <color indexed="9"/>
        <rFont val="Courier New"/>
        <family val="3"/>
      </rPr>
      <t>Grading Matrix</t>
    </r>
  </si>
  <si>
    <r>
      <t xml:space="preserve"> AWWA WLCC Free Water Audit Software: </t>
    </r>
    <r>
      <rPr>
        <b/>
        <u/>
        <sz val="16"/>
        <color indexed="9"/>
        <rFont val="Courier New"/>
        <family val="3"/>
      </rPr>
      <t>Definitions</t>
    </r>
  </si>
  <si>
    <r>
      <t xml:space="preserve"> AWWA WLCC Free Water Audit Software: </t>
    </r>
    <r>
      <rPr>
        <b/>
        <u/>
        <sz val="14"/>
        <color indexed="9"/>
        <rFont val="Courier New"/>
        <family val="3"/>
      </rPr>
      <t>Determining Water Loss Standing</t>
    </r>
  </si>
  <si>
    <t>Philadelphia Water Department</t>
  </si>
  <si>
    <t xml:space="preserve">Extent of unauthorized consumption is unknown due to unclear policies and poor recordkeeping.  Total unauthorized consumption is guesstimated.  </t>
  </si>
  <si>
    <t>&gt;1 = higher customer cost</t>
  </si>
  <si>
    <t>&lt;1 = lower customer cost</t>
  </si>
  <si>
    <t>$/100 cubic feet (ccf)</t>
  </si>
  <si>
    <t>.</t>
  </si>
  <si>
    <t>Master meter error adjustment</t>
  </si>
  <si>
    <t>Water Imported</t>
  </si>
  <si>
    <t>Water Exported</t>
  </si>
  <si>
    <t>The volume of treated water input to system from own production facilities</t>
  </si>
  <si>
    <t>=number of connections / length of mains</t>
  </si>
  <si>
    <t xml:space="preserve">Dated written procedures permit billing exemption for specific accounts, such as municipal properties, but are unclear regarding certain other types of accounts.  Meter reading is given low priority and is sporadic.   Consumption is quantified from meter readings where available.  The total number of unbilled, unmetered accounts must be estimated along with consumption volumes.          </t>
  </si>
  <si>
    <r>
      <t>to qualify for 2</t>
    </r>
    <r>
      <rPr>
        <sz val="8"/>
        <rFont val="Arial"/>
        <family val="2"/>
      </rPr>
      <t xml:space="preserve">:
Reassess the water utility's policy allowing certain accounts to be granted a billing exemption.  Draft an outline of a new written policy for billing exemptions, with clear justification as to why any accounts should be exempt from billing, and with the intention to keep the number of such accounts to a minimum.   </t>
    </r>
  </si>
  <si>
    <t>Refine data collection practices and establish as routine business process</t>
  </si>
  <si>
    <t>Annual water audit is a reliable gauge of year-to-year water efficiency standing</t>
  </si>
  <si>
    <t>Short-term loss control</t>
  </si>
  <si>
    <t>Research information on leak detection programs.  Begin flowcharting analysis of customer billing system</t>
  </si>
  <si>
    <t>Conduct loss assessment investigations on a sample portion of the system: customer meter testing, leak survey, unauthorized consumption, etc.</t>
  </si>
  <si>
    <t>Establish ongoing mechanisms for customer meter accuracy testing, active leakage control and infrastructure monitoring</t>
  </si>
  <si>
    <t>Refine, enhance or expand ongoing programs based upon economic justification</t>
  </si>
  <si>
    <r>
      <t xml:space="preserve">Gradings 1-9 apply if customer properties are </t>
    </r>
    <r>
      <rPr>
        <b/>
        <sz val="8"/>
        <rFont val="Arial"/>
        <family val="2"/>
      </rPr>
      <t>unmetered</t>
    </r>
    <r>
      <rPr>
        <sz val="8"/>
        <rFont val="Arial"/>
        <family val="2"/>
      </rPr>
      <t>, if customer meters exist and are located</t>
    </r>
    <r>
      <rPr>
        <b/>
        <sz val="8"/>
        <rFont val="Arial"/>
        <family val="2"/>
      </rPr>
      <t xml:space="preserve"> inside the customer building premises, or if the water utility owns and is responsible for the entire service connection piping from the water main to the customer building</t>
    </r>
    <r>
      <rPr>
        <sz val="8"/>
        <rFont val="Arial"/>
        <family val="2"/>
      </rPr>
      <t>.  In any of these cases the average distance between the curbstop or boundary separating utility/customer responsibility for service connection piping, and the typical first point of use (ex: faucet) or the customer meter must be quantified.  Gradings of 1-9 are used to grade the validity of the means to quantify this value.
(See the "Service Connection Diagram" worksheet)</t>
    </r>
  </si>
  <si>
    <r>
      <t>to qualify for 6</t>
    </r>
    <r>
      <rPr>
        <sz val="8"/>
        <rFont val="Arial"/>
        <family val="2"/>
      </rPr>
      <t xml:space="preserve">:
Purchase and install meters on unmetered accounts.  Eliminate flat fee billing and establish appropriate water rate structure based upon measured consumption.  Continue to achieve verifiable success in removing manual meter reading barriers. Expand meter accuracy testing.  Launch regular meter replacement program.  Conduct routine audit of global statistics. </t>
    </r>
  </si>
  <si>
    <r>
      <t>to qualify for 8</t>
    </r>
    <r>
      <rPr>
        <sz val="8"/>
        <rFont val="Arial"/>
        <family val="2"/>
      </rPr>
      <t xml:space="preserve">:
Purchase and install meters on unmetered accounts.  Assess cost-effectiveness of Automatic Meter Reading (AMR) system for portion or entire system; or achieve ongoing improvements in manual meter reading success rate. Refine meter accuracy testing program.  Set meter replacement goals based upon accuracy test results.  Refine routine auditing procedures based upon third party guidance. </t>
    </r>
  </si>
  <si>
    <r>
      <t>to maintain 10</t>
    </r>
    <r>
      <rPr>
        <sz val="8"/>
        <rFont val="Arial"/>
        <family val="2"/>
      </rPr>
      <t>:
Regular internal and third party auditing, and meter accuracy testing ensures that accurate customer meter readings are obtained and entered as the basis for volume based billing.  Stay abreast of improvements in Advanced Metering Infrastructure (AMI) and information management.  Plan and budget for justified upgrades in metering, meter reading and billing data management.</t>
    </r>
  </si>
  <si>
    <t>Superior reliability, capacity and integrity of the water supply infrastructure make it relatively immune to supply shortages.</t>
  </si>
  <si>
    <t>Water utility policy does not require customer metering; flat or fixed fee billed.  No data collected on customer consumption.  Only estimates available are derived from data estimation methods using average fixture count multiplied by number of connections, or similar approach.</t>
  </si>
  <si>
    <t xml:space="preserve">Water utility policy does not require customer metering; flat or fixed fee billed.  Some metered accounts exist in parts of the system (pilot areas or District Metered Areas) with consumption recorded on portable dataloggers.  Data from these sample meters are used to infer consumption for the total customer population.  Site specific estimation methods are used for unusual buildings/water uses.  </t>
  </si>
  <si>
    <r>
      <t>to qualify for 2</t>
    </r>
    <r>
      <rPr>
        <sz val="8"/>
        <rFont val="Arial"/>
        <family val="2"/>
      </rPr>
      <t>: 
Investigate a new water utility policy to require metering of the customer population, and a reduction of unmetered accounts.  Conduct pilot metering project by installing water meters in small sample of customer accounts and datalogging the water consumption.</t>
    </r>
  </si>
  <si>
    <t>Clear policies and good recordkeeping exist for certain events (ex: tampering with water meters); other occurrences have limited oversight.  Total consumption is a combination of volumes from formulae (time x typical flow) and subjective estimates of unconfirmed consumption.</t>
  </si>
  <si>
    <t>Water resources are costly to develop or purchase; ability to increase revenues via water rates is greatly limited because of regulation or low ratepayer affordability.</t>
  </si>
  <si>
    <t>Cost to purchase or obtain/treat water is low, as are rates charged to customers.</t>
  </si>
  <si>
    <t>Operating with system leakage above this level would require expansion of existing infrastructure and/or additional water resources to meet the demand.</t>
  </si>
  <si>
    <t>Existing water supply infrastructure capability is sufficient to meet long-term demand as long as reasonable leakage management controls are in place.</t>
  </si>
  <si>
    <t xml:space="preserve">Available resources are greatly limited and are very difficult and/or environmentally unsound to develop.  </t>
  </si>
  <si>
    <t>Water resources are believed to be sufficient to meet long-term needs, but demand management interventions (leakage management, water conservation) are included in the long-term planning.</t>
  </si>
  <si>
    <t>Water resources are plentiful, reliable, and easily extracted.</t>
  </si>
  <si>
    <t>General Guidelines for Setting a Target ILI                                                           (without doing a full economic analysis of leakage control options)</t>
  </si>
  <si>
    <t>Although operational and financial considerations may allow a long-term ILI greater than 8.0, such a level of leakage is not an effective utilization of water as a resource.  Setting a target level greater than 8.0 - other than as an incremental goal to a smaller long-term target - is discouraged.</t>
  </si>
  <si>
    <t>Water resources can be developed or purchased at reasonable expense; periodic water rate increases can be feasibly imposed and are tolerated by the customer population.</t>
  </si>
  <si>
    <t xml:space="preserve">AWWA Water Loss Control Committee (WLCC) Free Water Audit Software v4.2 </t>
  </si>
  <si>
    <t>AWWA Water Audit Software  Version 4.2 Developed by the Water Loss Control Committee of the American Water Works Association   May 2010</t>
  </si>
  <si>
    <t xml:space="preserve">Unauthorized consumption is a known occurrence, but its extent is a mystery.  There are no requirements to document observed events, but periodic field reports capture some of these occurrences.  Total unauthorized consumption is approximated from this limited data.  </t>
  </si>
  <si>
    <t>conditions between 2 and 4</t>
  </si>
  <si>
    <r>
      <t>to qualify for 4</t>
    </r>
    <r>
      <rPr>
        <sz val="8"/>
        <rFont val="Arial"/>
        <family val="2"/>
      </rPr>
      <t xml:space="preserve">:  
Formalize a procedure to use pressure gauging/datalogging equipment to gather pressure data during various system events such as low pressure complaints, or operational testing. Gather pump pressure and flow data at different flow regimes.  Identify faulty pressure controls (pressure reducing valves, altitude valves, partially open boundary valves) and plan to properly configure pressure zones.  Make all pressure data from these efforts available to generate system-wide average pressure. </t>
    </r>
  </si>
  <si>
    <t>Vague policy for permitting (creating new customer accounts) and billing. Billing data maintained on paper records which are in disarray.  No audits conducted to confirm billing data handling efficiency.  Unknown number of customers escape routine billing due to lack of billing process oversight.</t>
  </si>
  <si>
    <t>Policy for permitting and billing exists but needs refinement. Billing data maintained on paper records or insufficiently capable electronic database.  Only periodic unstructured auditing work conducted to confirm billing data handling efficiency.  Volume of unbilled water due to billing lapses is a guess.</t>
  </si>
  <si>
    <t>Policy and procedures for permitting and billing exist but needs refinement.  Computerized billing system exists, but is dated or lacks needed functionality.  Periodic, limited internal audits conducted and confirm with approximate accuracy the consumption volumes lost to billing lapses.</t>
  </si>
  <si>
    <t xml:space="preserve">At least 75% of imported water sources are metered, meter accuracy testing and/or electronic calibration conducted annually.  Less than 25% of tested meters are found outside of +/- 6% accuracy.  </t>
  </si>
  <si>
    <r>
      <t xml:space="preserve">The UARL is a theoretical reference value representing the technical low limit of leakage that could be achieved if all of today's best technology could be successfully applied.  It is a key variable in the calculation of the Infrastructure Leakage Index (ILI).  It is not necessary that water utilities set this level as the target level of leakage, unless water is unusually expensive, scarce or both.
NOTE: The UARL calculation has not yet been fully proven as effective for very small, or low pressure water distribution systems.  If,
</t>
    </r>
    <r>
      <rPr>
        <u/>
        <sz val="9"/>
        <rFont val="Courier New"/>
        <family val="3"/>
      </rPr>
      <t>in gallons per day:</t>
    </r>
    <r>
      <rPr>
        <sz val="9"/>
        <rFont val="Courier New"/>
        <family val="3"/>
      </rPr>
      <t xml:space="preserve">
(Lm x 32) + Nc &lt; 3000 or
P &lt;35psi
</t>
    </r>
    <r>
      <rPr>
        <u/>
        <sz val="9"/>
        <rFont val="Courier New"/>
        <family val="3"/>
      </rPr>
      <t>in litres per day:</t>
    </r>
    <r>
      <rPr>
        <sz val="9"/>
        <rFont val="Courier New"/>
        <family val="3"/>
      </rPr>
      <t xml:space="preserve">
(Lm x 20) + Nc &lt; 3000 or
P &lt; 25m
then the calculated UARL value may not be valid.  The software does not display a value of UARL or ILI if either of these conditions is true.</t>
    </r>
  </si>
  <si>
    <t>50% - 75% of imported water sources are metered, other sources estimated.  Occasional meter accuracy testing</t>
  </si>
  <si>
    <r>
      <t>to qualify for 6</t>
    </r>
    <r>
      <rPr>
        <sz val="8"/>
        <rFont val="Arial"/>
        <family val="2"/>
      </rPr>
      <t>:
Finalize updates/improvements to policy and procedures for permitting/commissioning new main installations.  Confirm inventory of records for five years prior to audit year; correct any errors or omissions.</t>
    </r>
  </si>
  <si>
    <r>
      <t>to qualify for 8</t>
    </r>
    <r>
      <rPr>
        <sz val="8"/>
        <rFont val="Arial"/>
        <family val="2"/>
      </rPr>
      <t>:
Launch random field checks of limited number of locations.  Convert to electronic databases with backup as justified.</t>
    </r>
  </si>
  <si>
    <r>
      <t>to qualify for 10</t>
    </r>
    <r>
      <rPr>
        <sz val="8"/>
        <rFont val="Arial"/>
        <family val="2"/>
      </rPr>
      <t>:
Link Geographic Information System (GIS) and asset management databases, conduct field verification of data.</t>
    </r>
  </si>
  <si>
    <r>
      <t>to maintain 10</t>
    </r>
    <r>
      <rPr>
        <sz val="8"/>
        <rFont val="Arial"/>
        <family val="2"/>
      </rPr>
      <t>:
Continue with standardization and random field validation to improve knowledge of system.</t>
    </r>
  </si>
  <si>
    <r>
      <t>to qualify for 2</t>
    </r>
    <r>
      <rPr>
        <sz val="8"/>
        <rFont val="Arial"/>
        <family val="2"/>
      </rPr>
      <t>:
Draft new policy and procedures for permitting and billing.  Research and collect paper records of installations &amp; abandonments for several years prior to audit year.</t>
    </r>
  </si>
  <si>
    <r>
      <t>to qualify for 8</t>
    </r>
    <r>
      <rPr>
        <sz val="8"/>
        <rFont val="Arial"/>
        <family val="2"/>
      </rPr>
      <t xml:space="preserve">:
Formalize regular review of permitting policy and procedures.  Launch random field checks of limited number of locations.  Develop reports and auditing mechanisms for computerized information management system. </t>
    </r>
  </si>
  <si>
    <t>= billed metered + billed unmetered + unbilled metered + unbilled unmetered
The volume of metered and/or unmetered water taken by registered customers, the water supplier and others who are implicitly or explicitly authorized to do so by the water supplier, for residential, commercial and industrial purposes. This does NOT include water sold to neighboring utilities (water exported).
Authorized consumption may include items such as fire fighting and training, flushing of mains and sewers, street cleaning, watering of municipal gardens, public fountains, frost protection, building water, etc.  These may be billed or unbilled, metered or unmetered.</t>
  </si>
  <si>
    <t>All billed consumption which is calculated based on estimates or norms but is not metered. This might be a very small component in fully metered systems (for example billing based on estimates for the period a customer meter is out of order) but can be the key consumption component in systems without universal metering. It does NOT include water sold to neighboring utilities (water exported) which is unmetered but billed.</t>
  </si>
  <si>
    <t>Metered Consumption which is for any reason unbilled. This might for example include metered consumption of the utility itself or water provided to institutions free of charge. It does NOT include water sold to neighboring utilities (water exported) which is metered but unbilled.</t>
  </si>
  <si>
    <t xml:space="preserve">Reliable pressure controls separate distinct pressure zones; only very occasional open boundary valves are encountered that breech pressure zones.  Well-covered telemetry monitoring of the distribution system logs extensive pressure data electronically.  Pressure gathered by gauges/dataloggers at fire hydrants and buildings when low pressure complaints arise, and during fire flow tests and system flushing.  Average pressure is determined by using this mix of reliable data. </t>
  </si>
  <si>
    <t xml:space="preserve">Available records are poorly assembled and maintained paper records of supply pump characteristics and water distribution system operating conditions.  Average pressure is guesstimated based upon this information and ground elevations from crude topographical maps.  Widely varying distribution system pressures due to undulating terrain, high system head loss and weak/erratic pressure controls further compromise the validity of the average pressure calculation.  </t>
  </si>
  <si>
    <t>Any kind of Authorized Consumption which is neither billed nor metered. This component typically includes items such as fire fighting, flushing of mains and sewers, street cleaning, frost protection, etc.  In most water utilities it is a small component which is very often substantially overestimated. It does NOT include water sold to neighboring utilities (water exported) which is unmetered and unbilled – an unlikely case.  This component has many sub-components of water use which are often tedious to identify and quantify.  Because of this, and the fact that it is usually a small portion of the water supplied, it is recommended that the auditor apply the default value of 1.25% of the volume from own sources.  Select the default percentage to enter this value.  If the water utility already has well validated data that gives a value substantially higher or lower than the default volume, then the auditor should enter their own volume.  However the default approach is recommended for most water utilities.  
Note that a value of zero is not permitted, since all water utilities have some volume of water in this component occurring in their system.</t>
  </si>
  <si>
    <t>over-registered</t>
  </si>
  <si>
    <t>Click here:    for help about units and conversions</t>
  </si>
  <si>
    <t>Megalitres (thousand cubic metres)</t>
  </si>
  <si>
    <t>Acre-feet</t>
  </si>
  <si>
    <t>Million gallons (US)</t>
  </si>
  <si>
    <t>Units and Conversions</t>
  </si>
  <si>
    <r>
      <t>to qualify for 2</t>
    </r>
    <r>
      <rPr>
        <sz val="8"/>
        <rFont val="Arial"/>
        <family val="2"/>
      </rPr>
      <t>:
Gather available records, institute new procedures to regularly collect and audit basic cost data and most important operations functions.</t>
    </r>
  </si>
  <si>
    <t>Select n/a if the water utility's supply is exclusively from its own water resources (no bulk purchased/ imported water)</t>
  </si>
  <si>
    <t>Less than 25% of imported water sources are metered, remaining sources are estimated.  No regular meter accuracy testing.</t>
  </si>
  <si>
    <t xml:space="preserve">25% - 50% of imported water sources are metered; other sources estimated.  No regular meter accuracy testing. </t>
  </si>
  <si>
    <t>Select n/a if the water utility sells no bulk water to neighboring water utilities (no exported water sales)</t>
  </si>
  <si>
    <t>Less than 25% of exported water sources are metered, remaining sources are estimated.  No regular meter accuracy testing.</t>
  </si>
  <si>
    <t xml:space="preserve">100% of imported water sources are metered, meter accuracy testing and/or electronic calibration conducted semi-annually, with less than 10% found outside of +/- 3% accuracy.     </t>
  </si>
  <si>
    <t>50% - 75% of exported water sources are metered, other sources estimated.  Occasional meter accuracy testing</t>
  </si>
  <si>
    <t xml:space="preserve">100% of exported water sources are metered, meter accuracy testing and/or electronic calibration conducted semi-annually, with less than 10% found outside of +/- 3% accuracy.     </t>
  </si>
  <si>
    <t xml:space="preserve">Permitting policy and procedures reviewed at least biannually.  Well-managed computerized information management system and routine, periodic field checks and internal system audits allows counts of connections that is no more than 2% in error. </t>
  </si>
  <si>
    <r>
      <t xml:space="preserve">to qualify for 2:
</t>
    </r>
    <r>
      <rPr>
        <sz val="8"/>
        <rFont val="Arial"/>
        <family val="2"/>
      </rPr>
      <t>Organize efforts to begin to collect data for determining volume from own sources</t>
    </r>
  </si>
  <si>
    <r>
      <t xml:space="preserve">to qualify for 4:
</t>
    </r>
    <r>
      <rPr>
        <sz val="8"/>
        <rFont val="Arial"/>
        <family val="2"/>
      </rPr>
      <t>Locate all water production sources on maps and in field, launch meter accuracy testing for existing meters, begin to install meters on unmetered water production sources and replace any obsolete/defective meters</t>
    </r>
  </si>
  <si>
    <r>
      <t>to qualify for 6</t>
    </r>
    <r>
      <rPr>
        <sz val="8"/>
        <rFont val="Arial"/>
        <family val="2"/>
      </rPr>
      <t>:
Formalize annual meter accuracy testing for all source meters.  Complete installation of meters on unmetered water production sources and complete replacement of all obsolete/defective meters.</t>
    </r>
  </si>
  <si>
    <t>metres (head)</t>
  </si>
  <si>
    <t>$/Megalitre</t>
  </si>
  <si>
    <t>Retail costs are less than (or equal to) production costs; please review and correct if necessary</t>
  </si>
  <si>
    <t>litres/connection/day</t>
  </si>
  <si>
    <t>N/A</t>
  </si>
  <si>
    <t>Real Losses per service connection per day per meter (head) pressure:</t>
  </si>
  <si>
    <t>litres/connection/day/m</t>
  </si>
  <si>
    <t xml:space="preserve">     1: Volume from own sources</t>
  </si>
  <si>
    <t>All volumes to be entered as: MILLION GALLONS (US) PER YEAR</t>
  </si>
  <si>
    <t>Million gallons (US)/yr (MG/Yr)</t>
  </si>
  <si>
    <t>MG/Yr</t>
  </si>
  <si>
    <t>miles</t>
  </si>
  <si>
    <t>conn./mile main</t>
  </si>
  <si>
    <t>ft</t>
  </si>
  <si>
    <t>psi</t>
  </si>
  <si>
    <t>$/Million gallons</t>
  </si>
  <si>
    <t>gallons/connection/day</t>
  </si>
  <si>
    <t>Real Losses per service connection per day per psi pressure:</t>
  </si>
  <si>
    <t>gallons/connection/day/psi</t>
  </si>
  <si>
    <t>million gallons/year</t>
  </si>
  <si>
    <t>Non-revenue water as percent by cost of operating system:</t>
  </si>
  <si>
    <t>Non-revenue water as percent by volume of Water Supplied:</t>
  </si>
  <si>
    <t>At least 50% of customers with volume-based billing from meter reads; flat rate billed for others.  Manual meter reading, under 50% read success rate, remainder estimated.  Limited meter records, no regular meter testing or replacement.  Billing data maintained on paper records, with no auditing.</t>
  </si>
  <si>
    <t>Water utility policy requires metering and volume based billing for all customer accounts.  However, less than 5% of billed accounts remain unmetered because because installation is hindered by unusual circumstances.  The goal is to minimize the number of unmetered accounts.  Reliable estimates of consumption are obtained for unmetered accounts via site specific estimation methods.</t>
  </si>
  <si>
    <t>select n/a only if the entire customer population is unmetered. In such a case the volume entered must be zero.</t>
  </si>
  <si>
    <t>Note: all water utilities incur some amount of this error. Even in water utilities with unmetered customer populations and fixed rate billing, errors occur in annual billing tabulations. Enter a positive value for the volume and select a grading.</t>
  </si>
  <si>
    <r>
      <t xml:space="preserve">to qualify for 2:
</t>
    </r>
    <r>
      <rPr>
        <sz val="8"/>
        <rFont val="Arial"/>
        <family val="2"/>
      </rPr>
      <t xml:space="preserve">Review bulk water purchase agreements with partner suppliers; confirm requirements for use and maintenance of accurate metering.  Identify needs for new or replacement meters with goal to meter all imported water sources. </t>
    </r>
  </si>
  <si>
    <r>
      <t>To qualify for 4</t>
    </r>
    <r>
      <rPr>
        <sz val="8"/>
        <rFont val="Arial"/>
        <family val="2"/>
      </rPr>
      <t xml:space="preserve">:
Locate all imported water sources on maps and in field, launch meter accuracy testing for existing meters, begin to install meters on unmetered imported water interconnections and replace obsolete/defective meters </t>
    </r>
  </si>
  <si>
    <r>
      <t>to qualify for 6</t>
    </r>
    <r>
      <rPr>
        <sz val="8"/>
        <rFont val="Arial"/>
        <family val="2"/>
      </rPr>
      <t>:
Formalize annual meter accuracy testing for all imported water meters.  Continue installation of meters on unmetered exported water interconnections and replacement of obsolete/defective meters.</t>
    </r>
  </si>
  <si>
    <r>
      <t xml:space="preserve">to qualify for 2:
</t>
    </r>
    <r>
      <rPr>
        <sz val="8"/>
        <rFont val="Arial"/>
        <family val="2"/>
      </rPr>
      <t xml:space="preserve">Review bulk water sales agreements with partner suppliers; confirm requirements for use &amp; upkeep of accurate metering.  Identify needs to install new, or replace defective meters as needed. </t>
    </r>
  </si>
  <si>
    <r>
      <t>To qualify for 4</t>
    </r>
    <r>
      <rPr>
        <sz val="8"/>
        <rFont val="Arial"/>
        <family val="2"/>
      </rPr>
      <t xml:space="preserve">:
Locate all exported water sources on maps and in field, launch meter accuracy testing for existing meters, begin to install meters on unmetered exported water interconnections and replace obsolete/defective meters </t>
    </r>
  </si>
  <si>
    <r>
      <t>to qualify for 6</t>
    </r>
    <r>
      <rPr>
        <sz val="8"/>
        <rFont val="Arial"/>
        <family val="2"/>
      </rPr>
      <t>:
Formalize annual meter accuracy testing for all exported water meters.  Continue installation of meters on unmetered exported water interconnections and replacement of obsolete/defective meters.</t>
    </r>
  </si>
  <si>
    <r>
      <t>to qualify for 6</t>
    </r>
    <r>
      <rPr>
        <sz val="8"/>
        <rFont val="Arial"/>
        <family val="2"/>
      </rPr>
      <t>:
Budget for staff resources to review billing records to identify unmetered properties.  Specify metering needs and funding requirements to install sufficient meters to significant reduce the number of unmetered accounts</t>
    </r>
  </si>
  <si>
    <r>
      <t>to maintain 10</t>
    </r>
    <r>
      <rPr>
        <sz val="8"/>
        <rFont val="Arial"/>
        <family val="2"/>
      </rPr>
      <t>: 
Continue to refine estimation methods for unmetered consumption and explore means to establish metering, for as many billed unmetered accounts as is economically feasible.</t>
    </r>
  </si>
  <si>
    <r>
      <t>to maintain 10</t>
    </r>
    <r>
      <rPr>
        <sz val="8"/>
        <rFont val="Arial"/>
        <family val="2"/>
      </rPr>
      <t xml:space="preserve">:  
Continue to refine the hydraulic model of the distribution system and consider linking it with SCADA System for real-time pressure data calibration, and averaging.      </t>
    </r>
  </si>
  <si>
    <t>n/a</t>
  </si>
  <si>
    <t>Note: if customer water meters are located outside of the customer building next to the curbstop or boundary separating utility/customer responsibility, follow the grading description for 10(a). Also see the Service Connection Diagram worksheet.</t>
  </si>
  <si>
    <t>Real Losses (Current Annual Real Losses or CARL)</t>
  </si>
  <si>
    <t>Infrastructure Leakage Index (ILI) [CARL/UARL]:</t>
  </si>
  <si>
    <t>From Above, Real Losses = Current Annual Real Losses (CARL):</t>
  </si>
  <si>
    <r>
      <t>to maintain 10</t>
    </r>
    <r>
      <rPr>
        <sz val="8"/>
        <rFont val="Arial"/>
        <family val="2"/>
      </rPr>
      <t>:
Continue to refine policy and procedures with intention of reducing the number of allowable uses of water in unbilled and unmetered fashion.  Any uses that can feasibly become billed and metered should be converted eventually.</t>
    </r>
  </si>
  <si>
    <r>
      <t>to qualify for 10</t>
    </r>
    <r>
      <rPr>
        <sz val="8"/>
        <rFont val="Arial"/>
        <family val="2"/>
      </rPr>
      <t xml:space="preserve">:
Refine written procedures and assign staff to seek out likely occurrences of unauthorized consumption.  Explore new locking devices, monitors and other technologies designed to detect and thwart unauthorized consumption. </t>
    </r>
  </si>
  <si>
    <r>
      <t>to maintain 10</t>
    </r>
    <r>
      <rPr>
        <sz val="8"/>
        <rFont val="Arial"/>
        <family val="2"/>
      </rPr>
      <t xml:space="preserve">:
Continue to refine policy and procedures to eliminate any loopholes that allow or tacitly encourage unauthorized consumption.  Continue to be vigilant in documentation and enforcement efforts.  </t>
    </r>
  </si>
  <si>
    <r>
      <t>to qualify for 6</t>
    </r>
    <r>
      <rPr>
        <sz val="8"/>
        <rFont val="Arial"/>
        <family val="2"/>
      </rPr>
      <t>:
Standardize procedures for meter recordkeeping with the electronic information system.  Accelerate meter accuracy testing and meter replacements guided by testing results.</t>
    </r>
  </si>
  <si>
    <r>
      <t>to qualify for 8</t>
    </r>
    <r>
      <rPr>
        <sz val="8"/>
        <rFont val="Arial"/>
        <family val="2"/>
      </rPr>
      <t>:
Expand annual meter accuracy testing to evaluate a statistically significant number of meter makes/models.  Expand meter replacement program to replace statistically significant number of poor performing meters each year.</t>
    </r>
  </si>
  <si>
    <r>
      <t>to qualify for 10</t>
    </r>
    <r>
      <rPr>
        <sz val="8"/>
        <rFont val="Arial"/>
        <family val="2"/>
      </rPr>
      <t>:
Close any procedural loopholes that allow installations to go undocumented.  Link computerized information management system with Geographic Information System (GIS) and formalize field inspection and information system auditing processes.  Documentation of new or decommissioned service connections encounters several levels of checks and balances.</t>
    </r>
  </si>
  <si>
    <t xml:space="preserve">Hourly production meter data logged automatically &amp; reviewed on at least a weekly basis.  Data adjusted to correct gross error from equipment malfunction and error confirmed by meter accuracy testing.  Tank/storage facility elevation changes are automatically used in calculating a balanced "Volume from own sources" component.  </t>
  </si>
  <si>
    <t>Continuous production meter data logged automatically &amp; reviewed daily.  Data adjusted to correct gross error from equipment malfunction &amp; results of meter accuracy testing.  Tank/storage facility elevation changes are automatically used in "Volume from own sources" tabulations.</t>
  </si>
  <si>
    <r>
      <t>to qualify for 8</t>
    </r>
    <r>
      <rPr>
        <sz val="8"/>
        <rFont val="Arial"/>
        <family val="2"/>
      </rPr>
      <t xml:space="preserve">:
Complete installation of elevation instrumentation on all tanks/storage facilities.  Continue to use daily net storage change in calculating balanced "Volume from own sources" component.  Adjust production meter data for gross error and inaccuracy confirmed by testing. </t>
    </r>
  </si>
  <si>
    <t>At least 75% of customers with volume-based billing from meter reads; flat or fixed rate billed for remainder.  Manual meter reading used, at least 50% meter read success rate, failed reads are estimated.  Purchase records verify age of customer meters; only very limited meter accuracy testing is conducted.  Customer meters replaced only upon complete failure.  Computerized billing records, but only periodic internal auditing conducted.</t>
  </si>
  <si>
    <t>At least 90% of customers with volume-based billing from meter reads; remaining accounts are estimated.  Manual customer meter reading gives at least 80% customer meter reading success rate, failed reads are estimated.  Good customer meter records, limited meter accuracy testing, regular replacement of oldest meters.  Computerized billing records with routine auditing of global statistics.</t>
  </si>
  <si>
    <t xml:space="preserve">If the calculated Infrastructure Leakage Index (ILI) value for your system is 1.0 or less, two possibilities exist.   a) you are maintaining your leakage at low levels in a class with the top worldwide performers in leakage control.  b) A portion of your data may be flawed, causing your losses to be greatly understated.  This is likely if you calculate a low ILI value but do not employ extensive leakage control practices in your operations.  In such cases it is beneficial to validate the data by performing field measurements to confirm the accuracy of production and customer meters, or to identify any other potential sources of error in the data.  </t>
  </si>
  <si>
    <t>UARL (gallons/day)=(5.41Lm + 0.15Nc + 7.5Lc) xP,          
                     or
UARL (litres/day)=(18.0Lm + 0.8Nc + 25.0Lc) xP
where:
Lm = length of mains (miles or kilometres)                                        
Nc = number of service connections                                        
Lc = total length of customer service lines (miles or km) 
   = Nc multiplied by the average distance of customer service line, Lp (miles or km)
P  = Pressure (psi or metres)</t>
  </si>
  <si>
    <t>ANDREW CHASTAIN-HOWLEY, Miya Water</t>
  </si>
  <si>
    <r>
      <t>Either of two conditions can be met to obtain a grading of 10</t>
    </r>
    <r>
      <rPr>
        <sz val="8"/>
        <rFont val="Arial"/>
        <family val="2"/>
      </rPr>
      <t>:
a) The customer water meter is located outside of the customer building adjacent to the curbstop or boundary separating utility/customer responsibility for the service connection piping.  In this case enter a value of zero in the Reporting Worksheet with a grading of 10.
b). Customer water meters are located inside customer buildings, or the properties are unmetered.  In either case the distance is highly reliable since data is drawn from a Geographic Information System (GIS) and confirmed by routine field checks.</t>
    </r>
  </si>
  <si>
    <t>Diagrams depicting possible customer service connection configurations</t>
  </si>
  <si>
    <r>
      <t xml:space="preserve"> AWWA WLCC Free Water Audit Software: </t>
    </r>
    <r>
      <rPr>
        <b/>
        <u/>
        <sz val="14"/>
        <color indexed="9"/>
        <rFont val="Courier New"/>
        <family val="3"/>
      </rPr>
      <t>Acknowledgements</t>
    </r>
  </si>
  <si>
    <t xml:space="preserve">Effective pressure controls separate different pressure zones; moderate pressure variation across the system, occasional open boundary valves are discovered that breech pressure zones.  Basic telemetry monitoring of the distribution system logs pressure data electronically.  Pressure data gathered by gauges or dataloggers at fire hydrants or buildings when low pressure complaints arise, and during fire flow tests and system flushing.  Reliable topographical data exists.  Average pressure is calculated using this mix of data. </t>
  </si>
  <si>
    <t>Paper records in poor condition (no annual tracking of installations &amp; abandonments).  Poor procedures to ensure that new water mains installed by developers are accurately documented.</t>
  </si>
  <si>
    <t>Sound policy and procedures for permitting and documenting new water main installations, but gaps in management result in a uncertain degree of error in tabulation of mains length.</t>
  </si>
  <si>
    <t>Please begin by providing the following information, then proceed through each sheet in the workbook:</t>
  </si>
  <si>
    <t>NAME OF CONTACT PERSON:</t>
  </si>
  <si>
    <t>E-MAIL:</t>
  </si>
  <si>
    <t>Ext.</t>
  </si>
  <si>
    <t>TELEPHONE:</t>
  </si>
  <si>
    <t>COST DATA</t>
  </si>
  <si>
    <t>NAME OF CITY OR UTILITY:</t>
  </si>
  <si>
    <t>REFERENCES:</t>
  </si>
  <si>
    <t>DEVELOPED BY:</t>
  </si>
  <si>
    <t>PERFORMANCE INDICATORS</t>
  </si>
  <si>
    <t>Financial Indicators</t>
  </si>
  <si>
    <t>Operational Efficiency Indicators</t>
  </si>
  <si>
    <t>Unavoidable Annual Real Losses (UARL):</t>
  </si>
  <si>
    <t>$/Year</t>
  </si>
  <si>
    <t>Water which is charged to customers to provide revenue to the utility.</t>
  </si>
  <si>
    <t>Unavoidable Annual Real Losses (UARL)</t>
  </si>
  <si>
    <t>Infrastructure Leakage Index (ILI)</t>
  </si>
  <si>
    <t>GEORGE KUNKEL, P.E.  Philadelphia Water Department</t>
  </si>
  <si>
    <t>DAVID SAYERS, Delaware River Basin Commission</t>
  </si>
  <si>
    <t>ALAIN LALONDE, Veritec Consulting</t>
  </si>
  <si>
    <t>Target ILI Range</t>
  </si>
  <si>
    <t>Operational Considerations</t>
  </si>
  <si>
    <t>Water Resources Considerations</t>
  </si>
  <si>
    <t>Financial Considerations</t>
  </si>
  <si>
    <t>1.0 - 3.0</t>
  </si>
  <si>
    <t>Greater than 8.0</t>
  </si>
  <si>
    <t>= unauthorized consumption + meter under-registration + data handling errors
Includes all types of inaccuracies associated with customer metering as well as data handling errors (meter reading and billing), plus unauthorized consumption (theft or illegal use).
NOTE: Over-registration of customer meters, leads to under-estimation of Real Losses.  Under-registration of customer meters, leads to over-estimation of Real Losses.</t>
  </si>
  <si>
    <t>Improvements to attain higher data grading for "Customer Retail Unit Cost" component:</t>
  </si>
  <si>
    <r>
      <t>to qualify for 4</t>
    </r>
    <r>
      <rPr>
        <sz val="8"/>
        <rFont val="Arial"/>
        <family val="2"/>
      </rPr>
      <t>:
Review the water rate structure and update/formalize as needed.  Assess billing operations to ensure that actual billing operations incorporate the established water rate structure.</t>
    </r>
  </si>
  <si>
    <r>
      <t>to qualify for 6</t>
    </r>
    <r>
      <rPr>
        <sz val="8"/>
        <rFont val="Arial"/>
        <family val="2"/>
      </rPr>
      <t>:
Evaluate volume of water used in each usage block by residential users.  Multiply volumes by full rate structure.</t>
    </r>
  </si>
  <si>
    <t>Meter customers and charge rates based upon water volumes</t>
  </si>
  <si>
    <r>
      <t>to qualify for 8</t>
    </r>
    <r>
      <rPr>
        <sz val="8"/>
        <rFont val="Arial"/>
        <family val="2"/>
      </rPr>
      <t>:
Evaluate volume of water used in each usage block by all classifications of users.  Multiply volumes by full rate structure.</t>
    </r>
  </si>
  <si>
    <r>
      <t>to qualify for 10</t>
    </r>
    <r>
      <rPr>
        <sz val="8"/>
        <rFont val="Arial"/>
        <family val="2"/>
      </rPr>
      <t>:
Conduct a periodic third-party audit of water used in each usage block by all classifications of users.  Multiply volumes by full rate structure.</t>
    </r>
  </si>
  <si>
    <r>
      <t>to maintain 10</t>
    </r>
    <r>
      <rPr>
        <sz val="8"/>
        <rFont val="Arial"/>
        <family val="2"/>
      </rPr>
      <t>:
Keep water rate structure current in addressing the water utility's revenue needs.  Update the calculation of the customer unit rate as new rate components, customer classes, or other components are modified.</t>
    </r>
  </si>
  <si>
    <t xml:space="preserve">Electronic, industry-standard cost accounting system in place.  Electric power and treatment costs are reliably tracked and allow accurate calculation of unit variable production costs based on these two inputs only. All costs are audited internally on a periodic basis. </t>
  </si>
  <si>
    <t xml:space="preserve">Reliable electronic, industry-standard cost accounting system in place, with all pertinent variable production costs tracked.  Data audited at least annually by utility personnel, and periodically by third-party.  </t>
  </si>
  <si>
    <t>Continue incremental improvements in short-term and long-term loss control interventions</t>
  </si>
  <si>
    <t>Target-setting</t>
  </si>
  <si>
    <t>Establish long-term apparent and real loss reduction goals (+10 year horizon)</t>
  </si>
  <si>
    <t>Establish mid-range (5 year horizon) apparent and real loss reduction goals</t>
  </si>
  <si>
    <t>Evaluate and refine loss control goals on a yearly basis</t>
  </si>
  <si>
    <t>Benchmarking</t>
  </si>
  <si>
    <t>Water Imported:</t>
  </si>
  <si>
    <t>Water Exported:</t>
  </si>
  <si>
    <t>Systematic Data Handling Error:</t>
  </si>
  <si>
    <t>This software is intended to serve as a basic tool to compile a preliminary, or “top-down”, water audit.  It is recommended that users also refer to the 3rd Edition AWWA M36 Publication, Water Audits and Loss Control Programs, for detailed guidance on compiling a comprehensive, or “bottom-up”, water audit using the same water audit methodology.</t>
  </si>
  <si>
    <r>
      <t xml:space="preserve">to qualify for 8:
</t>
    </r>
    <r>
      <rPr>
        <sz val="8"/>
        <rFont val="Arial"/>
        <family val="2"/>
      </rPr>
      <t xml:space="preserve">Conduct annual meter accuracy testing on all meters.  Complete project to install new, or replace defective existing, meters so that entire production meter population is metered.  Repair or replace meters outside of +/- 6% accuracy. </t>
    </r>
  </si>
  <si>
    <r>
      <t xml:space="preserve">to qualify for 10:
</t>
    </r>
    <r>
      <rPr>
        <sz val="8"/>
        <rFont val="Arial"/>
        <family val="2"/>
      </rPr>
      <t xml:space="preserve">Maintain annual meter accuracy testing for all meters.  Repair or replace meters outside of +/- 6% accuracy.  Investigate new meter technology; pilot one or more replacements with innovative meters in attempt to improve meter accuracy. </t>
    </r>
  </si>
  <si>
    <r>
      <t>to maintain 10</t>
    </r>
    <r>
      <rPr>
        <sz val="8"/>
        <rFont val="Arial"/>
        <family val="2"/>
      </rPr>
      <t>:
Standardize meter accuracy test frequency to semi-annual, or more frequent, for all meters.  Repair or replace meters outside of +/- 3% accuracy.  Continually investigate/pilot improving metering technology.</t>
    </r>
  </si>
  <si>
    <t xml:space="preserve">Inventory information on meters and paper records of measured volumes in crude condition; data error cannot be determined </t>
  </si>
  <si>
    <t>Production meter data is logged automatically in electronic format and reviewed at least on a monthly basis.  "Volume from own sources" tabulations include estimate of daily changes in tanks/storage facilities.  Meter data is adjusted when gross data errors occur, or occasional meter testing deems this necessary.</t>
  </si>
  <si>
    <r>
      <t>to qualify for 2</t>
    </r>
    <r>
      <rPr>
        <sz val="8"/>
        <rFont val="Arial"/>
        <family val="2"/>
      </rPr>
      <t xml:space="preserve">:
Employ pressure gauging and/or datalogging equipment to obtain pressure measurements from fire hydrants.  Locate accurate topographical maps of service area in order to confirm ground elevations.  Research pump data sheets to find pump pressure/flow characteristics  </t>
    </r>
  </si>
  <si>
    <t>Coherent policies exist for some forms of unbilled, unmetered consumption but others await closer evaluation. Reasonable recordkeeping for the managed uses exists and allows for annual volumes to be quantified by inference, but unsupervised uses are guesstimated.</t>
  </si>
  <si>
    <t>Coherent policies exist for some forms of unauthorized consumption but others await closer evaluation. Reasonable surveillance and recordkeeping exist for occurrences that fall under the policy.  Volumes quantified by inference from these records.  Unsupervised uses are guesstimated.</t>
  </si>
  <si>
    <t>Poorly assembled and maintained paper as-built records of existing water main installations makes accurate determination of system pipe length impossible.  Length of mains is guesstimated.</t>
  </si>
  <si>
    <t>*** YOUR SCORE IS: 66 out of 100 ***</t>
  </si>
  <si>
    <t xml:space="preserve">     2: Billed unmetered</t>
  </si>
  <si>
    <t xml:space="preserve">     3: Total annual cost of operating water system</t>
  </si>
  <si>
    <t>Permitting and billing policy reviewed at least biannually.  Computerized billing system includes an array of reports to confirm billing data and system functionality.  Annual internal checks conducted with periodic third party audit.  Accountability checks flag billing lapses.  Consumption lost to billing lapses is well quantified and reducing year-by-year.</t>
  </si>
  <si>
    <t xml:space="preserve">Sound policy exists for permitting of all customer billing accounts.  Robust computerized billing system gives high functionality and reporting capabilities.  Assessment of policy and data handling errors conducted internally and audited by third party annually, ensuring consumption lost to billing lapses is minimized and detected as it occurs. </t>
  </si>
  <si>
    <r>
      <t>to qualify for 10</t>
    </r>
    <r>
      <rPr>
        <sz val="8"/>
        <rFont val="Arial"/>
        <family val="2"/>
      </rPr>
      <t xml:space="preserve">:
Link all production and tank/storage facility elevation change data to a Supervisory Control &amp; Data Acquisition (SCADA) System, or similar computerized monitoring/control system, and establish automatic flow balancing algorithm and regularly calibrate between SCADA and source meters.  </t>
    </r>
  </si>
  <si>
    <r>
      <t>to qualify for 4</t>
    </r>
    <r>
      <rPr>
        <sz val="8"/>
        <rFont val="Arial"/>
        <family val="2"/>
      </rPr>
      <t xml:space="preserve">:
Review historic written directives and policy documents allowing certain accounts to be billing-exempt.  Draft an outline of a written policy for billing exemptions, identify criteria that grants an exemption, with a goal of keeping this number of accounts to a minimum. </t>
    </r>
  </si>
  <si>
    <r>
      <t>to qualify for 10</t>
    </r>
    <r>
      <rPr>
        <sz val="8"/>
        <rFont val="Arial"/>
        <family val="2"/>
      </rPr>
      <t>:
Ensure that meter management (meter accuracy testing, meter replacement) and meter reading activities are accorded the same priority as billed accounts.  Establish ongoing annual auditing process to ensure that water consumption is reliably collected and provided to the annual water audit process.</t>
    </r>
  </si>
  <si>
    <t xml:space="preserve">Extent of unbilled, unmetered consumption is partially known, and procedures exist to document certain events such as miscellaneous fire hydrant uses.  Formulae is used to quantify the consumption from such events (time running x typical flowrate x number of  events).  </t>
  </si>
  <si>
    <r>
      <t>to qualify for 5</t>
    </r>
    <r>
      <rPr>
        <sz val="8"/>
        <rFont val="Arial"/>
        <family val="2"/>
      </rPr>
      <t xml:space="preserve">:
Utilize accepted default value of 1.25% of system input volume as an expedient means to gain a reasonable quantification of this use.
</t>
    </r>
    <r>
      <rPr>
        <u/>
        <sz val="8"/>
        <rFont val="Arial"/>
        <family val="2"/>
      </rPr>
      <t>to qualify for 2</t>
    </r>
    <r>
      <rPr>
        <sz val="8"/>
        <rFont val="Arial"/>
        <family val="2"/>
      </rPr>
      <t xml:space="preserve">:
Establish a policy regarding what water uses should be allowed as unbilled and unmetered.  Consider tracking a small sample of one such use (ex: fire hydrant flushings).   </t>
    </r>
  </si>
  <si>
    <r>
      <t>to qualify for 10</t>
    </r>
    <r>
      <rPr>
        <sz val="8"/>
        <rFont val="Arial"/>
        <family val="2"/>
      </rPr>
      <t>:
Continue efforts to manage meter population with reliable recordkeeping, meter testing and replacement.  Evaluate new meter types and install one or more types in 5-10 customer accounts each year in order to pilot improving metering technology.</t>
    </r>
  </si>
  <si>
    <r>
      <t>to maintain 10</t>
    </r>
    <r>
      <rPr>
        <sz val="8"/>
        <rFont val="Arial"/>
        <family val="2"/>
      </rPr>
      <t>:
Increase the number of meters tested and replaced as justified by meter accuracy test data.  Continually monitor development of new technology in Advanced Metering Infrastructure (AMI) to grasp opportunities for greater accuracy in metering and customer consumption data.</t>
    </r>
  </si>
  <si>
    <t>Apparent Losses per service connection per day:</t>
  </si>
  <si>
    <t>Real Losses per service connection per day*:</t>
  </si>
  <si>
    <t>Real Losses per length of main per day*:</t>
  </si>
  <si>
    <t>Apparent Losses:</t>
  </si>
  <si>
    <t>Grade</t>
  </si>
  <si>
    <t>Weight</t>
  </si>
  <si>
    <t>Grade*Weight</t>
  </si>
  <si>
    <t>Score</t>
  </si>
  <si>
    <t>adjWeight</t>
  </si>
  <si>
    <t>adjFactor</t>
  </si>
  <si>
    <t>droppedPts</t>
  </si>
  <si>
    <t>Billed metered</t>
  </si>
  <si>
    <t>Billed unmetered</t>
  </si>
  <si>
    <t>Unbilled metered</t>
  </si>
  <si>
    <t>Unbilled unmetered</t>
  </si>
  <si>
    <t>Number of active AND inactive service connections</t>
  </si>
  <si>
    <t>Total annual cost of operating water system</t>
  </si>
  <si>
    <t>Number of service connections, main to curb stop. Please note that this includes the actual number of distinct piping connections including fire connections whether active or inactive. This may differ substantially from the number of Customers (or number of accounts)</t>
  </si>
  <si>
    <t>Preliminary Comparisons - can begin to rely upon the Infrastructure Leakage Index (ILI) for performance comparisons for real losses (see below table)</t>
  </si>
  <si>
    <t>Performance Benchmarking - ILI is meaningful in comparing real loss standing</t>
  </si>
  <si>
    <t>Identify Best Practices/ Best in class - the ILI is very reliable as a real loss performance indicator for best in class service</t>
  </si>
  <si>
    <t>Water Audit Data Validity Level / Score</t>
  </si>
  <si>
    <t>Clearly written, up-to-date water rate structure is in force and is applied reliably in billing operations.  Composite customer rate is determined using a weighted average residential rate using volumes of water in each rate block.</t>
  </si>
  <si>
    <r>
      <t>to qualify for 2</t>
    </r>
    <r>
      <rPr>
        <sz val="8"/>
        <rFont val="Arial"/>
        <family val="2"/>
      </rPr>
      <t xml:space="preserve">:
Assign personnel to inventory current as-built records and compare with customer billing system records and highway plans.  Assemble policy documents regarding permitting and documentation of water main installations by the utility and building developers; identify gaps in procedure that result in poor documentation. </t>
    </r>
  </si>
  <si>
    <t>Sound permitting policy and well managed and audited procedures ensure reliable management of service connection population.  Computerized information management system and Geographic Information System (GIS) information agree; field validation proves truth of databases.  Count of connections believed to be in error by less than 1%.</t>
  </si>
  <si>
    <t>Vague policy exists to define the delineation of water utility ownership and customer ownership of the service connection piping.  Curbstops are perceived as the breakpoint but these have not been well-maintained or documented.  Most are buried or obscured.  Their location varies widely from site-to-site, and estimating this distance is arbitrary due to the unknown location of many curbstops.</t>
  </si>
  <si>
    <r>
      <t>to qualify for 10</t>
    </r>
    <r>
      <rPr>
        <sz val="8"/>
        <rFont val="Arial"/>
        <family val="2"/>
      </rPr>
      <t xml:space="preserve">:
Close policy/procedure  loopholes that allow some customer accounts to go unbilled, or data handling errors to exist.  Ensure that internal and third party audits are conducted annually. </t>
    </r>
  </si>
  <si>
    <t>PLEASE SELECT PREFERRED REPORTING UNITS FOR WATER VOLUME:</t>
  </si>
  <si>
    <t>Choose this option to enter a percentage of billed metered consumption. This is NOT a default value</t>
  </si>
  <si>
    <t>Systematic data handling errors are likely, please enter a non-zero value; otherwise grade = 5</t>
  </si>
  <si>
    <t>= apparent losses + real losses
The difference between System Input and Authorized Consumption. Water losses can be considered as a total volume for the whole system, or for partial systems such as transmission or distribution systems, or individual zones. Water Losses consist of Real Losses and Apparent Losses.</t>
  </si>
  <si>
    <r>
      <t xml:space="preserve">Number of </t>
    </r>
    <r>
      <rPr>
        <u/>
        <sz val="10"/>
        <color indexed="9"/>
        <rFont val="Courier New"/>
        <family val="3"/>
      </rPr>
      <t>active AND inactive</t>
    </r>
    <r>
      <rPr>
        <sz val="10"/>
        <color indexed="9"/>
        <rFont val="Courier New"/>
        <family val="3"/>
      </rPr>
      <t xml:space="preserve"> service connections</t>
    </r>
  </si>
  <si>
    <t>acre-feet</t>
  </si>
  <si>
    <t xml:space="preserve">Length of all pipelines (except service connections) in the system starting from the point of system input metering (for example at the outlet of the treatment plant).  It is also recommended to include in this measure the total length of fire hydrant lead pipe.  Hydrant lead pipe is the pipe branching from the water main to the fire hydrant.  Fire hydrant leads are typically of a sufficiently large size that is more representative of a pipeline than a service connection.  The average length of hydrant leads across the entire system can be assumed if not known, and multiplied by the number of fire hydrants in the system, which can also be assumed if not known.  This value can then be added to the total pipeline length.  Total length of mains can therefore be calculated as:
Length of Mains, miles = (total pipeline length, miles) + [ {(average fire hydrant lead length, ft) x (number of fire hydrants)} / 5,280 ft/mile ] 
                                          or
Length of Mains, kilometres = (total pipeline length, kilometres) + [ {(average fire hydrant lead length, metres) x (number of fire hydrants)} / 1,000 metres/kilometre ] </t>
  </si>
  <si>
    <t>The ratio of the Current Annual Real Losses (Real Losses) to the Unavoidable Annual Real Losses (UARL).  The ILI is a highly effective performance indicator for comparing (benchmarking) the performance of utilities in operational management of real losses.</t>
  </si>
  <si>
    <t>Water Losses</t>
  </si>
  <si>
    <t>Apparent Losses</t>
  </si>
  <si>
    <t>Real Losses</t>
  </si>
  <si>
    <t>Length of mains</t>
  </si>
  <si>
    <t>Connection density</t>
  </si>
  <si>
    <r>
      <t>to qualify for 5</t>
    </r>
    <r>
      <rPr>
        <sz val="8"/>
        <rFont val="Arial"/>
        <family val="2"/>
      </rPr>
      <t>:
Utilize accepted default value of 1.25% of system input volume as expedient means to gain a reasonable quantification of all such use.  This is particularly appropriate for water utilities who are in the early stages of the water auditing process.</t>
    </r>
  </si>
  <si>
    <t xml:space="preserve">Well-managed, discrete pressure zones exist with generally predictable pressure fluctuations.  A current full-scale SCADA System exists to monitor the water distribution system and collect data, including real time pressure readings at representative sites across the system.  The average system pressure is determined from reliable SCADA System data. </t>
  </si>
  <si>
    <t>Physical water losses from the pressurized system and the utility’s storage tanks, up to the point of customer consumption. In metered systems this is the customer meter, in unmetered situations this is the first point of consumption (stop tap/tap) within the property.
The annual volume lost through all types of leaks, breaks and overflows depends on frequencies, flow rates, and average duration of individual leaks, breaks and overflows.</t>
  </si>
  <si>
    <r>
      <t>to qualify for 6</t>
    </r>
    <r>
      <rPr>
        <sz val="8"/>
        <rFont val="Arial"/>
        <family val="2"/>
      </rPr>
      <t xml:space="preserve">:
Draft a new written policy regarding billing exemptions based upon consensus criteria allowing this occurrence.  Assign resources to audit meter records and billing records to obtain census of unbilled metered accounts.  </t>
    </r>
  </si>
  <si>
    <r>
      <t>to qualify for 6 or greater</t>
    </r>
    <r>
      <rPr>
        <sz val="8"/>
        <rFont val="Arial"/>
        <family val="2"/>
      </rPr>
      <t>:
Finalize policy and do field checks.  Proceed if top-down audit exists and/or a great volume of such use is suspected.</t>
    </r>
  </si>
  <si>
    <r>
      <t>to qualify for 8</t>
    </r>
    <r>
      <rPr>
        <sz val="8"/>
        <rFont val="Arial"/>
        <family val="2"/>
      </rPr>
      <t xml:space="preserve">:
Assess water utility policy and procedures to ensure that fire hydrant permits are issued for use by persons outside of the utility.  Create written procedures for use and documentation of fire hydrants by water utility personnel. </t>
    </r>
  </si>
  <si>
    <r>
      <t>to qualify for 2</t>
    </r>
    <r>
      <rPr>
        <sz val="8"/>
        <rFont val="Arial"/>
        <family val="2"/>
      </rPr>
      <t>:
Research and collect paper records of service line installations.  Inspect several sites in the field using pipe locators to locate curbstops.  Obtain the length of this small sample of connections in this manner.</t>
    </r>
  </si>
  <si>
    <r>
      <t>to qualify for 6</t>
    </r>
    <r>
      <rPr>
        <sz val="8"/>
        <rFont val="Arial"/>
        <family val="2"/>
      </rPr>
      <t>:
Establish coherent procedures to ensure that policy for curbstop, meter installation and documentation is followed.  Gain consensus within the water utility for the establishment of a computerized information management system.</t>
    </r>
  </si>
  <si>
    <r>
      <t>to qualify for 8</t>
    </r>
    <r>
      <rPr>
        <sz val="8"/>
        <rFont val="Arial"/>
        <family val="2"/>
      </rPr>
      <t xml:space="preserve">:
Implement an electronic means of recordkeeping, typically via a customer information system or customer billing system.  Standardize the process to conduct field checks of limited number of locations.  </t>
    </r>
  </si>
  <si>
    <r>
      <t>to qualify for 10</t>
    </r>
    <r>
      <rPr>
        <sz val="8"/>
        <rFont val="Arial"/>
        <family val="2"/>
      </rPr>
      <t>:
Link customer information management system and Geographic Information System (GIS), standardize process for field verification of data.</t>
    </r>
  </si>
  <si>
    <r>
      <t>to qualify for 10</t>
    </r>
    <r>
      <rPr>
        <sz val="8"/>
        <rFont val="Arial"/>
        <family val="2"/>
      </rPr>
      <t xml:space="preserve">:  
Obtain average pressure data from hydraulic model of the distribution system that has been calibrated via field measurements in the water distribution system and confirmed in comparisons with SCADA System data.      </t>
    </r>
  </si>
  <si>
    <t>Incomplete paper records and lack of documentation on many operating functions making calculation of water system operating costs a pure guesstimate</t>
  </si>
  <si>
    <t>Incomplete paper records and lack of documentation on primary operating functions (electric power and treatment costs most importantly) makes calculation of variable production costs a pure guesstimate</t>
  </si>
  <si>
    <r>
      <t>to maintain 10</t>
    </r>
    <r>
      <rPr>
        <sz val="8"/>
        <rFont val="Arial"/>
        <family val="2"/>
      </rPr>
      <t xml:space="preserve">:
Monitor meter innovations for development of more accurate and less expensive flowmeters.  Continue to replace or repair meters as they perform outside of desired accuracy limits. </t>
    </r>
  </si>
  <si>
    <t>Sound policy exists for managing water mains extensions and replacements.  Geographic Information System (GIS) data and asset management database agree and random field validation proves truth of databases.</t>
  </si>
  <si>
    <t>Less than 50% of customers with volume-based billings from meter readings; flat or fixed rate billed for the majority of the customer population</t>
  </si>
  <si>
    <t xml:space="preserve">select n/a if all billing-exempt consumption is unmetered.  </t>
  </si>
  <si>
    <t>Default value of 1.25% of system input volume is employed</t>
  </si>
  <si>
    <t>Default value of 0.25% of system input volume is employed</t>
  </si>
  <si>
    <t xml:space="preserve">Clear policies exist to identify all known unauthorized uses of water.  Staff and procedures exist to provide enforcement of policies and detect violations.  Each occurrence is quantified via formulae (time x typical flow) or similar methods.  </t>
  </si>
  <si>
    <t xml:space="preserve">Ongoing meter replacement and accuracy testing result in highly accurate customer meter population.  Testing is conducted on samples of meters at varying lifespans to determine optimum replacement time for various types of meters.  </t>
  </si>
  <si>
    <t>Real Losses = Water Losses - Apparent Losses:</t>
  </si>
  <si>
    <r>
      <t>Average</t>
    </r>
    <r>
      <rPr>
        <sz val="10"/>
        <rFont val="Courier New"/>
        <family val="3"/>
      </rPr>
      <t xml:space="preserve"> length of customer service line:</t>
    </r>
  </si>
  <si>
    <t>The cost to produce and supply the next unit of water. (E.g., $/million gallons) This cost is determined by calculating the summed unit costs for ground and surface water treatment and all power used for pumping from the source to the customer. It should also include the unit cost of bulk water purchased as an import if applicable.</t>
  </si>
  <si>
    <t>No automatic datalogging of production volumes; daily readings are scribed on paper records.  Tank/storage elevation changes are not employed in calculating "Volume from own sources" component.  Data is adjusted only when grossly evident data error occurs.</t>
  </si>
  <si>
    <t>Customer retail unit cost (applied to Apparent Losses)</t>
  </si>
  <si>
    <t>Number of active AND inactive service connections:</t>
  </si>
  <si>
    <t>Customer retail unit cost (applied to Apparent Losses):</t>
  </si>
  <si>
    <t>Variable production cost (applied to Real Losses):</t>
  </si>
  <si>
    <t>Volume from own sources:</t>
  </si>
  <si>
    <t>Master meter error adjustment:</t>
  </si>
  <si>
    <t>Billed metered:</t>
  </si>
  <si>
    <t>Billed unmetered:</t>
  </si>
  <si>
    <t>Unbilled metered:</t>
  </si>
  <si>
    <t>Unbilled unmetered:</t>
  </si>
  <si>
    <t>Unauthorized consumption:</t>
  </si>
  <si>
    <t>Customer metering inaccuracies:</t>
  </si>
  <si>
    <t>Length of mains:</t>
  </si>
  <si>
    <t>Average operating pressure:</t>
  </si>
  <si>
    <t>Total annual cost of operating water system:</t>
  </si>
  <si>
    <t>Has grade</t>
  </si>
  <si>
    <t>Needs grade</t>
  </si>
  <si>
    <t>Grade Problem</t>
  </si>
  <si>
    <t>uniqueRank</t>
  </si>
  <si>
    <t>default(s) being used</t>
  </si>
  <si>
    <t>Grading</t>
  </si>
  <si>
    <t>D</t>
  </si>
  <si>
    <t>Water Loss Control Planning Guide</t>
  </si>
  <si>
    <t>Functional Focus Area</t>
  </si>
  <si>
    <r>
      <t>to qualify for 4</t>
    </r>
    <r>
      <rPr>
        <sz val="8"/>
        <rFont val="Arial"/>
        <family val="2"/>
      </rPr>
      <t>:
Implement an electronic cost accounting system, structured according to accounting standards for water utilities</t>
    </r>
  </si>
  <si>
    <r>
      <t>to qualify for 8</t>
    </r>
    <r>
      <rPr>
        <sz val="8"/>
        <rFont val="Arial"/>
        <family val="2"/>
      </rPr>
      <t>:
Standardize the process to conduct routine financial audit on an annual basis.</t>
    </r>
  </si>
  <si>
    <r>
      <t>to qualify for 10</t>
    </r>
    <r>
      <rPr>
        <sz val="8"/>
        <rFont val="Arial"/>
        <family val="2"/>
      </rPr>
      <t>:
Standardize the process to conduct a third-party financial audit by a CPA on an annual basis.</t>
    </r>
  </si>
  <si>
    <r>
      <t>to maintain 10</t>
    </r>
    <r>
      <rPr>
        <sz val="8"/>
        <rFont val="Arial"/>
        <family val="2"/>
      </rPr>
      <t>:
Maintain program, stay abreast of expenses subject to erratic cost changes and budget/track costs proactively</t>
    </r>
  </si>
  <si>
    <t>Dated, cumbersome water rate structure, not always employed consistently in actual billing operations.  The actual composite billing rate is known to differ from the published water rate structure, and a reasonably accurate estimate of the degree of error is determined, allowing a composite billing rate to be quantified.</t>
  </si>
  <si>
    <t>Straight-forward water rate structure in use, but not updated in several years.  Billing operations reliably employ the rate structure.  The composite billing rate is derived from a single customer class such as residential customer accounts, neglecting the effect of different rates from varying customer classes.</t>
  </si>
  <si>
    <t>Customer population unmetered. Fixed fee charged; single composite number derived from multiple customer classes.</t>
  </si>
  <si>
    <t>ML/Yr</t>
  </si>
  <si>
    <t>kilometers</t>
  </si>
  <si>
    <t>conn./km main</t>
  </si>
  <si>
    <t>metres</t>
  </si>
  <si>
    <t>Clear policies exist to identify permitted use of water in unbilled, unmetered fashion, with the intention of minimizing this type of consumption.  Good records document each occurrence and consumption is quantified via formulae (time x typical flow) or use of temporary meters.</t>
  </si>
  <si>
    <t xml:space="preserve">Procedures exist to document some unauthorized consumption such as observed unauthorized fire hydrant openings.  Use formulae to quantify this consumption (time running x typical flowrate x number of  events).  </t>
  </si>
  <si>
    <t>Use this sheet to interpret the results of the audit validity score and performance indicators</t>
  </si>
  <si>
    <r>
      <t>Level I</t>
    </r>
    <r>
      <rPr>
        <sz val="10"/>
        <rFont val="Arial"/>
      </rPr>
      <t xml:space="preserve"> (0-25)</t>
    </r>
  </si>
  <si>
    <t/>
  </si>
  <si>
    <t>All volumes to be entered as: MEGALITRES (THOUSAND CUBIC METRES) PER YEAR</t>
  </si>
  <si>
    <t>Megalitres/yr (or ML/Yr)</t>
  </si>
  <si>
    <t>Apparent water losses caused by systematic data handling errors in the meter reading and billing system.</t>
  </si>
  <si>
    <t>Water imported</t>
  </si>
  <si>
    <t>Volume from own sources</t>
  </si>
  <si>
    <t>Billed metered consumption</t>
  </si>
  <si>
    <t>Billed unmetered consumption</t>
  </si>
  <si>
    <t>Water exported</t>
  </si>
  <si>
    <t>Unbilled unmetered consumption</t>
  </si>
  <si>
    <t>Unbilled metered consumption</t>
  </si>
  <si>
    <t>Customer metering inaccuracies</t>
  </si>
  <si>
    <t>These costs include those for operations, maintenance and any annually incurred costs for long-term upkeep of the system, such as repayment of capital bonds for infrastructure expansion or improvement.  Typical costs include employee salaries and benefits, materials, equipment, insurance, fees, administrative costs and all other costs that exist to sustain the drinking water supply.  These costs should not include any costs to operate wastewater, biosolids or other systems outside of drinking water.</t>
  </si>
  <si>
    <t xml:space="preserve">Clearly written policy identifies the types of accounts given a billing exemption, with emphasis on keeping such accounts to a minimum.  Customer meter management and meter reading for these accounts is given proper priority and is reliably conducted.  Regular auditing confirms this.  Total water consumption for these accounts is taken from reliable readings from accurate meters.         </t>
  </si>
  <si>
    <t>Policy requires that the curbstop serves as the delineation point between water utility ownership and customer ownership of the service connection piping.  The piping from the water main to the curbstop is the property of the water utility; and the piping from the curbstop to the customer building is owned by the customer.  Curbstop locations are not well documented and the average distance is based upon a limited number of locations measured in the field.</t>
  </si>
  <si>
    <t xml:space="preserve">Limited telemetry monitoring of scattered sites provides some static pressure data, which is recorded in handwritten logbooks.  Pressure data is gathered at individual sites only when low pressure complaints arise.  Average pressure is determined by averaging relatively crude data, and is affected by significant variation in ground elevations, system head loss and gaps in pressure controls in the distribution system. </t>
  </si>
  <si>
    <t>Note: if the water utility purchases/imports its entire water supply, then enter the unit purchase cost of the bulk water supply in the Reporting Worksheet with a grading of 10</t>
  </si>
  <si>
    <t xml:space="preserve">25% - 50% of treated water production sources are metered; other sources estimated.  No regular meter accuracy testing. </t>
  </si>
  <si>
    <t>50% - 75% of treated water production sources are metered, other sources estimated.  Occasional meter accuracy testing</t>
  </si>
  <si>
    <r>
      <t xml:space="preserve">At least 75% of treated water production sources are metered, </t>
    </r>
    <r>
      <rPr>
        <u/>
        <sz val="8"/>
        <rFont val="Arial"/>
        <family val="2"/>
      </rPr>
      <t>or</t>
    </r>
    <r>
      <rPr>
        <sz val="8"/>
        <rFont val="Arial"/>
        <family val="2"/>
      </rPr>
      <t xml:space="preserve"> at least 90% of the source flow is derived from metered sources.  Meter accuracy testing and/or electronic calibration conducted annually.  Less than 25% of tested meters are found outside of +/- 6% accuracy.  </t>
    </r>
  </si>
  <si>
    <t xml:space="preserve">100% of treated water production sources are metered, meter accuracy testing and electronic calibration conducted semi-annually, with less than 10% found outside of +/- 3% accuracy.     </t>
  </si>
  <si>
    <t>100% of treated water production sources are metered, meter accuracy testing and electronic calibration conducted annually, less than 10% of meters are found outside of +/- 6% accuracy</t>
  </si>
  <si>
    <t>A reliable electronic recordkeeping system for meters exists.  Population includes a mix of new high performing meters and dated meters with suspect accuracy.  Routine, but limited, meter accuracy testing and meter replacement occur.  Inaccuracy volume is quantified using a mix of reliable and less certain data.</t>
  </si>
  <si>
    <t>Improvements to attain higher data grading for "Customer meter inaccuracy volume" component:</t>
  </si>
  <si>
    <t>Improvements to attain higher data grading for "Systematic Data Handling Error volume" component:</t>
  </si>
  <si>
    <t>Improvements to attain higher data grading for "Length of Water Mains" component:</t>
  </si>
  <si>
    <t>Permitting policy and procedures are adequate and reviewed periodically.  Computerized information management system is in use with annual installations &amp; abandonments totaled.  Very limited field verifications and audits.  Error in count of number of service connections is believed to be no more that 3%.</t>
  </si>
  <si>
    <t>Improvements to attain higher data grading for "Number of Active and Inactive customer service connections" component:</t>
  </si>
  <si>
    <t>Antiquated, cumbersome water rate structure is use, with periodic historic amendments that were poorly documented and implemented; resulting in classes of customers being billed inconsistent charges.  The actual composite billing rate likely differs significantly from the published water rate structure, but a lack of auditing leaves the degree of error indeterminate.</t>
  </si>
  <si>
    <t>Effective water rate structure is in force and is applied reliably in billing operations.  Composite customer rate is determined using a weighted average composite consumption rate, including residential, commercial, industrial and any other customer classes within the water rate structure.</t>
  </si>
  <si>
    <t>Third party reviewed weighted average composite consumption rate (includes residential, commercial, industrial, etc.)</t>
  </si>
  <si>
    <r>
      <t>to qualify for 2</t>
    </r>
    <r>
      <rPr>
        <sz val="8"/>
        <rFont val="Arial"/>
        <family val="2"/>
      </rPr>
      <t>:
Formalize the process to implement water rates, including a secure documentation procedure.  Create a current, formal water rate document and gain approval from all stakeholders.</t>
    </r>
  </si>
  <si>
    <t xml:space="preserve">Clear policy exists to define utility/customer responsibility for service connection piping.  Accurate, well-maintained paper or basic electronic recordkeeping system exists.  Periodic field checks confirm piping lengths for a sample of customer properties.   </t>
  </si>
  <si>
    <t>Improvements to attain higher data grading for "Average Length of Customer Service Line" component:</t>
  </si>
  <si>
    <r>
      <t>to qualify for 4</t>
    </r>
    <r>
      <rPr>
        <sz val="8"/>
        <rFont val="Arial"/>
        <family val="2"/>
      </rPr>
      <t>:
Formalize and communicate policy delineating utility/customer responsibilities for service connection piping.  Assess accuracy of paper records by field inspection of a small sample of service connections using pipe locators as needed.  Research the potential migration to a computerized information management system to store service connection data.</t>
    </r>
  </si>
  <si>
    <t>Good records of number, type and size of customer meters; ongoing meter replacement occurs.  Regular meter accuracy testing gives reliable measure of composite inaccuracy volume for the system.  New metering technology is embraced to keep overall accuracy improving.</t>
  </si>
  <si>
    <r>
      <t>to qualify for 2</t>
    </r>
    <r>
      <rPr>
        <sz val="8"/>
        <rFont val="Arial"/>
        <family val="2"/>
      </rPr>
      <t>:
Gather available meter purchase records.  Conduct testing on a small number of meters believed to be the most inaccurate.  Review staffing needs of metering group and budget for necessary resources to better organize meter management.</t>
    </r>
  </si>
  <si>
    <t>Policy for permitting and billing is adequate and reviewed periodically.  Computerized billing system in use with basic reporting available.  Any effect of billing adjustments on measured consumption volumes is well understood.  Internal checks of billing data error conducted annually.  Reasonably accurate quantification of consumption volume lost to billing lapses is obtained.</t>
  </si>
  <si>
    <t>In the Reporting Worksheet, grades were assigned to each component of the audit to describe the confidence and accuracy of the input data. The grading assigned to each audit component and the corresponding recommended improvements and actions are highlighted in yellow. Audit accuracy is likely to be improved by prioritizing those items shown in red</t>
  </si>
  <si>
    <t>The current sheet</t>
  </si>
  <si>
    <t>Enter the required data on this worksheet to calculate the water balance</t>
  </si>
  <si>
    <t>The values entered in the Reporting Worksheet are used to populate the water balance</t>
  </si>
  <si>
    <t>Use this sheet to understand terms used in the audit process</t>
  </si>
  <si>
    <t xml:space="preserve">Value calculated based on input data </t>
  </si>
  <si>
    <t>COUNTRY:</t>
  </si>
  <si>
    <t>Water Audit Report for:</t>
  </si>
  <si>
    <t>Reporting Year:</t>
  </si>
  <si>
    <t>REPORTING YEAR:</t>
  </si>
  <si>
    <t>SYSTEM DATA</t>
  </si>
  <si>
    <t>Connection density:</t>
  </si>
  <si>
    <t>Water Audit Report For:</t>
  </si>
  <si>
    <t>Report Yr:</t>
  </si>
  <si>
    <t>Variable production cost (applied to Real Losses)</t>
  </si>
  <si>
    <r>
      <t>Variable production cost</t>
    </r>
    <r>
      <rPr>
        <sz val="10"/>
        <rFont val="Courier New"/>
        <family val="3"/>
      </rPr>
      <t xml:space="preserve"> </t>
    </r>
    <r>
      <rPr>
        <sz val="8"/>
        <rFont val="Courier New"/>
        <family val="3"/>
      </rPr>
      <t>(applied to Real Losses)</t>
    </r>
    <r>
      <rPr>
        <sz val="10"/>
        <rFont val="Courier New"/>
        <family val="3"/>
      </rPr>
      <t>:</t>
    </r>
  </si>
  <si>
    <t>Annual cost of Apparent Losses:</t>
  </si>
  <si>
    <t xml:space="preserve">Computerized system (SCADA or similar) automatically balances flows from all sources and storages; results reviewed daily.  Mass balance technique compares production meter data to raw (untreated) water and treatment volumes to detect anomalies.  Regular calibrations between SCADA and sources meters ensures minimal data transfer error.  </t>
  </si>
  <si>
    <r>
      <t>PURPOSE:</t>
    </r>
    <r>
      <rPr>
        <sz val="10"/>
        <rFont val="Courier New"/>
        <family val="3"/>
      </rPr>
      <t xml:space="preserve"> This spreadsheet-based water audit tool is designed to help quantify and track water losses associated with water distribution systems and identify areas for improved efficiency and cost recovery. It provides a "top-down" summary water audit format, and is not meant to take the place of a full-scale, comprehensive water audit format. </t>
    </r>
  </si>
  <si>
    <t>Value can be entered by user</t>
  </si>
  <si>
    <t>A weighted scale for the components of consumption and water loss is included in the calculation of the Water Audit Data Validity Score</t>
  </si>
  <si>
    <t>Conditions between 
2 and 4</t>
  </si>
  <si>
    <t>Conditions between 
4 and 6</t>
  </si>
  <si>
    <t>Conditions between 
6 and 8</t>
  </si>
  <si>
    <t>Conditions between 
8 and 10</t>
  </si>
  <si>
    <t xml:space="preserve">Apparent water losses caused by the collective under-registration of customer water meters. Many customer water meters will wear as large cumulative volumes of water are passed through them over time.  This causes the meters to under-register.  The auditor has two options for entering data for this component of the audit. The auditor can enter a percentage under-registration (typically an estimated value), this will apply the selected percentage to the two categories of metered consumption to determine the volume of water not recorded due to customer meter inaccuracy. Alternatively, if the auditor has substantial data from meter testing to arrive at their own volumes of such losses, this volume may be entered directly. Note that a value of zero will be accepted but an alert will appear asking if the customer population is unmetered.  Since all metered systems have some degree of inaccuracy, then a positive value should be entered.  A value of zero in this component is valid only if the water utility does not meter its customer population.    </t>
  </si>
  <si>
    <t>Systematic Data Handling Errors</t>
  </si>
  <si>
    <t>Begin to assemble economic business case for long-term needs based upon improved data becoming available through the water audit process.</t>
  </si>
  <si>
    <t>Conduct detailed planning, budgeting and launch of comprehensive improvements for metering, billing or infrastructure management</t>
  </si>
  <si>
    <t xml:space="preserve">Electronic, industry-standard cost accounting system in place.  Gaps in data known to exist, periodic internal reviews conducted but not a structured audit. </t>
  </si>
  <si>
    <r>
      <t>to qualify for 2</t>
    </r>
    <r>
      <rPr>
        <sz val="8"/>
        <rFont val="Arial"/>
        <family val="2"/>
      </rPr>
      <t>:
Gather available records, institute new procedures to regularly collect and audit basic cost data of most important operations functions.</t>
    </r>
  </si>
  <si>
    <r>
      <t>to qualify for 6</t>
    </r>
    <r>
      <rPr>
        <sz val="8"/>
        <rFont val="Arial"/>
        <family val="2"/>
      </rPr>
      <t>:
Establish process for periodic internal audit of water system operating costs; identify cost data gaps and institute procedures for tracking these outstanding costs.</t>
    </r>
  </si>
  <si>
    <t>Improvements to attain higher data grading for "Variable Production Cost" component:</t>
  </si>
  <si>
    <r>
      <t>to qualify for 8</t>
    </r>
    <r>
      <rPr>
        <sz val="8"/>
        <rFont val="Arial"/>
        <family val="2"/>
      </rPr>
      <t>:
Formalize the accounting process to include primary cost components (power, treatment) as well as secondary components (liability, residuals management, etc.) Conduct periodic third-party audits.</t>
    </r>
  </si>
  <si>
    <t>1/2008 - 12/2008</t>
  </si>
  <si>
    <t xml:space="preserve">Billing practices exempt certain accounts, such as municipal buildings, but written policies do not exist; and a reliable count of unbilled metered accounts is unavailable.  Meter upkeep and meter reading on these accounts is rare and not considered a priority.  Due to poor recordkeeping and lack of auditing, water consumption for all such accounts is purely guesstimated.       </t>
  </si>
  <si>
    <t xml:space="preserve">Billing practices exempt certain accounts, such as municipal buildings, but only scattered, dated written directives exist to justify this practice.  A reliable count of unbilled metered accounts is unavailable.  Sporadic meter replacement and meter reading occurs on an as-needed basis.  The total annual water consumption for all unbilled, metered accounts is estimated based upon approximating the number of accounts and assigning consumption from actively billed accounts of same meter size.        </t>
  </si>
  <si>
    <t>Audit Data Collection</t>
  </si>
  <si>
    <t>Launch auditing and loss control team; address production metering deficiencies</t>
  </si>
  <si>
    <t>Analyze business process for customer metering and billing functions and water supply operations. Identify data gaps.</t>
  </si>
  <si>
    <t>Establish/revise policies and procedures for data collection</t>
  </si>
  <si>
    <r>
      <t>to qualify for 6</t>
    </r>
    <r>
      <rPr>
        <sz val="8"/>
        <rFont val="Arial"/>
        <family val="2"/>
      </rPr>
      <t>:
Refine permitting and billing procedures and ensure consistency with the utility policy regarding billing, and minimize opportunity for missed billings.  Upgrade or replace customer billing system for needed functionality - ensure that billing adjustments don't corrupt the value of consumption volumes.  Procedurize internal annual audit process.</t>
    </r>
  </si>
  <si>
    <t xml:space="preserve">Vague permitting (of new service connections) policy and poor paper recordkeeping of customer connections/billings result in suspect determination of the number of service connections, which may be 10-15% in error from actual count. </t>
  </si>
  <si>
    <t xml:space="preserve">General permitting policy exists but paper records, procedural gaps, and weak oversight result in questionable total for number of connections, which may vary 5-10% of actual count.    </t>
  </si>
  <si>
    <t>= Apparent Losses + Real Losses + Unbilled Metered + Unbilled Unmetered
Water which does not provide any revenue to the utility</t>
  </si>
  <si>
    <t>* only the most applicable of these two indicators will be calculated</t>
  </si>
  <si>
    <t xml:space="preserve">The average pressure may be approximated when compiling the preliminary water audit.  Once routine water auditing has been established, a more accurate assessment of average pressure should be pursued.  If the water utility infrastructure is recorded in a Geographical Information System (GIS) the average pressure at many locations in the distribution system can be readily obtained.  If a GIS does not exist, a weighted average of pressure data can be calculated from water pressure measured at various fire hydrants scattered across the water distribution system. </t>
  </si>
  <si>
    <r>
      <t xml:space="preserve">Number of </t>
    </r>
    <r>
      <rPr>
        <u/>
        <sz val="10"/>
        <rFont val="Courier New"/>
        <family val="3"/>
      </rPr>
      <t>active AND inactive</t>
    </r>
    <r>
      <rPr>
        <sz val="10"/>
        <rFont val="Courier New"/>
        <family val="3"/>
      </rPr>
      <t xml:space="preserve"> service connections:</t>
    </r>
  </si>
  <si>
    <t>Bulk water purchased to become part of the water supplied. Typically this is water purchased from a neighboring water utility or regional water authority. Be sure to account for any import meter inaccuracy in reporting this volume</t>
  </si>
  <si>
    <t>Bulk water sold and conveyed out of the water distribution system. Typically this is water sold to a neighboring water utility. Be sure to account for any export meter inaccuracy in reporting this volume</t>
  </si>
  <si>
    <r>
      <t>Volume from own sources</t>
    </r>
    <r>
      <rPr>
        <sz val="10"/>
        <rFont val="Courier New"/>
        <family val="3"/>
      </rPr>
      <t>:</t>
    </r>
  </si>
  <si>
    <r>
      <t>Billed metered</t>
    </r>
    <r>
      <rPr>
        <sz val="10"/>
        <rFont val="Courier New"/>
        <family val="3"/>
      </rPr>
      <t>:</t>
    </r>
  </si>
  <si>
    <r>
      <t>Billed unmetered</t>
    </r>
    <r>
      <rPr>
        <sz val="10"/>
        <rFont val="Courier New"/>
        <family val="3"/>
      </rPr>
      <t>:</t>
    </r>
  </si>
  <si>
    <r>
      <t>Unbilled metered</t>
    </r>
    <r>
      <rPr>
        <sz val="10"/>
        <rFont val="Courier New"/>
        <family val="3"/>
      </rPr>
      <t>:</t>
    </r>
  </si>
  <si>
    <r>
      <t>Unbilled unmetered</t>
    </r>
    <r>
      <rPr>
        <sz val="10"/>
        <rFont val="Courier New"/>
        <family val="3"/>
      </rPr>
      <t>:</t>
    </r>
  </si>
  <si>
    <r>
      <t>Unauthorized consumption</t>
    </r>
    <r>
      <rPr>
        <sz val="10"/>
        <rFont val="Courier New"/>
        <family val="3"/>
      </rPr>
      <t>:</t>
    </r>
  </si>
  <si>
    <r>
      <t>Customer metering inaccuracies</t>
    </r>
    <r>
      <rPr>
        <sz val="10"/>
        <rFont val="Courier New"/>
        <family val="3"/>
      </rPr>
      <t>:</t>
    </r>
  </si>
  <si>
    <r>
      <t>Length of mains</t>
    </r>
    <r>
      <rPr>
        <sz val="10"/>
        <rFont val="Courier New"/>
        <family val="3"/>
      </rPr>
      <t>:</t>
    </r>
  </si>
  <si>
    <r>
      <t>Average operating pressure</t>
    </r>
    <r>
      <rPr>
        <sz val="10"/>
        <rFont val="Courier New"/>
        <family val="3"/>
      </rPr>
      <t>:</t>
    </r>
  </si>
  <si>
    <r>
      <t>Total annual cost of operating water system</t>
    </r>
    <r>
      <rPr>
        <sz val="10"/>
        <rFont val="Courier New"/>
        <family val="3"/>
      </rPr>
      <t>:</t>
    </r>
  </si>
  <si>
    <t>million gallons (US)</t>
  </si>
  <si>
    <t>$/1000 gallons (US)</t>
  </si>
  <si>
    <t>NON-REVENUE WATER:</t>
  </si>
  <si>
    <t>Billed Water Exported</t>
  </si>
  <si>
    <t>DAVID GOFF, P.E.  Goff Water Audits &amp; Engineering</t>
  </si>
  <si>
    <t>Less than 1.0</t>
  </si>
  <si>
    <r>
      <t xml:space="preserve"> </t>
    </r>
    <r>
      <rPr>
        <b/>
        <u/>
        <sz val="11"/>
        <rFont val="Courier New"/>
        <family val="3"/>
      </rPr>
      <t>PRIORITY AREAS FOR ATTENTION:</t>
    </r>
  </si>
  <si>
    <t>Depending on the confidence of audit inputs, a grading is assigned to the audit score</t>
  </si>
  <si>
    <t xml:space="preserve">Permitting policy and procedures exist, but with some gaps in performance and oversight.  Computerized information management system is being brought online to replace dated paper recordkeeping system.  Reasonably accurate tracking of service connection installations &amp; abandonments; but count can be up to 5% in error from actual total.  </t>
  </si>
  <si>
    <r>
      <t>to qualify for 2</t>
    </r>
    <r>
      <rPr>
        <sz val="8"/>
        <rFont val="Arial"/>
        <family val="2"/>
      </rPr>
      <t xml:space="preserve">:
Draft written policy for permitting and billing.  Investigate and budget for computerized customer billing system.  Conduct initial audit of billing records by flow-charting the basic business processes of the customer account/billing function.  </t>
    </r>
  </si>
  <si>
    <r>
      <t>to maintain 10</t>
    </r>
    <r>
      <rPr>
        <sz val="8"/>
        <rFont val="Arial"/>
        <family val="2"/>
      </rPr>
      <t>:
Stay abreast of customer information management developments and innovations.  Monitor developments of Advanced Metering Infrastructure (AMI) and integrate technology to ensure that customer endpoint information is well-monitored and errors/lapses are at an economic minimum.</t>
    </r>
  </si>
  <si>
    <r>
      <t>to qualify for 4</t>
    </r>
    <r>
      <rPr>
        <sz val="8"/>
        <rFont val="Arial"/>
        <family val="2"/>
      </rPr>
      <t xml:space="preserve">: 
Implement a new water utility policy requiring customer metering.  Expand pilot metering study to include several different meter types, which will provide data for economic assessment of full scale metering options.  Assess sites with access difficulties to devise means to obtain water consumption volumes. </t>
    </r>
  </si>
  <si>
    <t xml:space="preserve">     Otherwise not valid</t>
  </si>
  <si>
    <t>If instructions is gallons Then</t>
  </si>
  <si>
    <t>IF(AND(G55&gt;40,G50*32+G51&gt;3000),(((5.41*G50)+(0.15*G51)+(7.5*(G51*G53/5280)))*G55)/1000000,"Not Valid")))</t>
  </si>
  <si>
    <t xml:space="preserve">     If pressure &gt; 40 AND length of mains * 32 + # connections &gt; 3000 Then</t>
  </si>
  <si>
    <t xml:space="preserve">        (((5.41 * length of mains) + (0.15 * # connections) + (7.5 * (# service connections * avg len of pipe / 5280))) * pressure)   /1000000</t>
  </si>
  <si>
    <r>
      <t>to qualify for 4</t>
    </r>
    <r>
      <rPr>
        <sz val="8"/>
        <rFont val="Arial"/>
        <family val="2"/>
      </rPr>
      <t>:
Refine policy and procedures for permitting and billing.  Research computerized recordkeeping system (Customer Information System or Customer Billing System) to improve documentation format for service connections.</t>
    </r>
  </si>
  <si>
    <r>
      <t>to qualify for 6</t>
    </r>
    <r>
      <rPr>
        <sz val="8"/>
        <rFont val="Arial"/>
        <family val="2"/>
      </rPr>
      <t>:
Refine procedures to ensure consistency with permitting policy to establish new service connections or decommission existing connections.  Improve process to include all totals for at least five years prior to audit year.</t>
    </r>
  </si>
  <si>
    <t xml:space="preserve">          (((18 * length of mains) + (0.8 * # connections) + (25 * (# service connections * avg len of pipe / 1000))) * pressure)   /1000</t>
  </si>
  <si>
    <t>Logic:</t>
  </si>
  <si>
    <t>If instructions is acre-feet Then</t>
  </si>
  <si>
    <t>wlc@awwa.org</t>
  </si>
  <si>
    <t>If you have questions or comments regarding the software please contact us at:</t>
  </si>
  <si>
    <t>Value:</t>
  </si>
  <si>
    <t>Pcnt:</t>
  </si>
  <si>
    <t>(reallosses * real loss cost per unit) + (apparent losses * apparent loss cost per unit * unit conversion factor)</t>
  </si>
  <si>
    <t>Average length of customer service line</t>
  </si>
  <si>
    <t>Average length of customer service line:</t>
  </si>
  <si>
    <t>Use of Option Buttons</t>
  </si>
  <si>
    <t>Includes water illegally withdrawn from hydrants, illegal connections, bypasses to consumption meter or meter reading equipment tampering.  While this component has a direct impact on revenue, in most water utilities the volume is low and it is recommended that the auditor apply a default value of 0.25% of the volume from own sources.  If the auditor has well validated data that indicates the volume from unauthorized consumption is substantially higher or lower than that generated by the default value then this value can be entered.  However, for most water utilities it is recommended to apply the default value.  Note that a value of zero will not be accepted since all water utilities have some volume of unauthorized consumption occurring in their system.</t>
  </si>
  <si>
    <r>
      <t>m</t>
    </r>
    <r>
      <rPr>
        <vertAlign val="superscript"/>
        <sz val="10"/>
        <rFont val="Arial"/>
        <family val="2"/>
      </rPr>
      <t>3</t>
    </r>
  </si>
  <si>
    <t>million</t>
  </si>
  <si>
    <t>thousand cubic metres</t>
  </si>
  <si>
    <t>These cells contain recommended default values</t>
  </si>
  <si>
    <t xml:space="preserve"> </t>
  </si>
  <si>
    <r>
      <t>to qualify for 10</t>
    </r>
    <r>
      <rPr>
        <sz val="8"/>
        <rFont val="Arial"/>
        <family val="2"/>
      </rPr>
      <t>:
Refine written procedures to ensure that all uses of unbilled, unmetered water are overseen by a structured permitting process managed by water utility personnel.  Reassess policy to determine if some of these uses have value in being converted to billed and/or metered status.</t>
    </r>
  </si>
  <si>
    <t>=IF(ISERROR(1/G60),"",(((G24+G25+G40)*G62)+(G37*G61)*INDEX(Sheet1!B2:D4,MATCH(Instructions!G24,Sheet1!A2:A4,0),MATCH('Reporting Worksheet'!I61:J61,Sheet1!B1:D1,0)))/G60)</t>
  </si>
  <si>
    <t>gallons / cubic foot</t>
  </si>
  <si>
    <t>gallons / litre</t>
  </si>
  <si>
    <t>litres / gallon</t>
  </si>
  <si>
    <t>Conversion table</t>
  </si>
  <si>
    <t>converting FROM volume unit TO pricing UNITS</t>
  </si>
  <si>
    <t>sq feet / acre</t>
  </si>
  <si>
    <t>If volume unit is blank show nothing</t>
  </si>
  <si>
    <t>If instructions is tcm Then</t>
  </si>
  <si>
    <t xml:space="preserve">     If pressure &gt; 25 AND length of mains * 20 + # connections &gt; 3000 Then</t>
  </si>
  <si>
    <t xml:space="preserve">Written policies regarding billing exemptions exist but adherence in practice is questionable.  Metering and meter reading for municipal buildings is reliable but sporadic for other unbilled metered accounts.  Periodic auditing of such accounts is conducted.  Water consumption is quantified directly from meter readings where available, but the majority of the consumption is estimated.       </t>
  </si>
  <si>
    <t xml:space="preserve">Written policy identifies the types of accounts granted a billing exemption.  Customer meter management and meter reading are considered secondary priorities, but meter reading is conducted at least annually to obtain consumption volumes for the annual water audit.  High level auditing of billing records ensures that a reliable census of such accounts exists.          </t>
  </si>
  <si>
    <r>
      <t>to qualify for 4</t>
    </r>
    <r>
      <rPr>
        <sz val="8"/>
        <rFont val="Arial"/>
        <family val="2"/>
      </rPr>
      <t xml:space="preserve">:
Install automatic datalogging equipment on production meters.  Identify tanks/storage facilities and include estimated daily volume of water added to, or subtracted from, "Water Supplied" volume based upon changes in storage  </t>
    </r>
  </si>
  <si>
    <t>Clearly worded policy standardizes the location of curbstops and meters, which are inspected upon installation.  Accurate and well maintained electronic records exist with periodic field checks to confirm locations of service lines, curbstops and customer meter pits.  An accurate number of customer properties from the customer billing system allows for reliable averaging of this length.</t>
  </si>
  <si>
    <t>100% of imported water sources are metered, meter accuracy testing and/or electronic calibration conducted annually, less than 10% of meters are found outside of +/- 6% accuracy</t>
  </si>
  <si>
    <r>
      <t>to qualify for 8</t>
    </r>
    <r>
      <rPr>
        <sz val="8"/>
        <rFont val="Arial"/>
        <family val="2"/>
      </rPr>
      <t>:
Complete project to install new, or replace defective, meters on all imported water interconnections.  Maintain annual meter accuracy testing for all imported water meters.  Repair or replace meters outside of +/- 6% accuracy.</t>
    </r>
  </si>
  <si>
    <t xml:space="preserve">25% - 50% of exported water sources are metered; other sources estimated.  No regular meter accuracy testing. </t>
  </si>
  <si>
    <r>
      <t>to qualify for 8</t>
    </r>
    <r>
      <rPr>
        <sz val="8"/>
        <rFont val="Arial"/>
        <family val="2"/>
      </rPr>
      <t>:
Complete project to install new, or replace defective, meters on all exported water interconnections.  Maintain annual meter accuracy testing for all imported water meters.  Repair or replace meters outside of +/- 6% accuracy.</t>
    </r>
  </si>
  <si>
    <r>
      <t>to qualify for 2</t>
    </r>
    <r>
      <rPr>
        <sz val="8"/>
        <rFont val="Arial"/>
        <family val="2"/>
      </rPr>
      <t>:
Conduct investigations or trials of customer meters to select appropriate meter models.  Budget funding for meter installations.  Investigate volume based water rate structures.</t>
    </r>
  </si>
  <si>
    <r>
      <t>to qualify for 10</t>
    </r>
    <r>
      <rPr>
        <sz val="8"/>
        <rFont val="Arial"/>
        <family val="2"/>
      </rPr>
      <t xml:space="preserve">:
Purchase and install meters on unmetered accounts.  Launch Automatic Meter Reading (AMR) system trials if manual meter reading success rate of at least 95% is not achieved within a five-year program.  Continue meter accuracy testing program.  Conduct planning and budgeting for large scale meter replacement based upon meter life cycle analysis using cumulative flow target.  Continue routine auditing and require annual third party review.   </t>
    </r>
  </si>
  <si>
    <r>
      <t>to qualify for 4</t>
    </r>
    <r>
      <rPr>
        <sz val="8"/>
        <rFont val="Arial"/>
        <family val="2"/>
      </rPr>
      <t>:
Implement a reliable record keeping system for customer meter histories, preferably using electronic methods typically linked to, or part of, the Customer Billing System or Customer Information System.  Expand meter accuracy testing to a larger group of meters.</t>
    </r>
  </si>
  <si>
    <r>
      <t xml:space="preserve">The Customer Retail Unit Cost represents the charge that customers pay for water service.  This unit cost is applied to the components of apparent loss, since these losses represent water reaching customers but not (fully) paid for.  It is important to compile these costs per the same unit cost basis as the volume measure included in the water audit.  For example, if all water volumes are measured in million gallons, then the unit cost should be dollars per million gallon ($/mil gal).  The software allows the user to select the units that are charged to customers (either $/1,000 gallons, $/hundred cubic feet or $/1,000 litres) and automatically converts these units to the units that appear in the "WATER SUPPLIED" box.  Since most water utilities have a rate structure that includes a variety of different costs based upon class of customer, a weighted average of individual costs and number of customer accounts in each class can be calculated to determine a single composite cost that should be entered into this cell. Finally, the weighted average cost should also include additional charges for sewer, stormwater or biosolids processing, </t>
    </r>
    <r>
      <rPr>
        <u/>
        <sz val="9"/>
        <rFont val="Courier New"/>
        <family val="3"/>
      </rPr>
      <t>if</t>
    </r>
    <r>
      <rPr>
        <sz val="9"/>
        <rFont val="Courier New"/>
        <family val="3"/>
      </rPr>
      <t xml:space="preserve"> these 
charges are based upon the volume of potable water consumed.</t>
    </r>
  </si>
  <si>
    <t>Select this grading only if the water utility purchases/imports all of its water resources (i.e. has no sources of its own)</t>
  </si>
  <si>
    <t>Less than 25% of water production sources are metered, remaining sources are estimated.  No regular meter accuracy testing.</t>
  </si>
  <si>
    <t>Improvements to attain higher data grading for "Volume from own Sources" component:</t>
  </si>
  <si>
    <t xml:space="preserve">Select n/a only if the water utility fails to have meters on its sources of supply, either its own source, and/or imported (purchased) water sources </t>
  </si>
  <si>
    <t>Improvements to attain higher data grading for "Master meter error adjustment" component:</t>
  </si>
  <si>
    <t xml:space="preserve">Sound policy and procedures exist for permitting and commissioning new water mains.  Electronic recordkeeping and asset management system are used to store and manage data.  </t>
  </si>
  <si>
    <r>
      <t>- Kunkel, G. et al, 2003.  Water Loss Control Committee Report: Applying Worldwide Best Management Practices in Water Loss Control.  Journal AWWA, 95:8:65
- AWWA Water Audits and Loss Control Programs, M36 Publication, 3</t>
    </r>
    <r>
      <rPr>
        <b/>
        <i/>
        <vertAlign val="superscript"/>
        <sz val="12"/>
        <color indexed="9"/>
        <rFont val="Courier New"/>
        <family val="3"/>
      </rPr>
      <t>rd</t>
    </r>
    <r>
      <rPr>
        <b/>
        <i/>
        <sz val="12"/>
        <color indexed="9"/>
        <rFont val="Courier New"/>
        <family val="3"/>
      </rPr>
      <t xml:space="preserve"> Edition, 2009
- Service Connection Diagrams courtesy of Ronnie McKenzie, WRP Pty Ltd. </t>
    </r>
  </si>
  <si>
    <r>
      <t>to qualify for 4</t>
    </r>
    <r>
      <rPr>
        <sz val="8"/>
        <rFont val="Arial"/>
        <family val="2"/>
      </rPr>
      <t>:
Complete inventory of paper records of water main installations &amp; abandonments for a number of years prior to audit year.  Review policy and procedures for commissioning and documenting new water main installation and abandonments.</t>
    </r>
  </si>
  <si>
    <t>At least 99% of customers with volume-based billing from meter reads.  At least 95% customer meter reading success rate; or minimum 80% meter reading success rate, with Automatic Meter Reading (AMR) trials underway.  Statistically significant customer meter testing and replacement program in place.  Computerized billing with routine, detailed auditing, including field investigation of representative sample of accounts.  Annual audit verification by third party.</t>
  </si>
  <si>
    <r>
      <t>to qualify for 10</t>
    </r>
    <r>
      <rPr>
        <sz val="8"/>
        <rFont val="Arial"/>
        <family val="2"/>
      </rPr>
      <t>:
Continue customer meter installation throughout the service area, with a goal to minimize unmetered accounts.  Sustain the effort to investigate accounts with access difficulties to devise means to install water meters or otherwise measure water consumption.</t>
    </r>
  </si>
  <si>
    <r>
      <t>to qualify for 8</t>
    </r>
    <r>
      <rPr>
        <sz val="8"/>
        <rFont val="Arial"/>
        <family val="2"/>
      </rPr>
      <t>:
Communicate billing exemption policy throughout the organization and implement procedures that ensure proper account management.  Conduct inspections of accounts confirmed in unbilled metered status and verify that accurate meters exist and are scheduled for routine meter readings.</t>
    </r>
  </si>
  <si>
    <r>
      <t>to maintain 10</t>
    </r>
    <r>
      <rPr>
        <sz val="8"/>
        <rFont val="Arial"/>
        <family val="2"/>
      </rPr>
      <t>:
Reassess philosophy in allowing any water uses to go "unbilled".  It is possible to meter and bill all accounts, even if the fee charged for water consumption is discounted or waived.  Metering and billing all accounts ensures that water consumption is tracked and water waste from plumbing leaks is detected and minimized.</t>
    </r>
  </si>
  <si>
    <t>=IF(ISBLANK(Instructions!$G$26),"",IF(Instructions!$G$26="Megalitres (thousand cubic metres)",IF(AND(G55&gt;25,G50*20+G51&gt;3000),(((18*G50)+(0.8*G51)+(25*(G51*G53/1000)))*G55/1000000)*365,"Not valid"),IF(AND(G55&gt;40,G50*32+G51&gt;3000),(((5.41*G50)+(0.15*G51)+(7.5*(G51*G53/5280)))*G55)/1000000*365,"Not Valid")))</t>
  </si>
  <si>
    <t>From</t>
  </si>
  <si>
    <t>To</t>
  </si>
  <si>
    <t>Million Gallons (US)</t>
  </si>
  <si>
    <t>Multiply By…</t>
  </si>
  <si>
    <t>FROM:                                        TO:</t>
  </si>
  <si>
    <t>=</t>
  </si>
  <si>
    <t>Convert From…</t>
  </si>
  <si>
    <t>Converts to…..</t>
  </si>
  <si>
    <t>Enter Units:</t>
  </si>
  <si>
    <t>APPARENT LOSSES</t>
  </si>
  <si>
    <t xml:space="preserve"> Based on the information provided, audit accuracy can be improved by addressing the following components:</t>
  </si>
  <si>
    <r>
      <t xml:space="preserve"> </t>
    </r>
    <r>
      <rPr>
        <b/>
        <u/>
        <sz val="11"/>
        <rFont val="Courier New"/>
        <family val="3"/>
      </rPr>
      <t>WATER AUDIT DATA VALIDITY SCORE:</t>
    </r>
  </si>
  <si>
    <t xml:space="preserve">Well-managed pressure districts/zones, SCADA System and hydraulic model exist to give very precise pressure data across the water distribution system.  Average system pressure is reliably calculated from extensive, reliable, and cross-checked data.  </t>
  </si>
  <si>
    <t>Improvements to attain higher data grading for "Average Operating Pressure" component:</t>
  </si>
  <si>
    <r>
      <t>to qualify for 6</t>
    </r>
    <r>
      <rPr>
        <sz val="8"/>
        <rFont val="Arial"/>
        <family val="2"/>
      </rPr>
      <t xml:space="preserve">:  
Expand the use of pressure gauging/datalogging equipment to gather scattered pressure data at a representative set of sites, based upon pressure zones or areas.  Utilize pump pressure and flow data to determine supply head entering each pressure zone or district.  Correct any faulty pressure controls (pressure reducing valves, altitude valves, partially open boundary valves) to ensure properly configured pressure zones.  Use expanded pressure dataset from these activities to generate system-wide average pressure. </t>
    </r>
  </si>
  <si>
    <t>&lt;&lt; Enter grading in column 'E'</t>
  </si>
  <si>
    <t>Clear policies and good recordkeeping exist for some uses (ex: unmetered fire connections registering consumption), but other uses (ex: miscellaneous uses of fire hydrants) have limited oversight.  Total consumption is a mix of well quantified use such as from formulae (time x typical flow) or temporary meters, and relatively subjective estimates of less regulated use.</t>
  </si>
  <si>
    <t>ML/yr</t>
  </si>
  <si>
    <r>
      <t>to qualify for 5</t>
    </r>
    <r>
      <rPr>
        <sz val="8"/>
        <rFont val="Arial"/>
        <family val="2"/>
      </rPr>
      <t xml:space="preserve">:
Use accepted default of 0.25% of system input volume.
</t>
    </r>
    <r>
      <rPr>
        <u/>
        <sz val="8"/>
        <rFont val="Arial"/>
        <family val="2"/>
      </rPr>
      <t>to qualify for 2</t>
    </r>
    <r>
      <rPr>
        <sz val="8"/>
        <rFont val="Arial"/>
        <family val="2"/>
      </rPr>
      <t>:
Review utility policy regarding what water uses are considered unauthorized, and consider tracking a small sample of one such occurrence (ex: unauthorized fire hydrant openings)</t>
    </r>
  </si>
  <si>
    <r>
      <t>to qualify for 5</t>
    </r>
    <r>
      <rPr>
        <sz val="8"/>
        <rFont val="Arial"/>
        <family val="2"/>
      </rPr>
      <t xml:space="preserve">:
Use accepted default of 0.25% of system input volume
</t>
    </r>
    <r>
      <rPr>
        <u/>
        <sz val="8"/>
        <rFont val="Arial"/>
        <family val="2"/>
      </rPr>
      <t>to qualify for 4</t>
    </r>
    <r>
      <rPr>
        <sz val="8"/>
        <rFont val="Arial"/>
        <family val="2"/>
      </rPr>
      <t>:
Review utility policy regarding what water uses are considered unauthorized, and consider tracking a small sample of one such occurrence (ex: unauthorized fire hydrant openings)</t>
    </r>
  </si>
  <si>
    <r>
      <t>to qualify for 5</t>
    </r>
    <r>
      <rPr>
        <sz val="8"/>
        <rFont val="Arial"/>
        <family val="2"/>
      </rPr>
      <t>:
Utilize accepted default value of 0.25% of system input volume as expedient means to gain a reasonable quantification of all such use.  This is particularly appropriate for water utilities who are in the early stages of the water auditing process.</t>
    </r>
  </si>
  <si>
    <r>
      <t>to quality for 8</t>
    </r>
    <r>
      <rPr>
        <sz val="8"/>
        <rFont val="Arial"/>
        <family val="2"/>
      </rPr>
      <t xml:space="preserve">:
Assess water utility policies to ensure that all known occurrences of unauthorized consumption are outlawed, and that appropriate penalties are prescribed.  Create written procedures for use and documentation of various occurrences of unauthorized consumption as they are uncovered.   </t>
    </r>
  </si>
  <si>
    <t>Customer meters exist, but with unorganized paper records on meters; no meter accuracy testing or meter replacement program.  Workflow is driven chaotically by customer complaints with no proactive management.  Loss volume due to aggregate meter inaccuracy is guesstimated.</t>
  </si>
  <si>
    <t>Reliable recordkeeping exists; meter information is improving as meters are replaced.    Meter accuracy testing is conducted annually for a small number of meters.  Limited number of oldest meters replaced each year.  Inaccuracy volume is largely an estimate, but refined based upon limited testing data.</t>
  </si>
  <si>
    <t>Enter criteria in these cells</t>
  </si>
  <si>
    <r>
      <t xml:space="preserve"> AWWA WLCC Free Water Audit Software: </t>
    </r>
    <r>
      <rPr>
        <b/>
        <u/>
        <sz val="14"/>
        <color indexed="9"/>
        <rFont val="Courier New"/>
        <family val="3"/>
      </rPr>
      <t>Customer Service Line Diagrams</t>
    </r>
  </si>
  <si>
    <t xml:space="preserve">Reasonably maintained, but incomplete, paper or electronic accounting provides data to estimate the major portion of water system operating costs. </t>
  </si>
  <si>
    <t xml:space="preserve">Reliable electronic, industry-standard cost accounting system in place, with all pertinent water system operating costs tracked.  Data audited periodically by utility personnel, not a Certified Public Accountant (CPA).  </t>
  </si>
  <si>
    <t xml:space="preserve">Reliable electronic, industry-standard cost accounting system in place, with all pertinent water system operating costs tracked.  Data audited at least annually by utility personnel, and periodically by third-party CPA.  </t>
  </si>
  <si>
    <t>7/2007 - 6/2008</t>
  </si>
  <si>
    <t>*** YOUR SCORE IS: 82 out of 100 ***</t>
  </si>
  <si>
    <t xml:space="preserve">     2: Billed metered</t>
  </si>
  <si>
    <t xml:space="preserve">     3: Systematic data handling errors</t>
  </si>
  <si>
    <t>- Alegre, H., Hirner, W., Baptista, J. and Parena, R. Performance Indicators for Water Supply Services.  IWA Publishing ‘Manual of Best Practice’ Series, 2000.  ISBN 1 900222 272</t>
  </si>
  <si>
    <t>THE FOLLOWING KEY APPLIES THROUGHOUT:</t>
  </si>
  <si>
    <t>START DATE(MM/YYYY):</t>
  </si>
  <si>
    <t>END DATE(MM/YYYY):</t>
  </si>
  <si>
    <t>WATER LOSSES:</t>
  </si>
  <si>
    <t>&gt;3.0 -5.0</t>
  </si>
  <si>
    <t>&gt;5.0 - 8.0</t>
  </si>
  <si>
    <t>AUTHORIZED CONSUMPTION:</t>
  </si>
  <si>
    <t>WATER SUPPLIED:</t>
  </si>
  <si>
    <t>WATER SUPPLIED</t>
  </si>
  <si>
    <t>AUTHORIZED CONSUMPTION</t>
  </si>
  <si>
    <t>WATER LOSSES (Water Supplied - Authorized Consumption)</t>
  </si>
  <si>
    <t>Annual cost of Real Losses:</t>
  </si>
  <si>
    <t>losses</t>
  </si>
  <si>
    <t>cost</t>
  </si>
  <si>
    <t>cost =</t>
  </si>
  <si>
    <t>$/1000 litres</t>
  </si>
  <si>
    <r>
      <t>USE:</t>
    </r>
    <r>
      <rPr>
        <sz val="10"/>
        <rFont val="Courier New"/>
        <family val="3"/>
      </rPr>
      <t xml:space="preserve"> The spreadsheet contains several separate worksheets. Sheets can be accessed using the tabs towards the bottom of the screen, or by clicking the buttons on the left below. Descriptions of each sheet are also given below.</t>
    </r>
  </si>
  <si>
    <t>Own Sources</t>
  </si>
  <si>
    <t>(Adjusted for known errors)</t>
  </si>
  <si>
    <t>Water Supplied</t>
  </si>
  <si>
    <t>customer cost</t>
  </si>
  <si>
    <t>marginal production</t>
  </si>
  <si>
    <t xml:space="preserve">Extent of unbilled, unmetered consumption is unknown due to unclear policies and poor recordkeeping.  Total consumption is quantified based upon a purely subjective estimate.  </t>
  </si>
  <si>
    <t>n/a (not applicable). Select n/a only if the entire customer population is not metered and is billed for water service on a flat or fixed rate basis. In such a case the volume entered must be zero.</t>
  </si>
  <si>
    <r>
      <t>to qualify for 4</t>
    </r>
    <r>
      <rPr>
        <sz val="8"/>
        <rFont val="Arial"/>
        <family val="2"/>
      </rPr>
      <t>:
Finalize written policy for permitting and billing.  Implement a computerized customer billing system.  Conduct initial audit of billing records as part of this process.</t>
    </r>
  </si>
  <si>
    <r>
      <t>to qualify for 8</t>
    </r>
    <r>
      <rPr>
        <sz val="8"/>
        <rFont val="Arial"/>
        <family val="2"/>
      </rPr>
      <t>:
Formalize regular review of permitting and billing practices.  Enhance reporting capability of computerized billing system.  Formalize regular auditing process to reveal scope of data handling error.</t>
    </r>
  </si>
  <si>
    <t>Improvements to attain higher data grading for "Water Imported Volume" component:</t>
  </si>
  <si>
    <t>Improvements to attain higher data grading for "Water Exported Volume" component:</t>
  </si>
  <si>
    <t>Improvements to attain higher data grading for "Billed Metered Consumption" component:</t>
  </si>
  <si>
    <t xml:space="preserve">If n/a is selected because the customer meter population is unmetered, consider establishing a new policy to meter the customer population and employ water rates based upon metered volumes. </t>
  </si>
  <si>
    <t>Water utility policy does require metering and volume based billing but lacks written procedures and employs casual oversight, resulting in up to 20% of billed accounts believed to be unmetered.  A rough estimate of  the annual consumption for all unmetered accounts is included in the annual water audit, with no inspection of individual unmetered accounts.</t>
  </si>
  <si>
    <t>Improvements to attain higher data grading for "Billed Unmetered Consumption" component:</t>
  </si>
  <si>
    <t>Improvements to attain higher data grading for "Unbilled metered Consumption" component:</t>
  </si>
  <si>
    <t>Clear extent of unbilled, unmetered consumption is unknown, but a number of events are randomly documented each year, confirming existence of such consumption, but without sufficient documentation to quantify an accurate estimate of the annual volume consumed.</t>
  </si>
  <si>
    <t xml:space="preserve">Reliable electronic, industry-standard cost accounting system in place, with all pertinent water system operating costs tracked.  Data audited annually by utility personnel and by third-party CPA.  </t>
  </si>
  <si>
    <t>Improvements to attain higher data grading for "Total Annual Cost of Operating the Water System" component:</t>
  </si>
  <si>
    <t xml:space="preserve">Reasonably maintained, but incomplete, paper or electronic accounting provides data to roughly estimate the basic operations costs (pumping power costs and treatment costs) and calculate a unit variable production cost. </t>
  </si>
  <si>
    <t xml:space="preserve">Reliable electronic, industry-standard cost accounting system in place, with all pertinent water system operating costs tracked.  Pertinent additional costs beyond power and treatment (ex: liability, residuals management, etc.) are included in the unit variable production cost.  Data audited at least annually by utility personnel.  </t>
  </si>
  <si>
    <r>
      <t>Either of two conditions can be met to obtain a grading of 10</t>
    </r>
    <r>
      <rPr>
        <sz val="8"/>
        <rFont val="Arial"/>
        <family val="2"/>
      </rPr>
      <t xml:space="preserve">:
1) Third party CPA audit of all primary and secondary cost components on an annual basis.
</t>
    </r>
    <r>
      <rPr>
        <u/>
        <sz val="8"/>
        <rFont val="Arial"/>
        <family val="2"/>
      </rPr>
      <t>or</t>
    </r>
    <r>
      <rPr>
        <sz val="8"/>
        <rFont val="Arial"/>
        <family val="2"/>
      </rPr>
      <t>:
2) Water supply is entirely purchased as bulk imported water, and unit purchase cost serves as the variable production cost.</t>
    </r>
  </si>
  <si>
    <r>
      <t>to qualify for 6</t>
    </r>
    <r>
      <rPr>
        <sz val="8"/>
        <rFont val="Arial"/>
        <family val="2"/>
      </rPr>
      <t xml:space="preserve">:
Formalize process for regular internal audits of production costs.  Assess whether additional costs (liability, residuals management, etc.) should be included to calculate a more accurate variable production cost.  </t>
    </r>
  </si>
  <si>
    <r>
      <t xml:space="preserve">Customer retail unit cost </t>
    </r>
    <r>
      <rPr>
        <sz val="8"/>
        <rFont val="Courier New"/>
        <family val="3"/>
      </rPr>
      <t>(applied to Apparent Losses):</t>
    </r>
  </si>
  <si>
    <t>= Total Water Loss + Unbilled Metered + Unbilled Unmetered</t>
  </si>
  <si>
    <r>
      <t>to qualify for 5</t>
    </r>
    <r>
      <rPr>
        <sz val="8"/>
        <rFont val="Arial"/>
        <family val="2"/>
      </rPr>
      <t xml:space="preserve">:
Utilize accepted default value of 1.25% of system input volume as an expedient means to gain a reasonable quantification of this use.    
</t>
    </r>
    <r>
      <rPr>
        <u/>
        <sz val="8"/>
        <rFont val="Arial"/>
        <family val="2"/>
      </rPr>
      <t>to qualify for 4</t>
    </r>
    <r>
      <rPr>
        <sz val="8"/>
        <rFont val="Arial"/>
        <family val="2"/>
      </rPr>
      <t xml:space="preserve">:
Evaluate the documentation of events that have been observed.  Meet with user groups (ex: for fire hydrants - fire departments, contractors to ascertain their need for water from fire hydrants).  </t>
    </r>
  </si>
  <si>
    <t>All consumption that is unbilled, but still authorized by the utility. See "Authorized Consumption" for more information.</t>
  </si>
  <si>
    <t>All consumption that is billed and authorized by the utility. This may include both metered and unmetered consumption. See "Authorized Consumption" for more information.</t>
  </si>
  <si>
    <t>Item Name</t>
  </si>
  <si>
    <t>Description</t>
  </si>
  <si>
    <t>Leakage on Service Connections</t>
  </si>
  <si>
    <t>Not broken down</t>
  </si>
  <si>
    <t>Click to advance to sheet…</t>
  </si>
  <si>
    <t>At least 97% of customers with volume-based billing from meter reads.  At least 90% customer meter read success rate; or minimum 80% read success rate with planning and budgeting for trials of Automatic Metering Reading (AMR) in one or more pilot areas.  Good customer meter records. Regular meter accuracy testing guides replacement of statistically significant number of meters each year.  Routine auditing of computerized billing records for global and detailed statistics; verified periodically by third party.</t>
  </si>
  <si>
    <r>
      <t>to qualify for 4</t>
    </r>
    <r>
      <rPr>
        <sz val="8"/>
        <rFont val="Arial"/>
        <family val="2"/>
      </rPr>
      <t xml:space="preserve">:
Purchase and install meters on unmetered accounts.  Implement policies to improve meter reading success.  Catalog meter information during meter read visits to identify age/model of existing meters.  Test a minimal number of meters for accuracy.  Install computerized billing system. </t>
    </r>
  </si>
  <si>
    <t>100% of exported water sources are metered, meter accuracy testing and/or electronic calibration conducted annually, less than 10% of meters are found outside of +/- 6% accuracy</t>
  </si>
  <si>
    <t xml:space="preserve">At least 75% of exported water sources are metered, meter accuracy testing and/or electronic calibration conducted annually.  Less than 25% of tested meters are found outside of +/- 6% accuracy.  </t>
  </si>
  <si>
    <t>Comments:</t>
  </si>
  <si>
    <t>For validity scores of 50 or below, the shaded blocks should not be focus areas until better data validity is achieved.</t>
  </si>
  <si>
    <r>
      <t>Level II</t>
    </r>
    <r>
      <rPr>
        <sz val="10"/>
        <rFont val="Arial"/>
      </rPr>
      <t xml:space="preserve"> (26-50)</t>
    </r>
  </si>
  <si>
    <r>
      <t>Level III</t>
    </r>
    <r>
      <rPr>
        <sz val="10"/>
        <rFont val="Arial"/>
      </rPr>
      <t xml:space="preserve"> (51-70)</t>
    </r>
  </si>
  <si>
    <r>
      <t>Level IV</t>
    </r>
    <r>
      <rPr>
        <sz val="10"/>
        <rFont val="Arial"/>
        <family val="2"/>
      </rPr>
      <t xml:space="preserve"> (71-90)</t>
    </r>
  </si>
  <si>
    <r>
      <t>Level V</t>
    </r>
    <r>
      <rPr>
        <sz val="10"/>
        <rFont val="Arial"/>
      </rPr>
      <t xml:space="preserve"> (91-100)</t>
    </r>
  </si>
  <si>
    <r>
      <t xml:space="preserve">Master meter error adjustment </t>
    </r>
    <r>
      <rPr>
        <sz val="9"/>
        <rFont val="Courier New"/>
        <family val="3"/>
      </rPr>
      <t>(enter positive value)</t>
    </r>
    <r>
      <rPr>
        <sz val="10"/>
        <rFont val="Courier New"/>
        <family val="3"/>
      </rPr>
      <t>:</t>
    </r>
  </si>
  <si>
    <t>Stay abreast of improvements in metering, meter reading, billing, leakage management and infrastructure rehabilitation</t>
  </si>
  <si>
    <t>Long-term loss control</t>
  </si>
  <si>
    <t>Begin to assess long-term needs requiring large expenditure: customer meter replacement, water main replacement program, new customer billing system or Automatic Meter Reading (AMR) system.</t>
  </si>
  <si>
    <t>Township of Roxbury</t>
  </si>
  <si>
    <t>United States of America</t>
  </si>
  <si>
    <t>Michael A. Kobylarz</t>
  </si>
  <si>
    <t>kobylarzm@roxburynj.us</t>
  </si>
  <si>
    <t>973-448-2018</t>
  </si>
  <si>
    <t>Docket D-1996-017 CP-2 --- Prepared by Melanie Michetti, Sr. Assistant to the Township Engineer ---Water supplied and consumption information reported for water sources and customers in Delaware River Basin. The Township of Roxbury Water Utility has sources and customers in other drainage basins. Annual cost data estimated for sources in the Delaware Basin.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</si>
</sst>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72" formatCode="0.000"/>
    <numFmt numFmtId="173" formatCode="#,##0.0"/>
    <numFmt numFmtId="174" formatCode="&quot;$&quot;#,##0"/>
    <numFmt numFmtId="175" formatCode="0.0%"/>
    <numFmt numFmtId="176" formatCode="#,##0.000"/>
    <numFmt numFmtId="177" formatCode="&quot;$&quot;#,##0.00"/>
    <numFmt numFmtId="186" formatCode="0.0"/>
    <numFmt numFmtId="189" formatCode="0.000000"/>
    <numFmt numFmtId="205" formatCode="_(* #,##0_);_(* \(#,##0\);_(* &quot;-&quot;??_);_(@_)"/>
    <numFmt numFmtId="216" formatCode="mm/yyyy"/>
  </numFmts>
  <fonts count="92" x14ac:knownFonts="1">
    <font>
      <sz val="10"/>
      <name val="Arial"/>
    </font>
    <font>
      <sz val="10"/>
      <name val="Arial"/>
    </font>
    <font>
      <u/>
      <sz val="10"/>
      <color indexed="12"/>
      <name val="Arial"/>
      <family val="2"/>
    </font>
    <font>
      <sz val="8"/>
      <color indexed="81"/>
      <name val="Tahoma"/>
      <family val="2"/>
    </font>
    <font>
      <b/>
      <sz val="8"/>
      <color indexed="81"/>
      <name val="Tahoma"/>
      <family val="2"/>
    </font>
    <font>
      <sz val="10"/>
      <name val="Courier New"/>
      <family val="3"/>
    </font>
    <font>
      <sz val="12"/>
      <name val="Courier New"/>
      <family val="3"/>
    </font>
    <font>
      <b/>
      <sz val="14"/>
      <name val="Courier New"/>
      <family val="3"/>
    </font>
    <font>
      <b/>
      <sz val="10"/>
      <name val="Courier New"/>
      <family val="3"/>
    </font>
    <font>
      <sz val="8"/>
      <name val="Courier New"/>
      <family val="3"/>
    </font>
    <font>
      <sz val="9"/>
      <name val="Courier New"/>
      <family val="3"/>
    </font>
    <font>
      <sz val="11"/>
      <name val="Courier New"/>
      <family val="3"/>
    </font>
    <font>
      <b/>
      <sz val="11"/>
      <name val="Courier New"/>
      <family val="3"/>
    </font>
    <font>
      <u/>
      <sz val="9"/>
      <color indexed="9"/>
      <name val="Courier New"/>
      <family val="3"/>
    </font>
    <font>
      <sz val="9"/>
      <color indexed="12"/>
      <name val="Courier New"/>
      <family val="3"/>
    </font>
    <font>
      <u/>
      <sz val="9"/>
      <color indexed="12"/>
      <name val="Courier New"/>
      <family val="3"/>
    </font>
    <font>
      <b/>
      <i/>
      <sz val="13"/>
      <color indexed="53"/>
      <name val="Courier New"/>
      <family val="3"/>
    </font>
    <font>
      <i/>
      <u/>
      <sz val="9"/>
      <color indexed="10"/>
      <name val="Courier New"/>
      <family val="3"/>
    </font>
    <font>
      <b/>
      <sz val="12"/>
      <name val="Courier New"/>
      <family val="3"/>
    </font>
    <font>
      <sz val="10"/>
      <color indexed="9"/>
      <name val="Courier New"/>
      <family val="3"/>
    </font>
    <font>
      <u/>
      <sz val="10"/>
      <name val="Courier New"/>
      <family val="3"/>
    </font>
    <font>
      <sz val="10"/>
      <color indexed="12"/>
      <name val="Courier New"/>
      <family val="3"/>
    </font>
    <font>
      <b/>
      <sz val="10"/>
      <color indexed="12"/>
      <name val="Courier New"/>
      <family val="3"/>
    </font>
    <font>
      <b/>
      <u/>
      <sz val="10"/>
      <name val="Courier New"/>
      <family val="3"/>
    </font>
    <font>
      <b/>
      <sz val="11"/>
      <color indexed="12"/>
      <name val="Courier New"/>
      <family val="3"/>
    </font>
    <font>
      <sz val="9"/>
      <name val="Arial"/>
      <family val="2"/>
    </font>
    <font>
      <b/>
      <sz val="12"/>
      <color indexed="9"/>
      <name val="Courier New"/>
      <family val="3"/>
    </font>
    <font>
      <sz val="10"/>
      <name val="Arial"/>
      <family val="2"/>
    </font>
    <font>
      <b/>
      <sz val="16"/>
      <color indexed="9"/>
      <name val="Courier New"/>
      <family val="3"/>
    </font>
    <font>
      <b/>
      <u/>
      <sz val="16"/>
      <color indexed="9"/>
      <name val="Courier New"/>
      <family val="3"/>
    </font>
    <font>
      <sz val="8"/>
      <name val="Arial"/>
      <family val="2"/>
    </font>
    <font>
      <b/>
      <sz val="11"/>
      <color indexed="9"/>
      <name val="Courier New"/>
      <family val="3"/>
    </font>
    <font>
      <sz val="10"/>
      <color indexed="22"/>
      <name val="Courier New"/>
      <family val="3"/>
    </font>
    <font>
      <b/>
      <sz val="14"/>
      <color indexed="9"/>
      <name val="Courier New"/>
      <family val="3"/>
    </font>
    <font>
      <b/>
      <sz val="14"/>
      <color indexed="9"/>
      <name val="Arial"/>
      <family val="2"/>
    </font>
    <font>
      <b/>
      <i/>
      <sz val="12"/>
      <color indexed="9"/>
      <name val="Courier New"/>
      <family val="3"/>
    </font>
    <font>
      <u/>
      <sz val="10"/>
      <color indexed="12"/>
      <name val="Courier New"/>
      <family val="3"/>
    </font>
    <font>
      <sz val="10"/>
      <color indexed="10"/>
      <name val="Courier New"/>
      <family val="3"/>
    </font>
    <font>
      <b/>
      <sz val="11"/>
      <color indexed="48"/>
      <name val="Courier New"/>
      <family val="3"/>
    </font>
    <font>
      <b/>
      <sz val="10"/>
      <color indexed="22"/>
      <name val="Courier New"/>
      <family val="3"/>
    </font>
    <font>
      <b/>
      <sz val="10"/>
      <name val="Arial"/>
      <family val="2"/>
    </font>
    <font>
      <b/>
      <sz val="8"/>
      <name val="Arial"/>
      <family val="2"/>
    </font>
    <font>
      <b/>
      <sz val="10"/>
      <color indexed="10"/>
      <name val="Courier New"/>
      <family val="3"/>
    </font>
    <font>
      <b/>
      <sz val="9"/>
      <color indexed="22"/>
      <name val="Courier New"/>
      <family val="3"/>
    </font>
    <font>
      <b/>
      <u/>
      <sz val="11"/>
      <name val="Courier New"/>
      <family val="3"/>
    </font>
    <font>
      <u/>
      <sz val="10"/>
      <color indexed="9"/>
      <name val="Courier New"/>
      <family val="3"/>
    </font>
    <font>
      <b/>
      <sz val="15"/>
      <color indexed="9"/>
      <name val="Courier New"/>
      <family val="3"/>
    </font>
    <font>
      <b/>
      <u/>
      <sz val="15"/>
      <color indexed="9"/>
      <name val="Courier New"/>
      <family val="3"/>
    </font>
    <font>
      <sz val="8"/>
      <name val="Tahoma"/>
      <family val="2"/>
    </font>
    <font>
      <sz val="9"/>
      <name val="Arial"/>
      <family val="2"/>
    </font>
    <font>
      <vertAlign val="superscript"/>
      <sz val="10"/>
      <name val="Arial"/>
      <family val="2"/>
    </font>
    <font>
      <b/>
      <sz val="10"/>
      <color indexed="10"/>
      <name val="Arial"/>
      <family val="2"/>
    </font>
    <font>
      <b/>
      <sz val="9"/>
      <name val="Courier New"/>
      <family val="3"/>
    </font>
    <font>
      <sz val="9"/>
      <color indexed="10"/>
      <name val="Courier New"/>
      <family val="3"/>
    </font>
    <font>
      <b/>
      <i/>
      <sz val="13"/>
      <color indexed="10"/>
      <name val="Courier New"/>
      <family val="3"/>
    </font>
    <font>
      <b/>
      <i/>
      <sz val="13"/>
      <color indexed="8"/>
      <name val="Courier New"/>
      <family val="3"/>
    </font>
    <font>
      <b/>
      <sz val="14"/>
      <color indexed="10"/>
      <name val="Courier New"/>
      <family val="3"/>
    </font>
    <font>
      <sz val="8"/>
      <color indexed="10"/>
      <name val="Tahoma"/>
      <family val="2"/>
    </font>
    <font>
      <sz val="8"/>
      <color indexed="17"/>
      <name val="Tahoma"/>
      <family val="2"/>
    </font>
    <font>
      <sz val="8"/>
      <name val="Arial"/>
      <family val="2"/>
    </font>
    <font>
      <sz val="10"/>
      <color indexed="9"/>
      <name val="Arial"/>
      <family val="2"/>
    </font>
    <font>
      <sz val="10"/>
      <color indexed="10"/>
      <name val="Arial"/>
      <family val="2"/>
    </font>
    <font>
      <sz val="8"/>
      <color indexed="81"/>
      <name val="Tahoma"/>
      <family val="2"/>
    </font>
    <font>
      <sz val="8"/>
      <color indexed="12"/>
      <name val="Tahoma"/>
      <family val="2"/>
    </font>
    <font>
      <sz val="8"/>
      <color indexed="20"/>
      <name val="Tahoma"/>
      <family val="2"/>
    </font>
    <font>
      <sz val="8"/>
      <color indexed="9"/>
      <name val="Courier New"/>
      <family val="3"/>
    </font>
    <font>
      <b/>
      <sz val="16"/>
      <name val="Arial"/>
      <family val="2"/>
    </font>
    <font>
      <b/>
      <sz val="12"/>
      <name val="Arial"/>
      <family val="2"/>
    </font>
    <font>
      <b/>
      <sz val="12"/>
      <name val="Arial"/>
      <family val="2"/>
    </font>
    <font>
      <i/>
      <sz val="10"/>
      <name val="Arial"/>
      <family val="2"/>
    </font>
    <font>
      <sz val="10"/>
      <name val="Arial"/>
      <family val="2"/>
    </font>
    <font>
      <sz val="10"/>
      <color indexed="22"/>
      <name val="Arial"/>
      <family val="2"/>
    </font>
    <font>
      <b/>
      <u/>
      <sz val="14"/>
      <color indexed="9"/>
      <name val="Courier New"/>
      <family val="3"/>
    </font>
    <font>
      <sz val="14"/>
      <color indexed="9"/>
      <name val="Arial"/>
      <family val="2"/>
    </font>
    <font>
      <sz val="14"/>
      <name val="Arial"/>
      <family val="2"/>
    </font>
    <font>
      <b/>
      <sz val="16"/>
      <name val="Courier New"/>
      <family val="3"/>
    </font>
    <font>
      <sz val="10"/>
      <color indexed="8"/>
      <name val="Courier New"/>
      <family val="3"/>
    </font>
    <font>
      <b/>
      <sz val="15"/>
      <color indexed="10"/>
      <name val="Courier New"/>
      <family val="3"/>
    </font>
    <font>
      <u/>
      <sz val="9"/>
      <name val="Courier New"/>
      <family val="3"/>
    </font>
    <font>
      <u/>
      <sz val="8"/>
      <name val="Arial"/>
      <family val="2"/>
    </font>
    <font>
      <b/>
      <sz val="8"/>
      <color indexed="22"/>
      <name val="Courier New"/>
      <family val="3"/>
    </font>
    <font>
      <b/>
      <sz val="8"/>
      <color indexed="81"/>
      <name val="Tahoma"/>
      <family val="2"/>
    </font>
    <font>
      <b/>
      <i/>
      <vertAlign val="superscript"/>
      <sz val="12"/>
      <color indexed="9"/>
      <name val="Courier New"/>
      <family val="3"/>
    </font>
    <font>
      <sz val="8"/>
      <color indexed="53"/>
      <name val="Tahoma"/>
      <family val="2"/>
    </font>
    <font>
      <b/>
      <sz val="8"/>
      <color indexed="17"/>
      <name val="Tahoma"/>
      <family val="2"/>
    </font>
    <font>
      <b/>
      <sz val="8"/>
      <color indexed="12"/>
      <name val="Tahoma"/>
      <family val="2"/>
    </font>
    <font>
      <b/>
      <sz val="8"/>
      <color indexed="20"/>
      <name val="Tahoma"/>
      <family val="2"/>
    </font>
    <font>
      <b/>
      <sz val="8"/>
      <color indexed="53"/>
      <name val="Tahoma"/>
      <family val="2"/>
    </font>
    <font>
      <b/>
      <sz val="8"/>
      <color indexed="10"/>
      <name val="Tahoma"/>
      <family val="2"/>
    </font>
    <font>
      <b/>
      <sz val="8"/>
      <color indexed="62"/>
      <name val="Tahoma"/>
      <family val="2"/>
    </font>
    <font>
      <sz val="8"/>
      <color indexed="62"/>
      <name val="Tahoma"/>
      <family val="2"/>
    </font>
    <font>
      <sz val="2"/>
      <color indexed="9"/>
      <name val="Courier New"/>
      <family val="3"/>
    </font>
  </fonts>
  <fills count="18">
    <fill>
      <patternFill patternType="none"/>
    </fill>
    <fill>
      <patternFill patternType="gray125"/>
    </fill>
    <fill>
      <patternFill patternType="solid">
        <fgColor indexed="22"/>
        <bgColor indexed="64"/>
      </patternFill>
    </fill>
    <fill>
      <patternFill patternType="solid">
        <fgColor indexed="47"/>
        <bgColor indexed="64"/>
      </patternFill>
    </fill>
    <fill>
      <patternFill patternType="solid">
        <fgColor indexed="9"/>
        <bgColor indexed="64"/>
      </patternFill>
    </fill>
    <fill>
      <patternFill patternType="solid">
        <fgColor indexed="48"/>
        <bgColor indexed="64"/>
      </patternFill>
    </fill>
    <fill>
      <patternFill patternType="solid">
        <fgColor indexed="22"/>
        <bgColor indexed="27"/>
      </patternFill>
    </fill>
    <fill>
      <patternFill patternType="solid">
        <fgColor indexed="43"/>
        <bgColor indexed="64"/>
      </patternFill>
    </fill>
    <fill>
      <patternFill patternType="solid">
        <fgColor indexed="52"/>
        <bgColor indexed="64"/>
      </patternFill>
    </fill>
    <fill>
      <patternFill patternType="solid">
        <fgColor indexed="42"/>
        <bgColor indexed="64"/>
      </patternFill>
    </fill>
    <fill>
      <patternFill patternType="solid">
        <fgColor indexed="24"/>
        <bgColor indexed="64"/>
      </patternFill>
    </fill>
    <fill>
      <patternFill patternType="solid">
        <fgColor indexed="13"/>
        <bgColor indexed="64"/>
      </patternFill>
    </fill>
    <fill>
      <patternFill patternType="solid">
        <fgColor indexed="41"/>
        <bgColor indexed="64"/>
      </patternFill>
    </fill>
    <fill>
      <patternFill patternType="lightDown">
        <bgColor indexed="22"/>
      </patternFill>
    </fill>
    <fill>
      <patternFill patternType="lightDown"/>
    </fill>
    <fill>
      <patternFill patternType="lightDown">
        <bgColor indexed="9"/>
      </patternFill>
    </fill>
    <fill>
      <patternFill patternType="solid">
        <fgColor indexed="65"/>
        <bgColor indexed="64"/>
      </patternFill>
    </fill>
    <fill>
      <patternFill patternType="solid">
        <fgColor indexed="23"/>
        <bgColor indexed="64"/>
      </patternFill>
    </fill>
  </fills>
  <borders count="120">
    <border>
      <left/>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double">
        <color indexed="48"/>
      </right>
      <top/>
      <bottom/>
      <diagonal/>
    </border>
    <border>
      <left style="double">
        <color indexed="48"/>
      </left>
      <right/>
      <top/>
      <bottom/>
      <diagonal/>
    </border>
    <border>
      <left/>
      <right/>
      <top/>
      <bottom style="double">
        <color indexed="48"/>
      </bottom>
      <diagonal/>
    </border>
    <border>
      <left/>
      <right style="double">
        <color indexed="48"/>
      </right>
      <top/>
      <bottom style="double">
        <color indexed="48"/>
      </bottom>
      <diagonal/>
    </border>
    <border>
      <left style="thin">
        <color indexed="48"/>
      </left>
      <right style="thin">
        <color indexed="48"/>
      </right>
      <top style="thin">
        <color indexed="48"/>
      </top>
      <bottom style="thin">
        <color indexed="48"/>
      </bottom>
      <diagonal/>
    </border>
    <border>
      <left/>
      <right/>
      <top style="thin">
        <color indexed="48"/>
      </top>
      <bottom/>
      <diagonal/>
    </border>
    <border>
      <left style="double">
        <color indexed="48"/>
      </left>
      <right style="thin">
        <color indexed="64"/>
      </right>
      <top/>
      <bottom/>
      <diagonal/>
    </border>
    <border>
      <left style="thin">
        <color indexed="64"/>
      </left>
      <right style="double">
        <color indexed="48"/>
      </right>
      <top/>
      <bottom/>
      <diagonal/>
    </border>
    <border>
      <left style="thin">
        <color indexed="64"/>
      </left>
      <right style="double">
        <color indexed="48"/>
      </right>
      <top/>
      <bottom style="thin">
        <color indexed="64"/>
      </bottom>
      <diagonal/>
    </border>
    <border>
      <left style="double">
        <color indexed="48"/>
      </left>
      <right style="thin">
        <color indexed="64"/>
      </right>
      <top/>
      <bottom style="double">
        <color indexed="48"/>
      </bottom>
      <diagonal/>
    </border>
    <border>
      <left style="thin">
        <color indexed="64"/>
      </left>
      <right style="thin">
        <color indexed="64"/>
      </right>
      <top/>
      <bottom style="double">
        <color indexed="48"/>
      </bottom>
      <diagonal/>
    </border>
    <border>
      <left style="thin">
        <color indexed="64"/>
      </left>
      <right style="double">
        <color indexed="48"/>
      </right>
      <top/>
      <bottom style="double">
        <color indexed="48"/>
      </bottom>
      <diagonal/>
    </border>
    <border>
      <left/>
      <right/>
      <top style="double">
        <color indexed="48"/>
      </top>
      <bottom style="double">
        <color indexed="48"/>
      </bottom>
      <diagonal/>
    </border>
    <border>
      <left/>
      <right style="double">
        <color indexed="48"/>
      </right>
      <top style="double">
        <color indexed="48"/>
      </top>
      <bottom style="double">
        <color indexed="48"/>
      </bottom>
      <diagonal/>
    </border>
    <border>
      <left style="double">
        <color indexed="48"/>
      </left>
      <right/>
      <top style="double">
        <color indexed="48"/>
      </top>
      <bottom/>
      <diagonal/>
    </border>
    <border>
      <left style="double">
        <color indexed="48"/>
      </left>
      <right/>
      <top/>
      <bottom style="double">
        <color indexed="48"/>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48"/>
      </right>
      <top/>
      <bottom/>
      <diagonal/>
    </border>
    <border>
      <left/>
      <right/>
      <top style="thin">
        <color indexed="48"/>
      </top>
      <bottom style="thin">
        <color indexed="48"/>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top style="double">
        <color indexed="48"/>
      </top>
      <bottom/>
      <diagonal/>
    </border>
    <border>
      <left/>
      <right style="double">
        <color indexed="48"/>
      </right>
      <top style="double">
        <color indexed="48"/>
      </top>
      <bottom/>
      <diagonal/>
    </border>
    <border>
      <left style="double">
        <color indexed="48"/>
      </left>
      <right/>
      <top/>
      <bottom style="medium">
        <color indexed="64"/>
      </bottom>
      <diagonal/>
    </border>
    <border>
      <left/>
      <right style="double">
        <color indexed="48"/>
      </right>
      <top/>
      <bottom style="medium">
        <color indexed="64"/>
      </bottom>
      <diagonal/>
    </border>
    <border>
      <left style="double">
        <color indexed="48"/>
      </left>
      <right style="thin">
        <color indexed="64"/>
      </right>
      <top style="thin">
        <color indexed="64"/>
      </top>
      <bottom/>
      <diagonal/>
    </border>
    <border>
      <left/>
      <right/>
      <top/>
      <bottom style="thin">
        <color indexed="48"/>
      </bottom>
      <diagonal/>
    </border>
    <border>
      <left style="thin">
        <color indexed="48"/>
      </left>
      <right/>
      <top/>
      <bottom/>
      <diagonal/>
    </border>
    <border>
      <left style="thin">
        <color indexed="48"/>
      </left>
      <right/>
      <top style="thin">
        <color indexed="48"/>
      </top>
      <bottom style="thin">
        <color indexed="48"/>
      </bottom>
      <diagonal/>
    </border>
    <border>
      <left/>
      <right style="thin">
        <color indexed="48"/>
      </right>
      <top style="thin">
        <color indexed="48"/>
      </top>
      <bottom style="thin">
        <color indexed="48"/>
      </bottom>
      <diagonal/>
    </border>
    <border>
      <left style="thin">
        <color indexed="48"/>
      </left>
      <right/>
      <top style="thin">
        <color indexed="48"/>
      </top>
      <bottom/>
      <diagonal/>
    </border>
    <border>
      <left style="double">
        <color indexed="48"/>
      </left>
      <right style="thin">
        <color indexed="64"/>
      </right>
      <top style="medium">
        <color indexed="64"/>
      </top>
      <bottom/>
      <diagonal/>
    </border>
    <border>
      <left style="double">
        <color indexed="48"/>
      </left>
      <right style="thin">
        <color indexed="48"/>
      </right>
      <top style="thin">
        <color indexed="48"/>
      </top>
      <bottom style="double">
        <color indexed="48"/>
      </bottom>
      <diagonal/>
    </border>
    <border>
      <left style="double">
        <color indexed="48"/>
      </left>
      <right style="double">
        <color indexed="48"/>
      </right>
      <top style="thin">
        <color indexed="48"/>
      </top>
      <bottom style="double">
        <color indexed="48"/>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double">
        <color indexed="48"/>
      </right>
      <top style="medium">
        <color indexed="64"/>
      </top>
      <bottom/>
      <diagonal/>
    </border>
    <border>
      <left/>
      <right/>
      <top/>
      <bottom style="dotted">
        <color indexed="64"/>
      </bottom>
      <diagonal/>
    </border>
    <border>
      <left/>
      <right style="double">
        <color indexed="48"/>
      </right>
      <top/>
      <bottom style="dotted">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48"/>
      </left>
      <right style="thin">
        <color indexed="48"/>
      </right>
      <top/>
      <bottom style="thin">
        <color indexed="48"/>
      </bottom>
      <diagonal/>
    </border>
    <border>
      <left style="thin">
        <color indexed="64"/>
      </left>
      <right style="thin">
        <color indexed="64"/>
      </right>
      <top/>
      <bottom style="dotted">
        <color indexed="64"/>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right style="medium">
        <color indexed="64"/>
      </right>
      <top/>
      <bottom style="medium">
        <color indexed="64"/>
      </bottom>
      <diagonal/>
    </border>
    <border>
      <left/>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double">
        <color indexed="64"/>
      </right>
      <top style="double">
        <color indexed="64"/>
      </top>
      <bottom style="thin">
        <color indexed="64"/>
      </bottom>
      <diagonal/>
    </border>
    <border>
      <left style="medium">
        <color indexed="64"/>
      </left>
      <right style="double">
        <color indexed="64"/>
      </right>
      <top/>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thick">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thin">
        <color indexed="10"/>
      </left>
      <right style="thin">
        <color indexed="10"/>
      </right>
      <top style="thin">
        <color indexed="10"/>
      </top>
      <bottom style="thin">
        <color indexed="10"/>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thin">
        <color indexed="64"/>
      </bottom>
      <diagonal/>
    </border>
    <border>
      <left style="dashed">
        <color indexed="64"/>
      </left>
      <right style="medium">
        <color indexed="64"/>
      </right>
      <top style="thin">
        <color indexed="64"/>
      </top>
      <bottom style="thin">
        <color indexed="64"/>
      </bottom>
      <diagonal/>
    </border>
    <border>
      <left style="double">
        <color indexed="48"/>
      </left>
      <right/>
      <top style="double">
        <color indexed="48"/>
      </top>
      <bottom style="double">
        <color indexed="48"/>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10"/>
      </left>
      <right/>
      <top style="thin">
        <color indexed="10"/>
      </top>
      <bottom style="thin">
        <color indexed="10"/>
      </bottom>
      <diagonal/>
    </border>
    <border>
      <left/>
      <right/>
      <top style="thin">
        <color indexed="10"/>
      </top>
      <bottom style="thin">
        <color indexed="10"/>
      </bottom>
      <diagonal/>
    </border>
    <border>
      <left/>
      <right style="thin">
        <color indexed="10"/>
      </right>
      <top style="thin">
        <color indexed="10"/>
      </top>
      <bottom style="thin">
        <color indexed="10"/>
      </bottom>
      <diagonal/>
    </border>
    <border>
      <left style="thin">
        <color indexed="64"/>
      </left>
      <right style="double">
        <color indexed="48"/>
      </right>
      <top style="thin">
        <color indexed="64"/>
      </top>
      <bottom/>
      <diagonal/>
    </border>
    <border>
      <left style="medium">
        <color indexed="64"/>
      </left>
      <right style="medium">
        <color indexed="64"/>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top style="thick">
        <color indexed="64"/>
      </top>
      <bottom style="medium">
        <color indexed="64"/>
      </bottom>
      <diagonal/>
    </border>
    <border>
      <left/>
      <right/>
      <top style="thick">
        <color indexed="64"/>
      </top>
      <bottom style="medium">
        <color indexed="64"/>
      </bottom>
      <diagonal/>
    </border>
    <border>
      <left/>
      <right style="medium">
        <color indexed="64"/>
      </right>
      <top style="thick">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double">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right style="medium">
        <color indexed="64"/>
      </right>
      <top style="thin">
        <color indexed="64"/>
      </top>
      <bottom style="thick">
        <color indexed="64"/>
      </bottom>
      <diagonal/>
    </border>
    <border>
      <left style="medium">
        <color indexed="64"/>
      </left>
      <right/>
      <top style="thick">
        <color indexed="64"/>
      </top>
      <bottom style="medium">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double">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style="thin">
        <color indexed="64"/>
      </bottom>
      <diagonal/>
    </border>
    <border>
      <left style="double">
        <color indexed="64"/>
      </left>
      <right/>
      <top style="thin">
        <color indexed="64"/>
      </top>
      <bottom style="thin">
        <color indexed="64"/>
      </bottom>
      <diagonal/>
    </border>
    <border>
      <left style="thin">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thin">
        <color indexed="64"/>
      </left>
      <right/>
      <top style="double">
        <color indexed="64"/>
      </top>
      <bottom style="thin">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alignment vertical="top"/>
      <protection locked="0"/>
    </xf>
  </cellStyleXfs>
  <cellXfs count="747">
    <xf numFmtId="0" fontId="0" fillId="0" borderId="0" xfId="0"/>
    <xf numFmtId="0" fontId="5" fillId="0" borderId="0" xfId="0" applyFont="1"/>
    <xf numFmtId="0" fontId="5" fillId="2" borderId="0" xfId="0" applyFont="1" applyFill="1" applyBorder="1"/>
    <xf numFmtId="0" fontId="8" fillId="2" borderId="0" xfId="0" applyFont="1" applyFill="1" applyBorder="1" applyProtection="1"/>
    <xf numFmtId="0" fontId="5" fillId="2" borderId="0" xfId="0" applyFont="1" applyFill="1" applyBorder="1" applyProtection="1"/>
    <xf numFmtId="2" fontId="5" fillId="2" borderId="0" xfId="0" applyNumberFormat="1" applyFont="1" applyFill="1" applyBorder="1" applyProtection="1"/>
    <xf numFmtId="0" fontId="8" fillId="2" borderId="1" xfId="0" applyFont="1" applyFill="1" applyBorder="1" applyProtection="1"/>
    <xf numFmtId="0" fontId="5" fillId="2" borderId="1" xfId="0" applyFont="1" applyFill="1" applyBorder="1" applyProtection="1"/>
    <xf numFmtId="0" fontId="5" fillId="2" borderId="1" xfId="0" applyFont="1" applyFill="1" applyBorder="1" applyAlignment="1" applyProtection="1">
      <alignment horizontal="left"/>
    </xf>
    <xf numFmtId="0" fontId="8" fillId="2" borderId="0" xfId="0" applyFont="1" applyFill="1" applyBorder="1" applyAlignment="1" applyProtection="1">
      <alignment horizontal="right"/>
    </xf>
    <xf numFmtId="0" fontId="8" fillId="2" borderId="1" xfId="0" applyFont="1" applyFill="1" applyBorder="1" applyAlignment="1" applyProtection="1">
      <alignment horizontal="left"/>
    </xf>
    <xf numFmtId="2" fontId="5" fillId="2" borderId="1" xfId="0" applyNumberFormat="1" applyFont="1" applyFill="1" applyBorder="1" applyProtection="1"/>
    <xf numFmtId="0" fontId="8" fillId="2" borderId="0" xfId="0" applyFont="1" applyFill="1" applyBorder="1" applyAlignment="1" applyProtection="1">
      <alignment horizontal="left"/>
    </xf>
    <xf numFmtId="0" fontId="5" fillId="2" borderId="0" xfId="0" applyFont="1" applyFill="1" applyBorder="1" applyAlignment="1" applyProtection="1">
      <alignment horizontal="left"/>
    </xf>
    <xf numFmtId="2" fontId="8" fillId="2" borderId="0" xfId="0" applyNumberFormat="1" applyFont="1" applyFill="1" applyBorder="1" applyAlignment="1" applyProtection="1">
      <alignment horizontal="right"/>
    </xf>
    <xf numFmtId="2" fontId="8" fillId="2" borderId="1" xfId="0" applyNumberFormat="1" applyFont="1" applyFill="1" applyBorder="1" applyProtection="1"/>
    <xf numFmtId="2" fontId="8" fillId="2" borderId="0" xfId="0" applyNumberFormat="1" applyFont="1" applyFill="1" applyBorder="1" applyProtection="1"/>
    <xf numFmtId="0" fontId="5" fillId="0" borderId="0" xfId="0" applyFont="1" applyBorder="1" applyProtection="1"/>
    <xf numFmtId="0" fontId="5" fillId="0" borderId="0" xfId="0" applyFont="1" applyFill="1"/>
    <xf numFmtId="0" fontId="14" fillId="2" borderId="2" xfId="0" applyFont="1" applyFill="1" applyBorder="1" applyProtection="1"/>
    <xf numFmtId="0" fontId="14" fillId="2" borderId="3" xfId="0" applyFont="1" applyFill="1" applyBorder="1" applyProtection="1"/>
    <xf numFmtId="0" fontId="14" fillId="2" borderId="4" xfId="0" applyFont="1" applyFill="1" applyBorder="1" applyProtection="1"/>
    <xf numFmtId="0" fontId="14" fillId="2" borderId="0" xfId="0" applyFont="1" applyFill="1" applyBorder="1" applyProtection="1"/>
    <xf numFmtId="2" fontId="16" fillId="2" borderId="0" xfId="0" quotePrefix="1" applyNumberFormat="1" applyFont="1" applyFill="1" applyBorder="1" applyProtection="1"/>
    <xf numFmtId="0" fontId="14" fillId="2" borderId="0" xfId="0" quotePrefix="1" applyFont="1" applyFill="1" applyBorder="1" applyProtection="1"/>
    <xf numFmtId="0" fontId="5" fillId="0" borderId="0" xfId="0" applyFont="1" applyAlignment="1"/>
    <xf numFmtId="0" fontId="19" fillId="0" borderId="0" xfId="0" applyFont="1" applyFill="1"/>
    <xf numFmtId="0" fontId="18" fillId="2" borderId="0" xfId="0" applyFont="1" applyFill="1" applyBorder="1" applyAlignment="1">
      <alignment horizontal="left" vertical="center"/>
    </xf>
    <xf numFmtId="0" fontId="5" fillId="2" borderId="0" xfId="0" applyFont="1" applyFill="1" applyBorder="1" applyAlignment="1">
      <alignment vertical="center" wrapText="1"/>
    </xf>
    <xf numFmtId="0" fontId="5" fillId="2" borderId="5" xfId="0" applyFont="1" applyFill="1" applyBorder="1"/>
    <xf numFmtId="0" fontId="5" fillId="2" borderId="0" xfId="0" applyFont="1" applyFill="1" applyBorder="1" applyAlignment="1">
      <alignment horizontal="left" vertical="center"/>
    </xf>
    <xf numFmtId="0" fontId="0" fillId="2" borderId="6" xfId="0" applyFill="1" applyBorder="1" applyAlignment="1"/>
    <xf numFmtId="0" fontId="5" fillId="2" borderId="0" xfId="0" applyFont="1" applyFill="1" applyBorder="1" applyAlignment="1">
      <alignment horizontal="left"/>
    </xf>
    <xf numFmtId="0" fontId="5" fillId="2" borderId="7" xfId="0" applyFont="1" applyFill="1" applyBorder="1"/>
    <xf numFmtId="0" fontId="5" fillId="2" borderId="8" xfId="0" applyFont="1" applyFill="1" applyBorder="1"/>
    <xf numFmtId="4" fontId="5" fillId="2" borderId="0" xfId="0" applyNumberFormat="1" applyFont="1" applyFill="1" applyBorder="1" applyProtection="1"/>
    <xf numFmtId="3" fontId="5" fillId="2" borderId="0" xfId="0" applyNumberFormat="1" applyFont="1" applyFill="1" applyBorder="1" applyProtection="1"/>
    <xf numFmtId="2" fontId="5" fillId="3" borderId="9" xfId="0" applyNumberFormat="1" applyFont="1" applyFill="1" applyBorder="1" applyProtection="1"/>
    <xf numFmtId="0" fontId="8" fillId="2" borderId="10" xfId="0" applyFont="1" applyFill="1" applyBorder="1" applyProtection="1"/>
    <xf numFmtId="0" fontId="5" fillId="0" borderId="0" xfId="0" applyFont="1" applyFill="1" applyBorder="1" applyProtection="1"/>
    <xf numFmtId="0" fontId="5" fillId="2" borderId="5" xfId="0" applyFont="1" applyFill="1" applyBorder="1" applyAlignment="1">
      <alignment vertical="center"/>
    </xf>
    <xf numFmtId="0" fontId="15" fillId="2" borderId="11" xfId="2" applyFont="1" applyFill="1" applyBorder="1" applyAlignment="1" applyProtection="1">
      <alignment horizontal="center" vertical="center" wrapText="1" shrinkToFit="1"/>
    </xf>
    <xf numFmtId="0" fontId="10" fillId="2" borderId="12" xfId="0" applyFont="1" applyFill="1" applyBorder="1" applyAlignment="1" applyProtection="1">
      <alignment horizontal="center" vertical="center" wrapText="1" shrinkToFit="1"/>
    </xf>
    <xf numFmtId="0" fontId="10" fillId="2" borderId="13" xfId="0" applyFont="1" applyFill="1" applyBorder="1" applyAlignment="1" applyProtection="1">
      <alignment horizontal="center" vertical="center" wrapText="1" shrinkToFit="1"/>
    </xf>
    <xf numFmtId="0" fontId="14" fillId="2" borderId="11" xfId="2" applyFont="1" applyFill="1" applyBorder="1" applyAlignment="1" applyProtection="1">
      <alignment horizontal="center" vertical="center" wrapText="1" shrinkToFit="1"/>
    </xf>
    <xf numFmtId="0" fontId="15" fillId="2" borderId="14" xfId="2" applyFont="1" applyFill="1" applyBorder="1" applyAlignment="1" applyProtection="1">
      <alignment horizontal="center" vertical="center" wrapText="1" shrinkToFit="1"/>
    </xf>
    <xf numFmtId="0" fontId="14" fillId="2" borderId="15" xfId="0" applyFont="1" applyFill="1" applyBorder="1" applyProtection="1"/>
    <xf numFmtId="0" fontId="10" fillId="2" borderId="16" xfId="0" applyFont="1" applyFill="1" applyBorder="1" applyAlignment="1" applyProtection="1">
      <alignment horizontal="center" vertical="center" wrapText="1" shrinkToFit="1"/>
    </xf>
    <xf numFmtId="0" fontId="5" fillId="2" borderId="17" xfId="0" applyFont="1" applyFill="1" applyBorder="1" applyAlignment="1"/>
    <xf numFmtId="0" fontId="5" fillId="2" borderId="18" xfId="0" applyFont="1" applyFill="1" applyBorder="1" applyAlignment="1"/>
    <xf numFmtId="0" fontId="6" fillId="2" borderId="0" xfId="0" applyFont="1" applyFill="1" applyBorder="1" applyAlignment="1">
      <alignment horizontal="left" vertical="center"/>
    </xf>
    <xf numFmtId="0" fontId="0" fillId="2" borderId="0" xfId="0" applyFill="1" applyBorder="1" applyAlignment="1"/>
    <xf numFmtId="0" fontId="19" fillId="2" borderId="19" xfId="0" applyFont="1" applyFill="1" applyBorder="1"/>
    <xf numFmtId="0" fontId="19" fillId="2" borderId="6" xfId="0" applyFont="1" applyFill="1" applyBorder="1"/>
    <xf numFmtId="0" fontId="19" fillId="2" borderId="6" xfId="0" applyFont="1" applyFill="1" applyBorder="1" applyAlignment="1"/>
    <xf numFmtId="0" fontId="19" fillId="2" borderId="20" xfId="0" applyFont="1" applyFill="1" applyBorder="1"/>
    <xf numFmtId="0" fontId="5" fillId="2" borderId="5" xfId="0" applyFont="1" applyFill="1" applyBorder="1" applyAlignment="1"/>
    <xf numFmtId="0" fontId="25" fillId="2" borderId="0" xfId="0" applyFont="1" applyFill="1" applyBorder="1" applyAlignment="1">
      <alignment horizontal="left"/>
    </xf>
    <xf numFmtId="0" fontId="10" fillId="2" borderId="0" xfId="0" applyFont="1" applyFill="1" applyBorder="1" applyAlignment="1">
      <alignment horizontal="left"/>
    </xf>
    <xf numFmtId="0" fontId="10" fillId="2" borderId="0" xfId="0" applyFont="1" applyFill="1" applyBorder="1" applyAlignment="1">
      <alignment horizontal="left" vertical="center" wrapText="1"/>
    </xf>
    <xf numFmtId="0" fontId="2" fillId="4" borderId="21" xfId="2" applyFill="1" applyBorder="1" applyAlignment="1" applyProtection="1">
      <alignment horizontal="left" vertical="center"/>
    </xf>
    <xf numFmtId="0" fontId="18" fillId="4" borderId="21" xfId="0" applyFont="1" applyFill="1" applyBorder="1" applyAlignment="1">
      <alignment horizontal="left" vertical="center"/>
    </xf>
    <xf numFmtId="0" fontId="27" fillId="2" borderId="0" xfId="0" applyFont="1" applyFill="1" applyBorder="1" applyAlignment="1"/>
    <xf numFmtId="0" fontId="19" fillId="2" borderId="6" xfId="0" applyFont="1" applyFill="1" applyBorder="1" applyAlignment="1">
      <alignment vertical="center"/>
    </xf>
    <xf numFmtId="0" fontId="5" fillId="0" borderId="0" xfId="0" applyFont="1" applyAlignment="1">
      <alignment vertical="center"/>
    </xf>
    <xf numFmtId="0" fontId="19" fillId="5" borderId="22" xfId="0" applyFont="1" applyFill="1" applyBorder="1" applyAlignment="1">
      <alignment horizontal="left" vertical="center"/>
    </xf>
    <xf numFmtId="0" fontId="26" fillId="4" borderId="21" xfId="0" applyFont="1" applyFill="1" applyBorder="1" applyAlignment="1">
      <alignment horizontal="center" wrapText="1"/>
    </xf>
    <xf numFmtId="0" fontId="26" fillId="4" borderId="21" xfId="0" applyFont="1" applyFill="1" applyBorder="1" applyAlignment="1">
      <alignment horizontal="left" vertical="center"/>
    </xf>
    <xf numFmtId="0" fontId="26" fillId="4" borderId="21" xfId="0" applyFont="1" applyFill="1" applyBorder="1" applyAlignment="1">
      <alignment horizontal="left" vertical="center" wrapText="1"/>
    </xf>
    <xf numFmtId="0" fontId="31" fillId="5" borderId="21" xfId="0" applyFont="1" applyFill="1" applyBorder="1" applyAlignment="1">
      <alignment horizontal="center" wrapText="1"/>
    </xf>
    <xf numFmtId="0" fontId="19" fillId="5" borderId="21" xfId="0" applyFont="1" applyFill="1" applyBorder="1" applyAlignment="1">
      <alignment horizontal="left" vertical="center"/>
    </xf>
    <xf numFmtId="0" fontId="19" fillId="5" borderId="21" xfId="0" applyFont="1" applyFill="1" applyBorder="1" applyAlignment="1">
      <alignment horizontal="left" vertical="center" wrapText="1"/>
    </xf>
    <xf numFmtId="0" fontId="14" fillId="2" borderId="0" xfId="0" applyFont="1" applyFill="1" applyBorder="1" applyAlignment="1" applyProtection="1">
      <alignment vertical="center" wrapText="1"/>
    </xf>
    <xf numFmtId="0" fontId="14" fillId="2" borderId="3" xfId="0" applyFont="1" applyFill="1" applyBorder="1" applyAlignment="1" applyProtection="1">
      <alignment vertical="center" wrapText="1"/>
    </xf>
    <xf numFmtId="0" fontId="14" fillId="2" borderId="4" xfId="0" applyFont="1" applyFill="1" applyBorder="1" applyAlignment="1" applyProtection="1">
      <alignment horizontal="center" vertical="center"/>
    </xf>
    <xf numFmtId="0" fontId="14" fillId="2" borderId="0" xfId="0" applyFont="1" applyFill="1" applyBorder="1" applyAlignment="1" applyProtection="1">
      <alignment horizontal="center" vertical="center"/>
    </xf>
    <xf numFmtId="0" fontId="14" fillId="2" borderId="0" xfId="0" applyFont="1" applyFill="1" applyBorder="1" applyAlignment="1" applyProtection="1">
      <alignment horizontal="center" vertical="center" wrapText="1"/>
    </xf>
    <xf numFmtId="2" fontId="5" fillId="2" borderId="0" xfId="0" applyNumberFormat="1" applyFont="1" applyFill="1" applyBorder="1" applyProtection="1">
      <protection hidden="1"/>
    </xf>
    <xf numFmtId="0" fontId="32" fillId="2" borderId="0" xfId="0" applyFont="1" applyFill="1" applyBorder="1" applyAlignment="1" applyProtection="1">
      <alignment horizontal="left"/>
    </xf>
    <xf numFmtId="175" fontId="5" fillId="3" borderId="9" xfId="0" applyNumberFormat="1" applyFont="1" applyFill="1" applyBorder="1" applyProtection="1"/>
    <xf numFmtId="0" fontId="5" fillId="2" borderId="23" xfId="0" applyFont="1" applyFill="1" applyBorder="1" applyProtection="1"/>
    <xf numFmtId="0" fontId="8" fillId="2" borderId="24" xfId="0" applyFont="1" applyFill="1" applyBorder="1" applyAlignment="1" applyProtection="1">
      <alignment horizontal="left"/>
    </xf>
    <xf numFmtId="2" fontId="8" fillId="2" borderId="24" xfId="0" applyNumberFormat="1" applyFont="1" applyFill="1" applyBorder="1" applyProtection="1"/>
    <xf numFmtId="0" fontId="35" fillId="5" borderId="0" xfId="0" applyFont="1" applyFill="1" applyBorder="1"/>
    <xf numFmtId="0" fontId="26" fillId="5" borderId="0" xfId="0" applyFont="1" applyFill="1" applyBorder="1"/>
    <xf numFmtId="0" fontId="5" fillId="5" borderId="0" xfId="0" applyFont="1" applyFill="1" applyBorder="1"/>
    <xf numFmtId="0" fontId="35" fillId="5" borderId="25" xfId="0" applyFont="1" applyFill="1" applyBorder="1"/>
    <xf numFmtId="0" fontId="35" fillId="5" borderId="26" xfId="0" applyFont="1" applyFill="1" applyBorder="1"/>
    <xf numFmtId="0" fontId="26" fillId="5" borderId="26" xfId="0" applyFont="1" applyFill="1" applyBorder="1"/>
    <xf numFmtId="0" fontId="5" fillId="5" borderId="26" xfId="0" applyFont="1" applyFill="1" applyBorder="1"/>
    <xf numFmtId="0" fontId="35" fillId="5" borderId="27" xfId="0" applyFont="1" applyFill="1" applyBorder="1"/>
    <xf numFmtId="0" fontId="5" fillId="5" borderId="27" xfId="0" applyFont="1" applyFill="1" applyBorder="1"/>
    <xf numFmtId="17" fontId="26" fillId="5" borderId="28" xfId="0" applyNumberFormat="1" applyFont="1" applyFill="1" applyBorder="1"/>
    <xf numFmtId="0" fontId="35" fillId="5" borderId="29" xfId="0" applyFont="1" applyFill="1" applyBorder="1"/>
    <xf numFmtId="0" fontId="26" fillId="5" borderId="29" xfId="0" applyFont="1" applyFill="1" applyBorder="1"/>
    <xf numFmtId="0" fontId="5" fillId="5" borderId="29" xfId="0" applyFont="1" applyFill="1" applyBorder="1"/>
    <xf numFmtId="0" fontId="35" fillId="5" borderId="25" xfId="0" applyFont="1" applyFill="1" applyBorder="1" applyAlignment="1">
      <alignment vertical="top"/>
    </xf>
    <xf numFmtId="0" fontId="26" fillId="5" borderId="28" xfId="0" applyFont="1" applyFill="1" applyBorder="1"/>
    <xf numFmtId="0" fontId="8" fillId="2" borderId="22" xfId="0" applyFont="1" applyFill="1" applyBorder="1" applyAlignment="1">
      <alignment horizontal="center" vertical="center"/>
    </xf>
    <xf numFmtId="0" fontId="33" fillId="2" borderId="0" xfId="0" applyFont="1" applyFill="1" applyBorder="1" applyAlignment="1">
      <alignment horizontal="left" wrapText="1"/>
    </xf>
    <xf numFmtId="3" fontId="5" fillId="4" borderId="9" xfId="0" applyNumberFormat="1" applyFont="1" applyFill="1" applyBorder="1" applyProtection="1">
      <protection locked="0"/>
    </xf>
    <xf numFmtId="0" fontId="26" fillId="4" borderId="22" xfId="0" applyFont="1" applyFill="1" applyBorder="1" applyAlignment="1">
      <alignment horizontal="left" vertical="center"/>
    </xf>
    <xf numFmtId="0" fontId="5" fillId="4" borderId="0" xfId="0" applyFont="1" applyFill="1" applyAlignment="1">
      <alignment horizontal="left"/>
    </xf>
    <xf numFmtId="0" fontId="5" fillId="4" borderId="0" xfId="0" applyFont="1" applyFill="1" applyAlignment="1">
      <alignment horizontal="left" vertical="center"/>
    </xf>
    <xf numFmtId="0" fontId="5" fillId="0" borderId="0" xfId="0" applyFont="1" applyProtection="1"/>
    <xf numFmtId="0" fontId="24" fillId="6" borderId="30" xfId="0" applyFont="1" applyFill="1" applyBorder="1" applyAlignment="1" applyProtection="1">
      <alignment horizontal="center" wrapText="1"/>
    </xf>
    <xf numFmtId="0" fontId="24" fillId="2" borderId="31" xfId="0" applyFont="1" applyFill="1" applyBorder="1" applyAlignment="1" applyProtection="1">
      <alignment horizontal="center"/>
    </xf>
    <xf numFmtId="0" fontId="10" fillId="0" borderId="0" xfId="0" applyFont="1" applyProtection="1"/>
    <xf numFmtId="0" fontId="11" fillId="2" borderId="32" xfId="0" applyFont="1" applyFill="1" applyBorder="1" applyProtection="1"/>
    <xf numFmtId="0" fontId="10" fillId="2" borderId="29" xfId="0" applyFont="1" applyFill="1" applyBorder="1" applyProtection="1"/>
    <xf numFmtId="0" fontId="12" fillId="2" borderId="29" xfId="0" applyFont="1" applyFill="1" applyBorder="1" applyAlignment="1" applyProtection="1">
      <alignment horizontal="center"/>
    </xf>
    <xf numFmtId="0" fontId="10" fillId="2" borderId="33" xfId="0" applyFont="1" applyFill="1" applyBorder="1" applyProtection="1"/>
    <xf numFmtId="0" fontId="10" fillId="0" borderId="0" xfId="0" applyFont="1" applyFill="1" applyProtection="1"/>
    <xf numFmtId="0" fontId="5" fillId="0" borderId="0" xfId="0" applyFont="1" applyFill="1" applyProtection="1"/>
    <xf numFmtId="0" fontId="17" fillId="0" borderId="0" xfId="2" applyFont="1" applyAlignment="1" applyProtection="1"/>
    <xf numFmtId="0" fontId="38" fillId="2" borderId="29" xfId="0" applyFont="1" applyFill="1" applyBorder="1" applyProtection="1"/>
    <xf numFmtId="4" fontId="5" fillId="3" borderId="9" xfId="0" applyNumberFormat="1" applyFont="1" applyFill="1" applyBorder="1" applyProtection="1"/>
    <xf numFmtId="1" fontId="5" fillId="3" borderId="9" xfId="0" applyNumberFormat="1" applyFont="1" applyFill="1" applyBorder="1" applyProtection="1"/>
    <xf numFmtId="174" fontId="5" fillId="2" borderId="0" xfId="0" applyNumberFormat="1" applyFont="1" applyFill="1" applyBorder="1" applyProtection="1"/>
    <xf numFmtId="174" fontId="5" fillId="3" borderId="9" xfId="0" applyNumberFormat="1" applyFont="1" applyFill="1" applyBorder="1" applyProtection="1"/>
    <xf numFmtId="0" fontId="32" fillId="2" borderId="0" xfId="0" applyFont="1" applyFill="1" applyBorder="1" applyProtection="1"/>
    <xf numFmtId="0" fontId="11" fillId="2" borderId="29" xfId="0" applyFont="1" applyFill="1" applyBorder="1" applyProtection="1"/>
    <xf numFmtId="0" fontId="14" fillId="2" borderId="34" xfId="2" applyFont="1" applyFill="1" applyBorder="1" applyAlignment="1" applyProtection="1">
      <alignment horizontal="center" vertical="center" wrapText="1" shrinkToFit="1"/>
    </xf>
    <xf numFmtId="0" fontId="14" fillId="2" borderId="1" xfId="0" applyFont="1" applyFill="1" applyBorder="1" applyProtection="1"/>
    <xf numFmtId="0" fontId="14" fillId="2" borderId="7" xfId="0" applyFont="1" applyFill="1" applyBorder="1" applyProtection="1"/>
    <xf numFmtId="0" fontId="15" fillId="2" borderId="4" xfId="2" applyFont="1" applyFill="1" applyBorder="1" applyAlignment="1" applyProtection="1">
      <alignment horizontal="center" vertical="center" wrapText="1" shrinkToFit="1"/>
    </xf>
    <xf numFmtId="2" fontId="16" fillId="2" borderId="4" xfId="0" quotePrefix="1" applyNumberFormat="1" applyFont="1" applyFill="1" applyBorder="1" applyAlignment="1" applyProtection="1">
      <alignment horizontal="center"/>
    </xf>
    <xf numFmtId="0" fontId="14" fillId="2" borderId="4" xfId="2" applyFont="1" applyFill="1" applyBorder="1" applyAlignment="1" applyProtection="1">
      <alignment horizontal="center" vertical="center" wrapText="1" shrinkToFit="1"/>
    </xf>
    <xf numFmtId="0" fontId="15" fillId="2" borderId="15" xfId="2" applyFont="1" applyFill="1" applyBorder="1" applyAlignment="1" applyProtection="1">
      <alignment horizontal="center" vertical="center" wrapText="1" shrinkToFit="1"/>
    </xf>
    <xf numFmtId="2" fontId="5" fillId="2" borderId="35" xfId="0" applyNumberFormat="1" applyFont="1" applyFill="1" applyBorder="1" applyProtection="1">
      <protection hidden="1"/>
    </xf>
    <xf numFmtId="0" fontId="19" fillId="5" borderId="22" xfId="0" applyFont="1" applyFill="1" applyBorder="1" applyAlignment="1">
      <alignment horizontal="left" vertical="center" wrapText="1"/>
    </xf>
    <xf numFmtId="49" fontId="41" fillId="2" borderId="0" xfId="0" applyNumberFormat="1" applyFont="1" applyFill="1" applyBorder="1" applyAlignment="1" applyProtection="1">
      <alignment horizontal="right"/>
    </xf>
    <xf numFmtId="0" fontId="9" fillId="2" borderId="0" xfId="0" applyFont="1" applyFill="1" applyBorder="1" applyAlignment="1" applyProtection="1">
      <alignment wrapText="1"/>
    </xf>
    <xf numFmtId="0" fontId="5" fillId="4" borderId="0" xfId="0" applyFont="1" applyFill="1" applyProtection="1"/>
    <xf numFmtId="0" fontId="5" fillId="4" borderId="0" xfId="0" applyFont="1" applyFill="1" applyAlignment="1" applyProtection="1">
      <alignment horizontal="center" vertical="center"/>
    </xf>
    <xf numFmtId="0" fontId="5" fillId="0" borderId="0" xfId="0" applyFont="1" applyAlignment="1" applyProtection="1">
      <alignment horizontal="center" vertical="center"/>
    </xf>
    <xf numFmtId="0" fontId="5" fillId="2" borderId="6" xfId="0" applyFont="1" applyFill="1" applyBorder="1" applyProtection="1"/>
    <xf numFmtId="0" fontId="5" fillId="2" borderId="5" xfId="0" applyFont="1" applyFill="1" applyBorder="1" applyProtection="1"/>
    <xf numFmtId="0" fontId="5" fillId="2" borderId="6" xfId="0" applyFont="1" applyFill="1" applyBorder="1" applyAlignment="1" applyProtection="1"/>
    <xf numFmtId="0" fontId="0" fillId="2" borderId="5" xfId="0" applyFill="1" applyBorder="1" applyAlignment="1" applyProtection="1"/>
    <xf numFmtId="0" fontId="0" fillId="2" borderId="6" xfId="0" applyFill="1" applyBorder="1" applyAlignment="1" applyProtection="1"/>
    <xf numFmtId="0" fontId="5" fillId="2" borderId="5" xfId="0" applyFont="1" applyFill="1" applyBorder="1" applyAlignment="1" applyProtection="1">
      <alignment wrapText="1"/>
    </xf>
    <xf numFmtId="0" fontId="5" fillId="2" borderId="6" xfId="0" applyFont="1" applyFill="1" applyBorder="1" applyAlignment="1" applyProtection="1">
      <alignment wrapText="1"/>
    </xf>
    <xf numFmtId="0" fontId="36" fillId="2" borderId="0" xfId="0" applyFont="1" applyFill="1" applyBorder="1" applyAlignment="1" applyProtection="1">
      <alignment horizontal="left"/>
    </xf>
    <xf numFmtId="0" fontId="5" fillId="4" borderId="9" xfId="0" applyFont="1" applyFill="1" applyBorder="1" applyProtection="1"/>
    <xf numFmtId="0" fontId="21" fillId="2" borderId="0" xfId="0" applyFont="1" applyFill="1" applyBorder="1" applyAlignment="1" applyProtection="1">
      <alignment horizontal="left"/>
    </xf>
    <xf numFmtId="0" fontId="5" fillId="2" borderId="24" xfId="0" applyFont="1" applyFill="1" applyBorder="1" applyProtection="1"/>
    <xf numFmtId="0" fontId="5" fillId="3" borderId="9" xfId="0" applyFont="1" applyFill="1" applyBorder="1" applyProtection="1"/>
    <xf numFmtId="0" fontId="20" fillId="2" borderId="0" xfId="0" applyFont="1" applyFill="1" applyBorder="1" applyAlignment="1" applyProtection="1">
      <alignment vertical="center"/>
    </xf>
    <xf numFmtId="0" fontId="21" fillId="2" borderId="0" xfId="0" applyFont="1" applyFill="1" applyBorder="1" applyAlignment="1" applyProtection="1">
      <alignment horizontal="right"/>
    </xf>
    <xf numFmtId="0" fontId="21" fillId="2" borderId="0" xfId="0" applyFont="1" applyFill="1" applyBorder="1" applyProtection="1"/>
    <xf numFmtId="0" fontId="5" fillId="2" borderId="0" xfId="0" applyFont="1" applyFill="1" applyBorder="1" applyAlignment="1" applyProtection="1">
      <alignment horizontal="right"/>
    </xf>
    <xf numFmtId="1" fontId="10" fillId="2" borderId="0" xfId="0" applyNumberFormat="1" applyFont="1" applyFill="1" applyBorder="1" applyAlignment="1" applyProtection="1">
      <alignment horizontal="left"/>
    </xf>
    <xf numFmtId="0" fontId="9" fillId="2" borderId="0" xfId="0" applyFont="1" applyFill="1" applyBorder="1" applyAlignment="1" applyProtection="1">
      <alignment horizontal="left" vertical="top"/>
    </xf>
    <xf numFmtId="0" fontId="21" fillId="2" borderId="36" xfId="0" applyFont="1" applyFill="1" applyBorder="1" applyAlignment="1" applyProtection="1">
      <alignment horizontal="right"/>
    </xf>
    <xf numFmtId="0" fontId="8" fillId="2" borderId="6" xfId="0" applyFont="1" applyFill="1" applyBorder="1" applyAlignment="1" applyProtection="1">
      <alignment horizontal="center" vertical="center"/>
    </xf>
    <xf numFmtId="0" fontId="8" fillId="2" borderId="0" xfId="0" applyFont="1" applyFill="1" applyBorder="1" applyAlignment="1" applyProtection="1">
      <alignment horizontal="left" vertical="top"/>
    </xf>
    <xf numFmtId="0" fontId="5" fillId="2" borderId="6" xfId="0" applyFont="1" applyFill="1" applyBorder="1" applyAlignment="1" applyProtection="1">
      <alignment horizontal="left" vertical="center"/>
    </xf>
    <xf numFmtId="0" fontId="5" fillId="2" borderId="0" xfId="0" applyFont="1" applyFill="1" applyBorder="1" applyAlignment="1" applyProtection="1">
      <alignment horizontal="left" vertical="center"/>
    </xf>
    <xf numFmtId="0" fontId="5" fillId="2" borderId="20" xfId="0" applyFont="1" applyFill="1" applyBorder="1" applyProtection="1"/>
    <xf numFmtId="0" fontId="5" fillId="2" borderId="7" xfId="0" applyFont="1" applyFill="1" applyBorder="1" applyProtection="1"/>
    <xf numFmtId="0" fontId="5" fillId="2" borderId="8" xfId="0" applyFont="1" applyFill="1" applyBorder="1" applyProtection="1"/>
    <xf numFmtId="0" fontId="5" fillId="4" borderId="0" xfId="0" applyFont="1" applyFill="1" applyBorder="1" applyProtection="1"/>
    <xf numFmtId="0" fontId="5" fillId="2" borderId="17" xfId="0" applyFont="1" applyFill="1" applyBorder="1" applyAlignment="1" applyProtection="1">
      <alignment vertical="center"/>
    </xf>
    <xf numFmtId="0" fontId="5" fillId="2" borderId="18" xfId="0" applyFont="1" applyFill="1" applyBorder="1" applyAlignment="1" applyProtection="1">
      <alignment vertical="center"/>
    </xf>
    <xf numFmtId="0" fontId="7" fillId="2" borderId="0" xfId="0" applyFont="1" applyFill="1" applyBorder="1" applyProtection="1"/>
    <xf numFmtId="0" fontId="22" fillId="2" borderId="23" xfId="0" applyFont="1" applyFill="1" applyBorder="1" applyAlignment="1" applyProtection="1">
      <alignment horizontal="right"/>
    </xf>
    <xf numFmtId="0" fontId="8" fillId="2" borderId="37" xfId="0" applyFont="1" applyFill="1" applyBorder="1" applyProtection="1"/>
    <xf numFmtId="0" fontId="8" fillId="2" borderId="24" xfId="0" applyFont="1" applyFill="1" applyBorder="1" applyProtection="1"/>
    <xf numFmtId="0" fontId="5" fillId="2" borderId="38" xfId="0" applyFont="1" applyFill="1" applyBorder="1" applyProtection="1"/>
    <xf numFmtId="0" fontId="22" fillId="2" borderId="0" xfId="0" applyFont="1" applyFill="1" applyBorder="1" applyAlignment="1" applyProtection="1">
      <alignment horizontal="right"/>
    </xf>
    <xf numFmtId="0" fontId="8" fillId="2" borderId="39" xfId="0" applyFont="1" applyFill="1" applyBorder="1" applyProtection="1"/>
    <xf numFmtId="0" fontId="5" fillId="2" borderId="10" xfId="0" applyFont="1" applyFill="1" applyBorder="1" applyProtection="1"/>
    <xf numFmtId="0" fontId="1" fillId="2" borderId="0" xfId="0" applyFont="1" applyFill="1" applyAlignment="1" applyProtection="1">
      <alignment horizontal="center" wrapText="1"/>
    </xf>
    <xf numFmtId="0" fontId="40" fillId="2" borderId="0" xfId="0" applyFont="1" applyFill="1" applyAlignment="1" applyProtection="1">
      <alignment horizontal="center"/>
    </xf>
    <xf numFmtId="0" fontId="0" fillId="2" borderId="0" xfId="0" applyFill="1" applyBorder="1" applyAlignment="1" applyProtection="1"/>
    <xf numFmtId="0" fontId="5" fillId="2" borderId="0" xfId="0" applyFont="1" applyFill="1" applyProtection="1"/>
    <xf numFmtId="2" fontId="5" fillId="2" borderId="24" xfId="0" applyNumberFormat="1" applyFont="1" applyFill="1" applyBorder="1" applyProtection="1"/>
    <xf numFmtId="0" fontId="8" fillId="2" borderId="24" xfId="0" applyFont="1" applyFill="1" applyBorder="1" applyAlignment="1" applyProtection="1">
      <alignment horizontal="right"/>
    </xf>
    <xf numFmtId="0" fontId="37" fillId="2" borderId="0" xfId="0" applyFont="1" applyFill="1" applyProtection="1"/>
    <xf numFmtId="0" fontId="5" fillId="2" borderId="0" xfId="0" applyFont="1" applyFill="1" applyBorder="1" applyAlignment="1" applyProtection="1">
      <alignment horizontal="center"/>
    </xf>
    <xf numFmtId="0" fontId="37" fillId="2" borderId="0" xfId="0" applyFont="1" applyFill="1" applyAlignment="1" applyProtection="1">
      <alignment horizontal="center" vertical="center"/>
    </xf>
    <xf numFmtId="0" fontId="23" fillId="2" borderId="0" xfId="0" applyFont="1" applyFill="1" applyBorder="1" applyAlignment="1" applyProtection="1">
      <alignment horizontal="left"/>
    </xf>
    <xf numFmtId="2" fontId="5" fillId="2" borderId="0" xfId="0" applyNumberFormat="1" applyFont="1" applyFill="1" applyBorder="1" applyAlignment="1" applyProtection="1">
      <alignment horizontal="right"/>
    </xf>
    <xf numFmtId="0" fontId="0" fillId="2" borderId="0" xfId="0" applyFill="1" applyAlignment="1" applyProtection="1"/>
    <xf numFmtId="0" fontId="8" fillId="2" borderId="1" xfId="0" applyFont="1" applyFill="1" applyBorder="1" applyAlignment="1" applyProtection="1">
      <alignment horizontal="right"/>
    </xf>
    <xf numFmtId="3" fontId="8" fillId="2" borderId="0" xfId="0" applyNumberFormat="1" applyFont="1" applyFill="1" applyBorder="1" applyProtection="1"/>
    <xf numFmtId="4" fontId="8" fillId="2" borderId="0" xfId="0" applyNumberFormat="1" applyFont="1" applyFill="1" applyBorder="1" applyProtection="1"/>
    <xf numFmtId="0" fontId="10" fillId="2" borderId="0" xfId="0" applyFont="1" applyFill="1" applyBorder="1" applyAlignment="1" applyProtection="1">
      <alignment horizontal="right"/>
    </xf>
    <xf numFmtId="2" fontId="22" fillId="2" borderId="0" xfId="0" applyNumberFormat="1" applyFont="1" applyFill="1" applyBorder="1" applyAlignment="1" applyProtection="1">
      <alignment horizontal="left"/>
    </xf>
    <xf numFmtId="2" fontId="8" fillId="2" borderId="0" xfId="0" applyNumberFormat="1" applyFont="1" applyFill="1" applyBorder="1" applyAlignment="1" applyProtection="1">
      <alignment horizontal="left"/>
    </xf>
    <xf numFmtId="0" fontId="23" fillId="2" borderId="0" xfId="0" applyFont="1" applyFill="1" applyBorder="1" applyProtection="1"/>
    <xf numFmtId="0" fontId="5" fillId="2" borderId="0" xfId="0" quotePrefix="1" applyFont="1" applyFill="1" applyBorder="1" applyProtection="1"/>
    <xf numFmtId="10" fontId="5" fillId="0" borderId="0" xfId="0" applyNumberFormat="1" applyFont="1" applyFill="1" applyBorder="1" applyProtection="1"/>
    <xf numFmtId="0" fontId="5" fillId="4" borderId="9" xfId="0" applyFont="1" applyFill="1" applyBorder="1" applyAlignment="1" applyProtection="1">
      <alignment horizontal="center" vertical="center"/>
      <protection locked="0"/>
    </xf>
    <xf numFmtId="0" fontId="40" fillId="0" borderId="0" xfId="0" applyFont="1" applyProtection="1">
      <protection hidden="1"/>
    </xf>
    <xf numFmtId="0" fontId="0" fillId="0" borderId="0" xfId="0" applyProtection="1">
      <protection hidden="1"/>
    </xf>
    <xf numFmtId="0" fontId="0" fillId="0" borderId="0" xfId="0" quotePrefix="1" applyProtection="1">
      <protection hidden="1"/>
    </xf>
    <xf numFmtId="0" fontId="0" fillId="0" borderId="0" xfId="0" applyAlignment="1" applyProtection="1">
      <alignment horizontal="right"/>
      <protection hidden="1"/>
    </xf>
    <xf numFmtId="205" fontId="1" fillId="0" borderId="22" xfId="1" applyNumberFormat="1" applyBorder="1" applyProtection="1">
      <protection hidden="1"/>
    </xf>
    <xf numFmtId="0" fontId="0" fillId="0" borderId="22" xfId="0" applyBorder="1" applyProtection="1">
      <protection hidden="1"/>
    </xf>
    <xf numFmtId="174" fontId="0" fillId="0" borderId="0" xfId="0" applyNumberFormat="1" applyProtection="1">
      <protection hidden="1"/>
    </xf>
    <xf numFmtId="4" fontId="0" fillId="0" borderId="0" xfId="0" applyNumberFormat="1" applyProtection="1">
      <protection hidden="1"/>
    </xf>
    <xf numFmtId="0" fontId="13" fillId="2" borderId="11" xfId="2" quotePrefix="1" applyFont="1" applyFill="1" applyBorder="1" applyAlignment="1" applyProtection="1">
      <alignment horizontal="center" vertical="center" wrapText="1" shrinkToFit="1"/>
    </xf>
    <xf numFmtId="0" fontId="13" fillId="2" borderId="4" xfId="2" quotePrefix="1" applyFont="1" applyFill="1" applyBorder="1" applyAlignment="1" applyProtection="1">
      <alignment horizontal="center" vertical="center" wrapText="1" shrinkToFit="1"/>
    </xf>
    <xf numFmtId="0" fontId="11" fillId="2" borderId="40" xfId="0" applyFont="1" applyFill="1" applyBorder="1" applyProtection="1"/>
    <xf numFmtId="0" fontId="8" fillId="2" borderId="0" xfId="0" applyFont="1" applyFill="1" applyBorder="1" applyAlignment="1" applyProtection="1">
      <alignment horizontal="right" vertical="center"/>
    </xf>
    <xf numFmtId="0" fontId="42" fillId="2" borderId="0" xfId="0" applyFont="1" applyFill="1" applyAlignment="1" applyProtection="1">
      <alignment horizontal="center" vertical="center"/>
      <protection hidden="1"/>
    </xf>
    <xf numFmtId="0" fontId="10" fillId="2" borderId="0" xfId="0" applyFont="1" applyFill="1" applyBorder="1" applyAlignment="1" applyProtection="1">
      <alignment horizontal="left"/>
      <protection hidden="1"/>
    </xf>
    <xf numFmtId="0" fontId="5" fillId="2" borderId="0" xfId="0" applyFont="1" applyFill="1" applyProtection="1">
      <protection hidden="1"/>
    </xf>
    <xf numFmtId="0" fontId="5" fillId="2" borderId="0" xfId="0" applyFont="1" applyFill="1" applyBorder="1" applyProtection="1">
      <protection hidden="1"/>
    </xf>
    <xf numFmtId="0" fontId="10" fillId="2" borderId="0" xfId="0" applyFont="1" applyFill="1" applyBorder="1" applyProtection="1">
      <protection hidden="1"/>
    </xf>
    <xf numFmtId="0" fontId="12" fillId="6" borderId="41" xfId="0" applyFont="1" applyFill="1" applyBorder="1" applyAlignment="1" applyProtection="1">
      <alignment horizontal="center" wrapText="1"/>
      <protection hidden="1"/>
    </xf>
    <xf numFmtId="0" fontId="12" fillId="6" borderId="42" xfId="0" applyFont="1" applyFill="1" applyBorder="1" applyAlignment="1" applyProtection="1">
      <alignment horizontal="center" wrapText="1"/>
      <protection hidden="1"/>
    </xf>
    <xf numFmtId="0" fontId="11" fillId="2" borderId="6" xfId="0" applyFont="1" applyFill="1" applyBorder="1" applyProtection="1"/>
    <xf numFmtId="0" fontId="14" fillId="2" borderId="43" xfId="0" applyFont="1" applyFill="1" applyBorder="1" applyAlignment="1" applyProtection="1">
      <alignment vertical="center" wrapText="1"/>
    </xf>
    <xf numFmtId="0" fontId="10" fillId="2" borderId="44" xfId="0" applyFont="1" applyFill="1" applyBorder="1" applyProtection="1"/>
    <xf numFmtId="0" fontId="38" fillId="2" borderId="26" xfId="0" applyFont="1" applyFill="1" applyBorder="1" applyProtection="1"/>
    <xf numFmtId="0" fontId="10" fillId="2" borderId="45" xfId="0" applyFont="1" applyFill="1" applyBorder="1" applyProtection="1"/>
    <xf numFmtId="0" fontId="10" fillId="2" borderId="46" xfId="0" applyFont="1" applyFill="1" applyBorder="1" applyProtection="1"/>
    <xf numFmtId="0" fontId="38" fillId="2" borderId="46" xfId="0" applyFont="1" applyFill="1" applyBorder="1" applyProtection="1"/>
    <xf numFmtId="0" fontId="10" fillId="2" borderId="47" xfId="0" applyFont="1" applyFill="1" applyBorder="1" applyProtection="1"/>
    <xf numFmtId="176" fontId="14" fillId="2" borderId="3" xfId="0" applyNumberFormat="1" applyFont="1" applyFill="1" applyBorder="1" applyAlignment="1" applyProtection="1">
      <alignment vertical="center" wrapText="1"/>
    </xf>
    <xf numFmtId="173" fontId="5" fillId="4" borderId="9" xfId="0" applyNumberFormat="1" applyFont="1" applyFill="1" applyBorder="1" applyProtection="1">
      <protection locked="0"/>
    </xf>
    <xf numFmtId="0" fontId="5" fillId="4" borderId="0" xfId="0" applyFont="1" applyFill="1"/>
    <xf numFmtId="0" fontId="19" fillId="4" borderId="0" xfId="0" applyFont="1" applyFill="1"/>
    <xf numFmtId="0" fontId="19" fillId="4" borderId="0" xfId="0" applyFont="1" applyFill="1" applyAlignment="1"/>
    <xf numFmtId="0" fontId="0" fillId="4" borderId="0" xfId="0" applyFill="1" applyAlignment="1"/>
    <xf numFmtId="0" fontId="19" fillId="4" borderId="0" xfId="0" applyFont="1" applyFill="1" applyAlignment="1">
      <alignment vertical="center"/>
    </xf>
    <xf numFmtId="1" fontId="5" fillId="4" borderId="0" xfId="0" applyNumberFormat="1" applyFont="1" applyFill="1" applyBorder="1" applyProtection="1"/>
    <xf numFmtId="0" fontId="0" fillId="0" borderId="48" xfId="0" applyBorder="1" applyProtection="1">
      <protection hidden="1"/>
    </xf>
    <xf numFmtId="0" fontId="0" fillId="0" borderId="49" xfId="0" applyBorder="1" applyProtection="1">
      <protection hidden="1"/>
    </xf>
    <xf numFmtId="0" fontId="40" fillId="0" borderId="50" xfId="0" applyFont="1" applyBorder="1" applyProtection="1">
      <protection hidden="1"/>
    </xf>
    <xf numFmtId="0" fontId="0" fillId="0" borderId="51" xfId="0" applyBorder="1" applyProtection="1">
      <protection hidden="1"/>
    </xf>
    <xf numFmtId="172" fontId="0" fillId="0" borderId="0" xfId="0" applyNumberFormat="1" applyProtection="1">
      <protection hidden="1"/>
    </xf>
    <xf numFmtId="0" fontId="0" fillId="7" borderId="4" xfId="0" applyFill="1" applyBorder="1" applyProtection="1">
      <protection hidden="1"/>
    </xf>
    <xf numFmtId="0" fontId="37" fillId="2" borderId="0" xfId="0" applyFont="1" applyFill="1" applyBorder="1" applyProtection="1"/>
    <xf numFmtId="0" fontId="0" fillId="7" borderId="0" xfId="0" quotePrefix="1" applyFill="1" applyProtection="1">
      <protection hidden="1"/>
    </xf>
    <xf numFmtId="0" fontId="0" fillId="7" borderId="0" xfId="0" applyFill="1" applyProtection="1">
      <protection hidden="1"/>
    </xf>
    <xf numFmtId="0" fontId="0" fillId="8" borderId="0" xfId="0" applyFill="1" applyProtection="1">
      <protection hidden="1"/>
    </xf>
    <xf numFmtId="0" fontId="0" fillId="9" borderId="0" xfId="0" applyFill="1" applyProtection="1">
      <protection hidden="1"/>
    </xf>
    <xf numFmtId="0" fontId="5" fillId="2" borderId="0" xfId="0" applyFont="1" applyFill="1" applyAlignment="1" applyProtection="1">
      <alignment horizontal="left"/>
    </xf>
    <xf numFmtId="0" fontId="5" fillId="2" borderId="0" xfId="0" applyFont="1" applyFill="1" applyBorder="1" applyAlignment="1" applyProtection="1">
      <alignment horizontal="right" vertical="center"/>
    </xf>
    <xf numFmtId="0" fontId="5" fillId="2" borderId="0" xfId="0" applyFont="1" applyFill="1" applyBorder="1" applyAlignment="1" applyProtection="1">
      <alignment vertical="center" wrapText="1"/>
    </xf>
    <xf numFmtId="0" fontId="5" fillId="2" borderId="0" xfId="0" applyFont="1" applyFill="1" applyBorder="1" applyAlignment="1" applyProtection="1">
      <alignment vertical="center"/>
    </xf>
    <xf numFmtId="0" fontId="2" fillId="2" borderId="0" xfId="2" applyFill="1" applyBorder="1" applyAlignment="1" applyProtection="1">
      <alignment vertical="center"/>
    </xf>
    <xf numFmtId="0" fontId="5" fillId="2" borderId="0" xfId="0" applyFont="1" applyFill="1" applyAlignment="1" applyProtection="1">
      <alignment horizontal="center"/>
    </xf>
    <xf numFmtId="4" fontId="5" fillId="3" borderId="9" xfId="0" applyNumberFormat="1" applyFont="1" applyFill="1" applyBorder="1" applyAlignment="1" applyProtection="1">
      <alignment vertical="center"/>
    </xf>
    <xf numFmtId="176" fontId="5" fillId="4" borderId="9" xfId="0" applyNumberFormat="1" applyFont="1" applyFill="1" applyBorder="1" applyProtection="1">
      <protection locked="0"/>
    </xf>
    <xf numFmtId="176" fontId="5" fillId="3" borderId="9" xfId="0" applyNumberFormat="1" applyFont="1" applyFill="1" applyBorder="1" applyProtection="1"/>
    <xf numFmtId="176" fontId="5" fillId="4" borderId="52" xfId="0" applyNumberFormat="1" applyFont="1" applyFill="1" applyBorder="1" applyAlignment="1" applyProtection="1">
      <alignment horizontal="right"/>
      <protection locked="0"/>
    </xf>
    <xf numFmtId="0" fontId="51" fillId="2" borderId="0" xfId="0" applyFont="1" applyFill="1" applyBorder="1" applyAlignment="1" applyProtection="1">
      <alignment horizontal="left"/>
    </xf>
    <xf numFmtId="0" fontId="5" fillId="10" borderId="9" xfId="0" applyFont="1" applyFill="1" applyBorder="1" applyProtection="1"/>
    <xf numFmtId="176" fontId="7" fillId="2" borderId="12" xfId="0" applyNumberFormat="1" applyFont="1" applyFill="1" applyBorder="1" applyAlignment="1" applyProtection="1">
      <alignment horizontal="center" vertical="center" wrapText="1" shrinkToFit="1"/>
    </xf>
    <xf numFmtId="10" fontId="5" fillId="10" borderId="9" xfId="0" applyNumberFormat="1" applyFont="1" applyFill="1" applyBorder="1" applyAlignment="1" applyProtection="1">
      <alignment horizontal="right" shrinkToFit="1"/>
    </xf>
    <xf numFmtId="10" fontId="5" fillId="4" borderId="9" xfId="0" applyNumberFormat="1" applyFont="1" applyFill="1" applyBorder="1" applyAlignment="1" applyProtection="1">
      <alignment horizontal="right" shrinkToFit="1"/>
      <protection locked="0"/>
    </xf>
    <xf numFmtId="176" fontId="54" fillId="2" borderId="4" xfId="0" applyNumberFormat="1" applyFont="1" applyFill="1" applyBorder="1" applyAlignment="1" applyProtection="1">
      <alignment horizontal="center" vertical="center"/>
    </xf>
    <xf numFmtId="176" fontId="54" fillId="2" borderId="0" xfId="0" applyNumberFormat="1" applyFont="1" applyFill="1" applyBorder="1" applyAlignment="1" applyProtection="1">
      <alignment horizontal="center" vertical="center"/>
    </xf>
    <xf numFmtId="176" fontId="54" fillId="2" borderId="2" xfId="0" applyNumberFormat="1" applyFont="1" applyFill="1" applyBorder="1" applyAlignment="1" applyProtection="1">
      <alignment wrapText="1"/>
    </xf>
    <xf numFmtId="176" fontId="54" fillId="2" borderId="2" xfId="2" applyNumberFormat="1" applyFont="1" applyFill="1" applyBorder="1" applyAlignment="1" applyProtection="1">
      <alignment horizontal="right" vertical="center" wrapText="1" shrinkToFit="1"/>
    </xf>
    <xf numFmtId="0" fontId="54" fillId="2" borderId="0" xfId="0" applyFont="1" applyFill="1" applyBorder="1" applyAlignment="1" applyProtection="1">
      <alignment wrapText="1"/>
    </xf>
    <xf numFmtId="0" fontId="54" fillId="2" borderId="2" xfId="0" applyFont="1" applyFill="1" applyBorder="1" applyAlignment="1" applyProtection="1">
      <alignment wrapText="1"/>
    </xf>
    <xf numFmtId="0" fontId="54" fillId="2" borderId="15" xfId="0" applyFont="1" applyFill="1" applyBorder="1" applyAlignment="1" applyProtection="1">
      <alignment wrapText="1"/>
    </xf>
    <xf numFmtId="176" fontId="55" fillId="2" borderId="11" xfId="1" quotePrefix="1" applyNumberFormat="1" applyFont="1" applyFill="1" applyBorder="1" applyAlignment="1" applyProtection="1">
      <alignment horizontal="center"/>
    </xf>
    <xf numFmtId="176" fontId="55" fillId="2" borderId="0" xfId="0" quotePrefix="1" applyNumberFormat="1" applyFont="1" applyFill="1" applyBorder="1" applyAlignment="1" applyProtection="1">
      <alignment horizontal="center" vertical="center"/>
    </xf>
    <xf numFmtId="176" fontId="55" fillId="2" borderId="53" xfId="0" quotePrefix="1" applyNumberFormat="1" applyFont="1" applyFill="1" applyBorder="1" applyAlignment="1" applyProtection="1">
      <alignment horizontal="center" vertical="center"/>
    </xf>
    <xf numFmtId="176" fontId="55" fillId="2" borderId="0" xfId="0" quotePrefix="1" applyNumberFormat="1" applyFont="1" applyFill="1" applyBorder="1" applyAlignment="1" applyProtection="1">
      <alignment horizontal="center"/>
    </xf>
    <xf numFmtId="176" fontId="55" fillId="2" borderId="4" xfId="0" applyNumberFormat="1" applyFont="1" applyFill="1" applyBorder="1" applyAlignment="1" applyProtection="1">
      <alignment horizontal="center" vertical="center"/>
    </xf>
    <xf numFmtId="176" fontId="55" fillId="2" borderId="0" xfId="0" applyNumberFormat="1" applyFont="1" applyFill="1" applyBorder="1" applyAlignment="1" applyProtection="1">
      <alignment wrapText="1"/>
    </xf>
    <xf numFmtId="176" fontId="55" fillId="2" borderId="2" xfId="0" applyNumberFormat="1" applyFont="1" applyFill="1" applyBorder="1" applyAlignment="1" applyProtection="1">
      <alignment wrapText="1"/>
    </xf>
    <xf numFmtId="172" fontId="0" fillId="7" borderId="2" xfId="0" applyNumberFormat="1" applyFill="1" applyBorder="1" applyProtection="1">
      <protection hidden="1"/>
    </xf>
    <xf numFmtId="172" fontId="0" fillId="7" borderId="4" xfId="0" applyNumberFormat="1" applyFill="1" applyBorder="1" applyProtection="1">
      <protection hidden="1"/>
    </xf>
    <xf numFmtId="172" fontId="0" fillId="7" borderId="3" xfId="0" applyNumberFormat="1" applyFill="1" applyBorder="1" applyProtection="1">
      <protection hidden="1"/>
    </xf>
    <xf numFmtId="0" fontId="40" fillId="11" borderId="54" xfId="0" applyFont="1" applyFill="1" applyBorder="1" applyAlignment="1" applyProtection="1">
      <alignment horizontal="center"/>
      <protection hidden="1"/>
    </xf>
    <xf numFmtId="0" fontId="0" fillId="0" borderId="0" xfId="0" applyAlignment="1" applyProtection="1">
      <alignment horizontal="center"/>
      <protection hidden="1"/>
    </xf>
    <xf numFmtId="0" fontId="51" fillId="0" borderId="0" xfId="0" applyFont="1" applyProtection="1">
      <protection hidden="1"/>
    </xf>
    <xf numFmtId="189" fontId="0" fillId="0" borderId="0" xfId="0" applyNumberFormat="1" applyProtection="1">
      <protection hidden="1"/>
    </xf>
    <xf numFmtId="0" fontId="40" fillId="0" borderId="0" xfId="0" quotePrefix="1" applyFont="1" applyFill="1" applyBorder="1" applyAlignment="1" applyProtection="1">
      <alignment horizontal="center"/>
      <protection hidden="1"/>
    </xf>
    <xf numFmtId="0" fontId="0" fillId="12" borderId="54" xfId="0" applyFill="1" applyBorder="1" applyAlignment="1" applyProtection="1">
      <alignment horizontal="center"/>
      <protection hidden="1"/>
    </xf>
    <xf numFmtId="0" fontId="5" fillId="4" borderId="0" xfId="0" applyFont="1" applyFill="1" applyBorder="1" applyAlignment="1">
      <alignment horizontal="left"/>
    </xf>
    <xf numFmtId="0" fontId="10" fillId="4" borderId="0" xfId="0" applyFont="1" applyFill="1" applyBorder="1" applyAlignment="1">
      <alignment horizontal="left" vertical="top" wrapText="1"/>
    </xf>
    <xf numFmtId="0" fontId="40" fillId="0" borderId="0" xfId="0" quotePrefix="1" applyFont="1" applyFill="1" applyBorder="1" applyAlignment="1" applyProtection="1">
      <alignment horizontal="center" vertical="center"/>
      <protection hidden="1"/>
    </xf>
    <xf numFmtId="0" fontId="40" fillId="3" borderId="54" xfId="0" applyFont="1" applyFill="1" applyBorder="1" applyAlignment="1" applyProtection="1">
      <alignment horizontal="center" vertical="center"/>
      <protection hidden="1"/>
    </xf>
    <xf numFmtId="0" fontId="0" fillId="0" borderId="0" xfId="0" applyBorder="1" applyAlignment="1" applyProtection="1">
      <alignment horizontal="center"/>
      <protection hidden="1"/>
    </xf>
    <xf numFmtId="0" fontId="10" fillId="4" borderId="55" xfId="0" applyFont="1" applyFill="1" applyBorder="1" applyAlignment="1">
      <alignment horizontal="left" vertical="top" wrapText="1"/>
    </xf>
    <xf numFmtId="0" fontId="5" fillId="4" borderId="27" xfId="0" applyFont="1" applyFill="1" applyBorder="1" applyAlignment="1">
      <alignment horizontal="left"/>
    </xf>
    <xf numFmtId="0" fontId="5" fillId="4" borderId="28" xfId="0" applyFont="1" applyFill="1" applyBorder="1" applyAlignment="1">
      <alignment horizontal="left"/>
    </xf>
    <xf numFmtId="0" fontId="5" fillId="4" borderId="29" xfId="0" applyFont="1" applyFill="1" applyBorder="1" applyAlignment="1">
      <alignment horizontal="left"/>
    </xf>
    <xf numFmtId="0" fontId="5" fillId="4" borderId="29" xfId="0" applyFont="1" applyFill="1" applyBorder="1"/>
    <xf numFmtId="0" fontId="10" fillId="4" borderId="29" xfId="0" applyFont="1" applyFill="1" applyBorder="1" applyAlignment="1">
      <alignment horizontal="left" vertical="top" wrapText="1"/>
    </xf>
    <xf numFmtId="0" fontId="10" fillId="4" borderId="56" xfId="0" applyFont="1" applyFill="1" applyBorder="1" applyAlignment="1">
      <alignment horizontal="left" vertical="top" wrapText="1"/>
    </xf>
    <xf numFmtId="0" fontId="40" fillId="7" borderId="54" xfId="0" applyFont="1" applyFill="1" applyBorder="1" applyAlignment="1" applyProtection="1">
      <alignment horizontal="center" vertical="center" shrinkToFit="1"/>
      <protection locked="0" hidden="1"/>
    </xf>
    <xf numFmtId="176" fontId="54" fillId="2" borderId="0" xfId="0" applyNumberFormat="1" applyFont="1" applyFill="1" applyBorder="1" applyAlignment="1" applyProtection="1">
      <alignment wrapText="1"/>
    </xf>
    <xf numFmtId="176" fontId="56" fillId="2" borderId="12" xfId="0" applyNumberFormat="1" applyFont="1" applyFill="1" applyBorder="1" applyAlignment="1" applyProtection="1">
      <alignment horizontal="center" vertical="center" wrapText="1" shrinkToFit="1"/>
    </xf>
    <xf numFmtId="1" fontId="5" fillId="4" borderId="0" xfId="0" applyNumberFormat="1" applyFont="1" applyFill="1" applyProtection="1"/>
    <xf numFmtId="1" fontId="8" fillId="2" borderId="0" xfId="0" applyNumberFormat="1" applyFont="1" applyFill="1" applyBorder="1" applyProtection="1"/>
    <xf numFmtId="1" fontId="8" fillId="2" borderId="24" xfId="0" applyNumberFormat="1" applyFont="1" applyFill="1" applyBorder="1" applyProtection="1"/>
    <xf numFmtId="1" fontId="1" fillId="2" borderId="0" xfId="0" applyNumberFormat="1" applyFont="1" applyFill="1" applyAlignment="1" applyProtection="1">
      <alignment horizontal="center" wrapText="1"/>
    </xf>
    <xf numFmtId="1" fontId="8" fillId="2" borderId="1" xfId="0" applyNumberFormat="1" applyFont="1" applyFill="1" applyBorder="1" applyProtection="1"/>
    <xf numFmtId="1" fontId="39" fillId="2" borderId="0" xfId="0" applyNumberFormat="1" applyFont="1" applyFill="1" applyBorder="1" applyProtection="1"/>
    <xf numFmtId="1" fontId="43" fillId="2" borderId="0" xfId="0" applyNumberFormat="1" applyFont="1" applyFill="1" applyBorder="1" applyAlignment="1" applyProtection="1">
      <alignment horizontal="left"/>
    </xf>
    <xf numFmtId="1" fontId="43" fillId="2" borderId="1" xfId="0" applyNumberFormat="1" applyFont="1" applyFill="1" applyBorder="1" applyAlignment="1" applyProtection="1">
      <alignment horizontal="left"/>
    </xf>
    <xf numFmtId="1" fontId="43" fillId="2" borderId="0" xfId="0" applyNumberFormat="1" applyFont="1" applyFill="1" applyBorder="1" applyProtection="1"/>
    <xf numFmtId="1" fontId="43" fillId="2" borderId="0" xfId="0" applyNumberFormat="1" applyFont="1" applyFill="1" applyBorder="1" applyAlignment="1" applyProtection="1">
      <alignment horizontal="right"/>
    </xf>
    <xf numFmtId="1" fontId="43" fillId="2" borderId="1" xfId="0" applyNumberFormat="1" applyFont="1" applyFill="1" applyBorder="1" applyAlignment="1" applyProtection="1">
      <alignment horizontal="right"/>
    </xf>
    <xf numFmtId="1" fontId="8" fillId="2" borderId="0" xfId="0" applyNumberFormat="1" applyFont="1" applyFill="1" applyBorder="1" applyAlignment="1" applyProtection="1">
      <alignment horizontal="left"/>
    </xf>
    <xf numFmtId="1" fontId="8" fillId="2" borderId="0" xfId="0" applyNumberFormat="1" applyFont="1" applyFill="1" applyBorder="1" applyAlignment="1" applyProtection="1">
      <alignment horizontal="right" vertical="center"/>
    </xf>
    <xf numFmtId="1" fontId="5" fillId="0" borderId="0" xfId="0" applyNumberFormat="1" applyFont="1" applyFill="1" applyBorder="1" applyProtection="1"/>
    <xf numFmtId="0" fontId="0" fillId="2" borderId="0" xfId="0" applyFill="1"/>
    <xf numFmtId="0" fontId="0" fillId="2" borderId="0" xfId="0" applyFill="1" applyAlignment="1">
      <alignment horizontal="center"/>
    </xf>
    <xf numFmtId="0" fontId="0" fillId="0" borderId="54" xfId="0" applyBorder="1" applyAlignment="1">
      <alignment horizontal="center"/>
    </xf>
    <xf numFmtId="0" fontId="40" fillId="0" borderId="57" xfId="0" applyFont="1" applyBorder="1" applyAlignment="1">
      <alignment horizontal="center"/>
    </xf>
    <xf numFmtId="0" fontId="60" fillId="0" borderId="0" xfId="0" applyFont="1"/>
    <xf numFmtId="186" fontId="0" fillId="0" borderId="0" xfId="0" applyNumberFormat="1" applyFill="1" applyBorder="1" applyAlignment="1">
      <alignment horizontal="center"/>
    </xf>
    <xf numFmtId="186" fontId="0" fillId="0" borderId="0" xfId="0" applyNumberFormat="1" applyAlignment="1">
      <alignment horizontal="center"/>
    </xf>
    <xf numFmtId="1" fontId="0" fillId="0" borderId="0" xfId="0" applyNumberFormat="1" applyBorder="1" applyAlignment="1">
      <alignment horizontal="center"/>
    </xf>
    <xf numFmtId="0" fontId="1" fillId="0" borderId="0" xfId="0" applyFont="1" applyBorder="1" applyAlignment="1">
      <alignment horizontal="center"/>
    </xf>
    <xf numFmtId="186" fontId="0" fillId="0" borderId="0" xfId="0" applyNumberFormat="1" applyBorder="1" applyAlignment="1">
      <alignment horizontal="center"/>
    </xf>
    <xf numFmtId="0" fontId="5" fillId="0" borderId="0" xfId="0" applyFont="1" applyFill="1" applyBorder="1" applyAlignment="1" applyProtection="1">
      <alignment horizontal="right"/>
    </xf>
    <xf numFmtId="0" fontId="61" fillId="0" borderId="0" xfId="0" applyFont="1"/>
    <xf numFmtId="0" fontId="0" fillId="0" borderId="57" xfId="0" applyBorder="1"/>
    <xf numFmtId="186" fontId="40" fillId="11" borderId="57" xfId="0" applyNumberFormat="1" applyFont="1" applyFill="1" applyBorder="1" applyAlignment="1">
      <alignment horizontal="center"/>
    </xf>
    <xf numFmtId="0" fontId="32" fillId="2" borderId="0" xfId="0" applyFont="1" applyFill="1"/>
    <xf numFmtId="0" fontId="10" fillId="2" borderId="0" xfId="0" applyFont="1" applyFill="1" applyBorder="1" applyAlignment="1" applyProtection="1">
      <alignment horizontal="left" vertical="top"/>
    </xf>
    <xf numFmtId="0" fontId="5" fillId="4" borderId="0" xfId="0" applyFont="1" applyFill="1" applyAlignment="1" applyProtection="1">
      <alignment horizontal="center"/>
    </xf>
    <xf numFmtId="0" fontId="10" fillId="2" borderId="0" xfId="0" applyFont="1" applyFill="1" applyBorder="1" applyAlignment="1" applyProtection="1">
      <alignment horizontal="center" vertical="center"/>
    </xf>
    <xf numFmtId="0" fontId="8" fillId="2" borderId="0" xfId="0" applyFont="1" applyFill="1" applyBorder="1" applyAlignment="1" applyProtection="1">
      <alignment horizontal="center" vertical="center"/>
    </xf>
    <xf numFmtId="0" fontId="5" fillId="2" borderId="0" xfId="0" quotePrefix="1" applyFont="1" applyFill="1" applyBorder="1" applyAlignment="1" applyProtection="1">
      <alignment horizontal="center"/>
    </xf>
    <xf numFmtId="0" fontId="5" fillId="2" borderId="5" xfId="0" applyFont="1" applyFill="1" applyBorder="1" applyAlignment="1" applyProtection="1">
      <alignment horizontal="center"/>
    </xf>
    <xf numFmtId="0" fontId="5" fillId="0" borderId="0" xfId="0" applyFont="1" applyAlignment="1" applyProtection="1">
      <alignment horizontal="center"/>
    </xf>
    <xf numFmtId="2" fontId="2" fillId="2" borderId="7" xfId="2" applyNumberFormat="1" applyFill="1" applyBorder="1" applyAlignment="1" applyProtection="1">
      <alignment horizontal="left"/>
    </xf>
    <xf numFmtId="0" fontId="8" fillId="2" borderId="7" xfId="0" applyFont="1" applyFill="1" applyBorder="1" applyProtection="1"/>
    <xf numFmtId="1" fontId="8" fillId="2" borderId="7" xfId="0" applyNumberFormat="1" applyFont="1" applyFill="1" applyBorder="1" applyProtection="1"/>
    <xf numFmtId="0" fontId="40" fillId="3" borderId="0" xfId="0" applyFont="1" applyFill="1"/>
    <xf numFmtId="0" fontId="5" fillId="4" borderId="0" xfId="0" applyFont="1" applyFill="1" applyAlignment="1" applyProtection="1">
      <alignment vertical="center"/>
    </xf>
    <xf numFmtId="0" fontId="12" fillId="2" borderId="0" xfId="0" applyFont="1" applyFill="1" applyBorder="1" applyAlignment="1" applyProtection="1">
      <alignment vertical="center"/>
    </xf>
    <xf numFmtId="0" fontId="5" fillId="2" borderId="0" xfId="0" quotePrefix="1" applyFont="1" applyFill="1" applyBorder="1" applyAlignment="1" applyProtection="1">
      <alignment vertical="center"/>
    </xf>
    <xf numFmtId="0" fontId="5" fillId="2" borderId="5" xfId="0" applyFont="1" applyFill="1" applyBorder="1" applyAlignment="1" applyProtection="1">
      <alignment vertical="center"/>
    </xf>
    <xf numFmtId="0" fontId="5" fillId="0" borderId="0" xfId="0" applyFont="1" applyAlignment="1" applyProtection="1">
      <alignment vertical="center"/>
    </xf>
    <xf numFmtId="0" fontId="30" fillId="0" borderId="58" xfId="0" applyFont="1" applyFill="1" applyBorder="1" applyAlignment="1" applyProtection="1">
      <alignment horizontal="center" vertical="center" wrapText="1"/>
    </xf>
    <xf numFmtId="0" fontId="30" fillId="2" borderId="59" xfId="0" applyFont="1" applyFill="1" applyBorder="1" applyAlignment="1" applyProtection="1">
      <alignment horizontal="center" vertical="center" wrapText="1"/>
    </xf>
    <xf numFmtId="0" fontId="0" fillId="4" borderId="60" xfId="0" applyFill="1" applyBorder="1" applyAlignment="1">
      <alignment horizontal="center"/>
    </xf>
    <xf numFmtId="0" fontId="68" fillId="2" borderId="61" xfId="0" applyFont="1" applyFill="1" applyBorder="1" applyAlignment="1">
      <alignment horizontal="center" wrapText="1"/>
    </xf>
    <xf numFmtId="0" fontId="0" fillId="0" borderId="60" xfId="0" applyBorder="1" applyAlignment="1">
      <alignment horizontal="center" vertical="center" wrapText="1"/>
    </xf>
    <xf numFmtId="0" fontId="0" fillId="0" borderId="62" xfId="0" applyBorder="1" applyAlignment="1">
      <alignment horizontal="center" vertical="center" wrapText="1"/>
    </xf>
    <xf numFmtId="0" fontId="0" fillId="0" borderId="63" xfId="0" applyBorder="1" applyAlignment="1">
      <alignment horizontal="center" vertical="center" wrapText="1"/>
    </xf>
    <xf numFmtId="0" fontId="8" fillId="4" borderId="25" xfId="0" applyFont="1" applyFill="1" applyBorder="1" applyAlignment="1">
      <alignment horizontal="center" vertical="center"/>
    </xf>
    <xf numFmtId="0" fontId="8" fillId="4" borderId="64" xfId="0" applyFont="1" applyFill="1" applyBorder="1" applyAlignment="1">
      <alignment horizontal="center" vertical="center"/>
    </xf>
    <xf numFmtId="0" fontId="8" fillId="4" borderId="28" xfId="0" applyFont="1" applyFill="1" applyBorder="1" applyAlignment="1">
      <alignment horizontal="center" vertical="center"/>
    </xf>
    <xf numFmtId="0" fontId="8" fillId="4" borderId="27" xfId="0" applyFont="1" applyFill="1" applyBorder="1" applyAlignment="1">
      <alignment horizontal="center" vertical="center"/>
    </xf>
    <xf numFmtId="0" fontId="32" fillId="2" borderId="0" xfId="0" applyFont="1" applyFill="1" applyBorder="1"/>
    <xf numFmtId="0" fontId="32" fillId="2" borderId="0" xfId="0" applyFont="1" applyFill="1" applyBorder="1" applyAlignment="1"/>
    <xf numFmtId="0" fontId="71" fillId="2" borderId="0" xfId="0" applyFont="1" applyFill="1" applyBorder="1" applyAlignment="1"/>
    <xf numFmtId="0" fontId="5" fillId="4" borderId="0" xfId="0" applyFont="1" applyFill="1" applyBorder="1" applyAlignment="1"/>
    <xf numFmtId="0" fontId="5" fillId="4" borderId="0" xfId="0" applyFont="1" applyFill="1" applyBorder="1"/>
    <xf numFmtId="0" fontId="0" fillId="4" borderId="0" xfId="0" applyFill="1" applyBorder="1" applyAlignment="1"/>
    <xf numFmtId="0" fontId="32" fillId="0" borderId="0" xfId="0" applyFont="1" applyFill="1"/>
    <xf numFmtId="0" fontId="32" fillId="2" borderId="18" xfId="0" applyFont="1" applyFill="1" applyBorder="1" applyAlignment="1"/>
    <xf numFmtId="0" fontId="32" fillId="2" borderId="5" xfId="0" applyFont="1" applyFill="1" applyBorder="1"/>
    <xf numFmtId="0" fontId="71" fillId="2" borderId="5" xfId="0" applyFont="1" applyFill="1" applyBorder="1" applyAlignment="1"/>
    <xf numFmtId="0" fontId="32" fillId="2" borderId="8" xfId="0" applyFont="1" applyFill="1" applyBorder="1"/>
    <xf numFmtId="0" fontId="32" fillId="0" borderId="0" xfId="0" applyFont="1"/>
    <xf numFmtId="0" fontId="32" fillId="2" borderId="0" xfId="0" applyFont="1" applyFill="1" applyAlignment="1">
      <alignment horizontal="center"/>
    </xf>
    <xf numFmtId="0" fontId="69" fillId="2" borderId="0" xfId="0" applyFont="1" applyFill="1" applyBorder="1" applyAlignment="1">
      <alignment horizontal="center"/>
    </xf>
    <xf numFmtId="2" fontId="42" fillId="2" borderId="0" xfId="0" applyNumberFormat="1" applyFont="1" applyFill="1" applyBorder="1" applyAlignment="1" applyProtection="1">
      <alignment horizontal="center" vertical="center"/>
      <protection hidden="1"/>
    </xf>
    <xf numFmtId="174" fontId="5" fillId="4" borderId="9" xfId="0" applyNumberFormat="1" applyFont="1" applyFill="1" applyBorder="1" applyProtection="1">
      <protection locked="0"/>
    </xf>
    <xf numFmtId="177" fontId="5" fillId="4" borderId="9" xfId="0" applyNumberFormat="1" applyFont="1" applyFill="1" applyBorder="1" applyProtection="1">
      <protection locked="0"/>
    </xf>
    <xf numFmtId="2" fontId="21" fillId="2" borderId="0" xfId="0" applyNumberFormat="1" applyFont="1" applyFill="1" applyBorder="1" applyAlignment="1" applyProtection="1">
      <alignment horizontal="center"/>
    </xf>
    <xf numFmtId="0" fontId="21" fillId="2" borderId="0" xfId="0" applyFont="1" applyFill="1" applyBorder="1" applyAlignment="1" applyProtection="1">
      <alignment horizontal="center" vertical="center"/>
    </xf>
    <xf numFmtId="216" fontId="5" fillId="4" borderId="9" xfId="0" applyNumberFormat="1" applyFont="1" applyFill="1" applyBorder="1" applyAlignment="1" applyProtection="1">
      <alignment horizontal="center"/>
      <protection locked="0"/>
    </xf>
    <xf numFmtId="0" fontId="27" fillId="0" borderId="0" xfId="0" applyFont="1" applyProtection="1"/>
    <xf numFmtId="0" fontId="42" fillId="2" borderId="0" xfId="0" applyFont="1" applyFill="1" applyAlignment="1" applyProtection="1">
      <alignment vertical="center"/>
      <protection hidden="1"/>
    </xf>
    <xf numFmtId="0" fontId="37" fillId="2" borderId="0" xfId="0" applyFont="1" applyFill="1" applyAlignment="1" applyProtection="1">
      <alignment vertical="center"/>
      <protection hidden="1"/>
    </xf>
    <xf numFmtId="0" fontId="20" fillId="2" borderId="0" xfId="0" applyFont="1" applyFill="1" applyBorder="1" applyAlignment="1" applyProtection="1">
      <alignment horizontal="right" vertical="top"/>
    </xf>
    <xf numFmtId="0" fontId="5" fillId="0" borderId="0" xfId="0" applyFont="1" applyFill="1" applyBorder="1" applyProtection="1">
      <protection locked="0"/>
    </xf>
    <xf numFmtId="1" fontId="10" fillId="4" borderId="52" xfId="0" applyNumberFormat="1" applyFont="1" applyFill="1" applyBorder="1" applyAlignment="1" applyProtection="1">
      <alignment horizontal="left"/>
      <protection locked="0"/>
    </xf>
    <xf numFmtId="1" fontId="75" fillId="2" borderId="0" xfId="0" applyNumberFormat="1" applyFont="1" applyFill="1" applyBorder="1" applyAlignment="1" applyProtection="1">
      <alignment horizontal="center" vertical="center"/>
    </xf>
    <xf numFmtId="0" fontId="76" fillId="0" borderId="0" xfId="0" applyFont="1" applyFill="1" applyBorder="1" applyAlignment="1" applyProtection="1">
      <alignment horizontal="center"/>
    </xf>
    <xf numFmtId="0" fontId="30" fillId="13" borderId="65" xfId="0" applyFont="1" applyFill="1" applyBorder="1" applyAlignment="1" applyProtection="1">
      <alignment horizontal="center" vertical="center" wrapText="1"/>
    </xf>
    <xf numFmtId="0" fontId="30" fillId="13" borderId="66" xfId="0" applyFont="1" applyFill="1" applyBorder="1" applyAlignment="1" applyProtection="1">
      <alignment horizontal="center" vertical="center" wrapText="1"/>
    </xf>
    <xf numFmtId="0" fontId="67" fillId="14" borderId="58" xfId="0" applyFont="1" applyFill="1" applyBorder="1" applyAlignment="1" applyProtection="1">
      <alignment horizontal="center" vertical="center" wrapText="1"/>
    </xf>
    <xf numFmtId="0" fontId="67" fillId="13" borderId="58" xfId="0" applyFont="1" applyFill="1" applyBorder="1" applyAlignment="1" applyProtection="1">
      <alignment horizontal="center" vertical="center" wrapText="1"/>
    </xf>
    <xf numFmtId="0" fontId="30" fillId="14" borderId="58" xfId="0" applyFont="1" applyFill="1" applyBorder="1" applyAlignment="1" applyProtection="1">
      <alignment horizontal="center" vertical="center" wrapText="1"/>
    </xf>
    <xf numFmtId="1" fontId="9" fillId="4" borderId="9" xfId="0" applyNumberFormat="1" applyFont="1" applyFill="1" applyBorder="1" applyAlignment="1" applyProtection="1">
      <alignment horizontal="center"/>
      <protection locked="0"/>
    </xf>
    <xf numFmtId="1" fontId="80" fillId="2" borderId="0" xfId="0" applyNumberFormat="1" applyFont="1" applyFill="1" applyBorder="1" applyAlignment="1" applyProtection="1">
      <alignment horizontal="left"/>
    </xf>
    <xf numFmtId="1" fontId="80" fillId="2" borderId="1" xfId="0" applyNumberFormat="1" applyFont="1" applyFill="1" applyBorder="1" applyAlignment="1" applyProtection="1">
      <alignment horizontal="left"/>
    </xf>
    <xf numFmtId="1" fontId="80" fillId="2" borderId="0" xfId="0" applyNumberFormat="1" applyFont="1" applyFill="1" applyBorder="1" applyProtection="1"/>
    <xf numFmtId="4" fontId="53" fillId="2" borderId="0" xfId="0" applyNumberFormat="1" applyFont="1" applyFill="1" applyBorder="1" applyAlignment="1" applyProtection="1">
      <alignment horizontal="center" vertical="center"/>
      <protection hidden="1"/>
    </xf>
    <xf numFmtId="1" fontId="0" fillId="0" borderId="0" xfId="0" quotePrefix="1" applyNumberFormat="1" applyBorder="1" applyAlignment="1">
      <alignment horizontal="center"/>
    </xf>
    <xf numFmtId="0" fontId="11" fillId="2" borderId="0" xfId="0" applyFont="1" applyFill="1" applyBorder="1" applyProtection="1"/>
    <xf numFmtId="0" fontId="10" fillId="2" borderId="0" xfId="0" applyFont="1" applyFill="1" applyBorder="1" applyProtection="1"/>
    <xf numFmtId="0" fontId="38" fillId="2" borderId="0" xfId="0" applyFont="1" applyFill="1" applyBorder="1" applyProtection="1"/>
    <xf numFmtId="0" fontId="11" fillId="2" borderId="19" xfId="0" applyFont="1" applyFill="1" applyBorder="1" applyProtection="1"/>
    <xf numFmtId="0" fontId="11" fillId="2" borderId="30" xfId="0" applyFont="1" applyFill="1" applyBorder="1" applyProtection="1"/>
    <xf numFmtId="0" fontId="10" fillId="2" borderId="30" xfId="0" applyFont="1" applyFill="1" applyBorder="1" applyProtection="1"/>
    <xf numFmtId="0" fontId="38" fillId="2" borderId="30" xfId="0" applyFont="1" applyFill="1" applyBorder="1" applyProtection="1"/>
    <xf numFmtId="0" fontId="10" fillId="2" borderId="31" xfId="0" applyFont="1" applyFill="1" applyBorder="1" applyProtection="1"/>
    <xf numFmtId="0" fontId="10" fillId="2" borderId="5" xfId="0" applyFont="1" applyFill="1" applyBorder="1" applyProtection="1"/>
    <xf numFmtId="0" fontId="11" fillId="2" borderId="20" xfId="0" applyFont="1" applyFill="1" applyBorder="1" applyProtection="1"/>
    <xf numFmtId="0" fontId="11" fillId="2" borderId="7" xfId="0" applyFont="1" applyFill="1" applyBorder="1" applyProtection="1"/>
    <xf numFmtId="0" fontId="10" fillId="2" borderId="7" xfId="0" applyFont="1" applyFill="1" applyBorder="1" applyProtection="1"/>
    <xf numFmtId="0" fontId="38" fillId="2" borderId="7" xfId="0" applyFont="1" applyFill="1" applyBorder="1" applyProtection="1"/>
    <xf numFmtId="0" fontId="10" fillId="2" borderId="8" xfId="0" applyFont="1" applyFill="1" applyBorder="1" applyProtection="1"/>
    <xf numFmtId="0" fontId="30" fillId="4" borderId="58" xfId="0" applyFont="1" applyFill="1" applyBorder="1" applyAlignment="1" applyProtection="1">
      <alignment horizontal="center" vertical="center" wrapText="1"/>
    </xf>
    <xf numFmtId="0" fontId="10" fillId="2" borderId="1" xfId="0" quotePrefix="1" applyFont="1" applyFill="1" applyBorder="1" applyAlignment="1" applyProtection="1"/>
    <xf numFmtId="0" fontId="10" fillId="2" borderId="1" xfId="0" applyFont="1" applyFill="1" applyBorder="1" applyAlignment="1" applyProtection="1"/>
    <xf numFmtId="4" fontId="5" fillId="3" borderId="9" xfId="0" applyNumberFormat="1" applyFont="1" applyFill="1" applyBorder="1" applyAlignment="1" applyProtection="1">
      <alignment horizontal="right"/>
    </xf>
    <xf numFmtId="0" fontId="20" fillId="2" borderId="0" xfId="0" applyFont="1" applyFill="1" applyBorder="1" applyAlignment="1" applyProtection="1">
      <alignment horizontal="right"/>
    </xf>
    <xf numFmtId="0" fontId="12" fillId="2" borderId="0" xfId="0" applyFont="1" applyFill="1" applyAlignment="1">
      <alignment vertical="center"/>
    </xf>
    <xf numFmtId="0" fontId="51" fillId="4" borderId="67" xfId="0" applyFont="1" applyFill="1" applyBorder="1" applyAlignment="1">
      <alignment vertical="center"/>
    </xf>
    <xf numFmtId="0" fontId="30" fillId="15" borderId="65" xfId="0" applyFont="1" applyFill="1" applyBorder="1" applyAlignment="1" applyProtection="1">
      <alignment horizontal="center" vertical="center" wrapText="1"/>
    </xf>
    <xf numFmtId="0" fontId="10" fillId="4" borderId="0" xfId="0" applyFont="1" applyFill="1" applyProtection="1"/>
    <xf numFmtId="0" fontId="5" fillId="2" borderId="6" xfId="0" applyFont="1" applyFill="1" applyBorder="1"/>
    <xf numFmtId="0" fontId="69" fillId="2" borderId="0" xfId="0" applyFont="1" applyFill="1" applyBorder="1"/>
    <xf numFmtId="0" fontId="5" fillId="2" borderId="0" xfId="0" applyFont="1" applyFill="1"/>
    <xf numFmtId="0" fontId="27" fillId="2" borderId="0" xfId="0" applyFont="1" applyFill="1" applyBorder="1"/>
    <xf numFmtId="0" fontId="1" fillId="0" borderId="0" xfId="0" applyFont="1" applyProtection="1"/>
    <xf numFmtId="0" fontId="37" fillId="2" borderId="0" xfId="0" applyFont="1" applyFill="1" applyBorder="1" applyAlignment="1" applyProtection="1">
      <alignment horizontal="left"/>
    </xf>
    <xf numFmtId="0" fontId="19" fillId="0" borderId="0" xfId="0" applyFont="1" applyFill="1" applyProtection="1"/>
    <xf numFmtId="0" fontId="5" fillId="7" borderId="0" xfId="0" applyFont="1" applyFill="1" applyProtection="1"/>
    <xf numFmtId="0" fontId="19" fillId="2" borderId="19" xfId="0" applyFont="1" applyFill="1" applyBorder="1" applyProtection="1"/>
    <xf numFmtId="0" fontId="0" fillId="2" borderId="17" xfId="0" applyFill="1" applyBorder="1" applyAlignment="1" applyProtection="1"/>
    <xf numFmtId="0" fontId="5" fillId="2" borderId="18" xfId="0" applyFont="1" applyFill="1" applyBorder="1" applyAlignment="1" applyProtection="1"/>
    <xf numFmtId="0" fontId="5" fillId="4" borderId="0" xfId="0" applyFont="1" applyFill="1" applyBorder="1" applyAlignment="1" applyProtection="1"/>
    <xf numFmtId="0" fontId="19" fillId="2" borderId="6" xfId="0" applyFont="1" applyFill="1" applyBorder="1" applyProtection="1"/>
    <xf numFmtId="0" fontId="5" fillId="11" borderId="68" xfId="0" applyFont="1" applyFill="1" applyBorder="1" applyProtection="1"/>
    <xf numFmtId="0" fontId="5" fillId="7" borderId="65" xfId="0" applyFont="1" applyFill="1" applyBorder="1" applyProtection="1"/>
    <xf numFmtId="0" fontId="5" fillId="11" borderId="69" xfId="0" applyFont="1" applyFill="1" applyBorder="1" applyProtection="1"/>
    <xf numFmtId="0" fontId="0" fillId="0" borderId="68" xfId="0" applyBorder="1" applyAlignment="1" applyProtection="1">
      <alignment horizontal="center" vertical="center"/>
    </xf>
    <xf numFmtId="0" fontId="40" fillId="0" borderId="68" xfId="0" applyFont="1" applyBorder="1" applyAlignment="1" applyProtection="1">
      <alignment horizontal="center" vertical="center"/>
    </xf>
    <xf numFmtId="0" fontId="40" fillId="0" borderId="68" xfId="0" applyFont="1" applyBorder="1" applyAlignment="1" applyProtection="1">
      <alignment horizontal="center" vertical="center" wrapText="1"/>
    </xf>
    <xf numFmtId="0" fontId="65" fillId="0" borderId="0" xfId="0" applyFont="1" applyFill="1" applyAlignment="1" applyProtection="1">
      <alignment wrapText="1"/>
    </xf>
    <xf numFmtId="0" fontId="65" fillId="2" borderId="6" xfId="0" applyFont="1" applyFill="1" applyBorder="1" applyAlignment="1" applyProtection="1">
      <alignment wrapText="1"/>
    </xf>
    <xf numFmtId="0" fontId="59" fillId="0" borderId="65" xfId="0" applyFont="1" applyBorder="1" applyAlignment="1" applyProtection="1">
      <alignment horizontal="center" vertical="center" wrapText="1"/>
    </xf>
    <xf numFmtId="0" fontId="30" fillId="0" borderId="70" xfId="0" applyFont="1" applyBorder="1" applyAlignment="1" applyProtection="1">
      <alignment horizontal="center" vertical="center" wrapText="1"/>
    </xf>
    <xf numFmtId="0" fontId="30" fillId="0" borderId="71" xfId="0" applyFont="1" applyBorder="1" applyAlignment="1" applyProtection="1">
      <alignment horizontal="center" vertical="center" wrapText="1"/>
    </xf>
    <xf numFmtId="0" fontId="30" fillId="0" borderId="58" xfId="0" applyFont="1" applyBorder="1" applyAlignment="1" applyProtection="1">
      <alignment horizontal="center" vertical="center" wrapText="1"/>
    </xf>
    <xf numFmtId="0" fontId="9" fillId="2" borderId="5" xfId="0" applyFont="1" applyFill="1" applyBorder="1" applyAlignment="1" applyProtection="1">
      <alignment wrapText="1"/>
    </xf>
    <xf numFmtId="0" fontId="9" fillId="4" borderId="0" xfId="0" applyFont="1" applyFill="1" applyBorder="1" applyAlignment="1" applyProtection="1">
      <alignment wrapText="1"/>
    </xf>
    <xf numFmtId="1" fontId="9" fillId="0" borderId="0" xfId="0" applyNumberFormat="1" applyFont="1" applyAlignment="1" applyProtection="1">
      <alignment wrapText="1"/>
    </xf>
    <xf numFmtId="0" fontId="9" fillId="0" borderId="0" xfId="0" applyFont="1" applyFill="1" applyAlignment="1" applyProtection="1">
      <alignment wrapText="1"/>
    </xf>
    <xf numFmtId="0" fontId="9" fillId="7" borderId="0" xfId="0" applyFont="1" applyFill="1" applyAlignment="1" applyProtection="1">
      <alignment wrapText="1"/>
    </xf>
    <xf numFmtId="0" fontId="9" fillId="0" borderId="0" xfId="0" applyFont="1" applyAlignment="1" applyProtection="1">
      <alignment wrapText="1"/>
    </xf>
    <xf numFmtId="0" fontId="79" fillId="2" borderId="65" xfId="0" applyFont="1" applyFill="1" applyBorder="1" applyAlignment="1" applyProtection="1">
      <alignment horizontal="center" vertical="center" wrapText="1"/>
    </xf>
    <xf numFmtId="0" fontId="79" fillId="2" borderId="58" xfId="0" applyFont="1" applyFill="1" applyBorder="1" applyAlignment="1" applyProtection="1">
      <alignment horizontal="center" vertical="center" wrapText="1"/>
    </xf>
    <xf numFmtId="0" fontId="19" fillId="0" borderId="0" xfId="0" applyFont="1" applyFill="1" applyAlignment="1" applyProtection="1">
      <alignment wrapText="1"/>
    </xf>
    <xf numFmtId="0" fontId="19" fillId="2" borderId="6" xfId="0" applyFont="1" applyFill="1" applyBorder="1" applyAlignment="1" applyProtection="1">
      <alignment wrapText="1"/>
    </xf>
    <xf numFmtId="0" fontId="5" fillId="4" borderId="0" xfId="0" applyFont="1" applyFill="1" applyBorder="1" applyAlignment="1" applyProtection="1">
      <alignment wrapText="1"/>
    </xf>
    <xf numFmtId="0" fontId="5" fillId="0" borderId="0" xfId="0" applyFont="1" applyAlignment="1" applyProtection="1">
      <alignment wrapText="1"/>
    </xf>
    <xf numFmtId="0" fontId="5" fillId="0" borderId="0" xfId="0" applyFont="1" applyFill="1" applyAlignment="1" applyProtection="1">
      <alignment wrapText="1"/>
    </xf>
    <xf numFmtId="0" fontId="5" fillId="7" borderId="0" xfId="0" applyFont="1" applyFill="1" applyAlignment="1" applyProtection="1">
      <alignment wrapText="1"/>
    </xf>
    <xf numFmtId="0" fontId="30" fillId="2" borderId="65" xfId="0" applyFont="1" applyFill="1" applyBorder="1" applyAlignment="1" applyProtection="1">
      <alignment horizontal="center" vertical="center" wrapText="1"/>
    </xf>
    <xf numFmtId="0" fontId="30" fillId="7" borderId="0" xfId="0" applyFont="1" applyFill="1" applyBorder="1" applyAlignment="1" applyProtection="1">
      <alignment horizontal="center" vertical="center" wrapText="1"/>
    </xf>
    <xf numFmtId="0" fontId="19" fillId="2" borderId="20" xfId="0" applyFont="1" applyFill="1" applyBorder="1" applyProtection="1"/>
    <xf numFmtId="4" fontId="53" fillId="2" borderId="0" xfId="0" applyNumberFormat="1" applyFont="1" applyFill="1" applyBorder="1" applyAlignment="1" applyProtection="1">
      <alignment vertical="center"/>
      <protection hidden="1"/>
    </xf>
    <xf numFmtId="4" fontId="10" fillId="2" borderId="0" xfId="0" applyNumberFormat="1" applyFont="1" applyFill="1" applyBorder="1" applyAlignment="1" applyProtection="1">
      <alignment vertical="center"/>
      <protection hidden="1"/>
    </xf>
    <xf numFmtId="4" fontId="10" fillId="2" borderId="0" xfId="0" applyNumberFormat="1" applyFont="1" applyFill="1" applyBorder="1" applyAlignment="1" applyProtection="1">
      <alignment horizontal="right" vertical="center"/>
      <protection hidden="1"/>
    </xf>
    <xf numFmtId="1" fontId="9" fillId="4" borderId="9" xfId="0" applyNumberFormat="1" applyFont="1" applyFill="1" applyBorder="1" applyAlignment="1" applyProtection="1">
      <alignment horizontal="center"/>
    </xf>
    <xf numFmtId="176" fontId="5" fillId="4" borderId="9" xfId="0" applyNumberFormat="1" applyFont="1" applyFill="1" applyBorder="1" applyProtection="1"/>
    <xf numFmtId="0" fontId="10" fillId="2" borderId="0" xfId="0" applyFont="1" applyFill="1" applyBorder="1" applyAlignment="1" applyProtection="1">
      <alignment horizontal="left"/>
    </xf>
    <xf numFmtId="0" fontId="42" fillId="2" borderId="0" xfId="0" applyFont="1" applyFill="1" applyAlignment="1" applyProtection="1">
      <alignment horizontal="center" vertical="center"/>
    </xf>
    <xf numFmtId="0" fontId="37" fillId="2" borderId="0" xfId="0" applyFont="1" applyFill="1" applyAlignment="1" applyProtection="1">
      <alignment vertical="center"/>
    </xf>
    <xf numFmtId="0" fontId="42" fillId="2" borderId="0" xfId="0" applyFont="1" applyFill="1" applyAlignment="1" applyProtection="1">
      <alignment vertical="center"/>
    </xf>
    <xf numFmtId="10" fontId="5" fillId="4" borderId="9" xfId="0" applyNumberFormat="1" applyFont="1" applyFill="1" applyBorder="1" applyAlignment="1" applyProtection="1">
      <alignment horizontal="right" shrinkToFit="1"/>
    </xf>
    <xf numFmtId="176" fontId="5" fillId="4" borderId="52" xfId="0" applyNumberFormat="1" applyFont="1" applyFill="1" applyBorder="1" applyAlignment="1" applyProtection="1">
      <alignment horizontal="right"/>
    </xf>
    <xf numFmtId="2" fontId="42" fillId="2" borderId="0" xfId="0" applyNumberFormat="1" applyFont="1" applyFill="1" applyBorder="1" applyAlignment="1" applyProtection="1">
      <alignment horizontal="center" vertical="center"/>
    </xf>
    <xf numFmtId="2" fontId="5" fillId="2" borderId="35" xfId="0" applyNumberFormat="1" applyFont="1" applyFill="1" applyBorder="1" applyProtection="1"/>
    <xf numFmtId="173" fontId="5" fillId="4" borderId="9" xfId="0" applyNumberFormat="1" applyFont="1" applyFill="1" applyBorder="1" applyProtection="1"/>
    <xf numFmtId="3" fontId="5" fillId="4" borderId="9" xfId="0" applyNumberFormat="1" applyFont="1" applyFill="1" applyBorder="1" applyProtection="1"/>
    <xf numFmtId="174" fontId="5" fillId="4" borderId="9" xfId="0" applyNumberFormat="1" applyFont="1" applyFill="1" applyBorder="1" applyProtection="1"/>
    <xf numFmtId="177" fontId="5" fillId="4" borderId="9" xfId="0" applyNumberFormat="1" applyFont="1" applyFill="1" applyBorder="1" applyProtection="1"/>
    <xf numFmtId="4" fontId="53" fillId="2" borderId="0" xfId="0" applyNumberFormat="1" applyFont="1" applyFill="1" applyBorder="1" applyAlignment="1" applyProtection="1">
      <alignment horizontal="center" vertical="center"/>
    </xf>
    <xf numFmtId="4" fontId="10" fillId="2" borderId="0" xfId="0" applyNumberFormat="1" applyFont="1" applyFill="1" applyBorder="1" applyAlignment="1" applyProtection="1">
      <alignment vertical="center"/>
    </xf>
    <xf numFmtId="4" fontId="10" fillId="2" borderId="0" xfId="0" applyNumberFormat="1" applyFont="1" applyFill="1" applyBorder="1" applyAlignment="1" applyProtection="1">
      <alignment horizontal="right" vertical="center"/>
    </xf>
    <xf numFmtId="4" fontId="53" fillId="2" borderId="0" xfId="0" applyNumberFormat="1" applyFont="1" applyFill="1" applyBorder="1" applyAlignment="1" applyProtection="1">
      <alignment vertical="center"/>
    </xf>
    <xf numFmtId="0" fontId="12" fillId="2" borderId="0" xfId="0" applyFont="1" applyFill="1" applyAlignment="1" applyProtection="1">
      <alignment vertical="center"/>
    </xf>
    <xf numFmtId="0" fontId="51" fillId="4" borderId="67" xfId="0" applyFont="1" applyFill="1" applyBorder="1" applyAlignment="1" applyProtection="1">
      <alignment vertical="center"/>
    </xf>
    <xf numFmtId="4" fontId="5" fillId="3" borderId="9" xfId="0" quotePrefix="1" applyNumberFormat="1" applyFont="1" applyFill="1" applyBorder="1" applyProtection="1"/>
    <xf numFmtId="0" fontId="91" fillId="4" borderId="0" xfId="0" applyFont="1" applyFill="1" applyProtection="1"/>
    <xf numFmtId="0" fontId="5" fillId="2" borderId="50" xfId="0" applyFont="1" applyFill="1" applyBorder="1" applyAlignment="1" applyProtection="1">
      <alignment vertical="center" wrapText="1"/>
    </xf>
    <xf numFmtId="0" fontId="5" fillId="2" borderId="57" xfId="0" applyFont="1" applyFill="1" applyBorder="1" applyAlignment="1" applyProtection="1">
      <alignment vertical="center" wrapText="1"/>
    </xf>
    <xf numFmtId="0" fontId="0" fillId="0" borderId="51" xfId="0" applyBorder="1" applyAlignment="1" applyProtection="1">
      <alignment vertical="center" wrapText="1"/>
    </xf>
    <xf numFmtId="0" fontId="10" fillId="4" borderId="37" xfId="0" applyFont="1" applyFill="1" applyBorder="1" applyAlignment="1" applyProtection="1">
      <alignment horizontal="left"/>
      <protection locked="0"/>
    </xf>
    <xf numFmtId="0" fontId="0" fillId="4" borderId="24" xfId="0" applyFill="1" applyBorder="1" applyAlignment="1" applyProtection="1">
      <alignment horizontal="left"/>
      <protection locked="0"/>
    </xf>
    <xf numFmtId="0" fontId="2" fillId="4" borderId="37" xfId="2" applyFill="1" applyBorder="1" applyAlignment="1" applyProtection="1">
      <alignment horizontal="left" wrapText="1"/>
      <protection locked="0"/>
    </xf>
    <xf numFmtId="0" fontId="0" fillId="4" borderId="24" xfId="0" applyFill="1" applyBorder="1" applyAlignment="1" applyProtection="1">
      <alignment horizontal="left" wrapText="1"/>
      <protection locked="0"/>
    </xf>
    <xf numFmtId="0" fontId="0" fillId="0" borderId="24" xfId="0" applyBorder="1" applyAlignment="1" applyProtection="1">
      <alignment horizontal="left" wrapText="1"/>
      <protection locked="0"/>
    </xf>
    <xf numFmtId="0" fontId="0" fillId="0" borderId="38" xfId="0" applyBorder="1" applyAlignment="1" applyProtection="1">
      <alignment horizontal="left" wrapText="1"/>
      <protection locked="0"/>
    </xf>
    <xf numFmtId="0" fontId="5" fillId="4" borderId="73" xfId="0" applyFont="1" applyFill="1" applyBorder="1" applyAlignment="1" applyProtection="1">
      <alignment horizontal="left" vertical="top" wrapText="1"/>
      <protection locked="0"/>
    </xf>
    <xf numFmtId="0" fontId="0" fillId="4" borderId="74" xfId="0" applyFill="1" applyBorder="1" applyAlignment="1" applyProtection="1">
      <alignment horizontal="left" vertical="top" wrapText="1"/>
      <protection locked="0"/>
    </xf>
    <xf numFmtId="0" fontId="0" fillId="4" borderId="75" xfId="0" applyFill="1" applyBorder="1" applyAlignment="1" applyProtection="1">
      <alignment horizontal="left" vertical="top" wrapText="1"/>
      <protection locked="0"/>
    </xf>
    <xf numFmtId="0" fontId="0" fillId="4" borderId="76" xfId="0" applyFill="1" applyBorder="1" applyAlignment="1" applyProtection="1">
      <alignment horizontal="left" vertical="top" wrapText="1"/>
      <protection locked="0"/>
    </xf>
    <xf numFmtId="0" fontId="0" fillId="4" borderId="0" xfId="0" applyFill="1" applyAlignment="1" applyProtection="1">
      <alignment horizontal="left" vertical="top" wrapText="1"/>
      <protection locked="0"/>
    </xf>
    <xf numFmtId="0" fontId="0" fillId="4" borderId="48" xfId="0" applyFill="1" applyBorder="1" applyAlignment="1" applyProtection="1">
      <alignment horizontal="left" vertical="top" wrapText="1"/>
      <protection locked="0"/>
    </xf>
    <xf numFmtId="0" fontId="0" fillId="4" borderId="77" xfId="0" applyFill="1" applyBorder="1" applyAlignment="1" applyProtection="1">
      <alignment horizontal="left" vertical="top" wrapText="1"/>
      <protection locked="0"/>
    </xf>
    <xf numFmtId="0" fontId="0" fillId="4" borderId="1" xfId="0" applyFill="1" applyBorder="1" applyAlignment="1" applyProtection="1">
      <alignment horizontal="left" vertical="top" wrapText="1"/>
      <protection locked="0"/>
    </xf>
    <xf numFmtId="0" fontId="0" fillId="4" borderId="49" xfId="0" applyFill="1" applyBorder="1" applyAlignment="1" applyProtection="1">
      <alignment horizontal="left" vertical="top" wrapText="1"/>
      <protection locked="0"/>
    </xf>
    <xf numFmtId="0" fontId="10" fillId="4" borderId="24" xfId="0" applyFont="1" applyFill="1" applyBorder="1" applyAlignment="1" applyProtection="1">
      <alignment horizontal="left"/>
      <protection locked="0"/>
    </xf>
    <xf numFmtId="0" fontId="10" fillId="4" borderId="38" xfId="0" applyFont="1" applyFill="1" applyBorder="1" applyAlignment="1" applyProtection="1">
      <alignment horizontal="left"/>
      <protection locked="0"/>
    </xf>
    <xf numFmtId="0" fontId="28" fillId="5" borderId="72" xfId="0" applyFont="1" applyFill="1" applyBorder="1" applyAlignment="1" applyProtection="1">
      <alignment horizontal="center" vertical="top"/>
    </xf>
    <xf numFmtId="0" fontId="28" fillId="5" borderId="17" xfId="0" applyFont="1" applyFill="1" applyBorder="1" applyAlignment="1" applyProtection="1">
      <alignment horizontal="center" vertical="top"/>
    </xf>
    <xf numFmtId="0" fontId="28" fillId="5" borderId="18" xfId="0" applyFont="1" applyFill="1" applyBorder="1" applyAlignment="1" applyProtection="1">
      <alignment horizontal="center" vertical="top"/>
    </xf>
    <xf numFmtId="0" fontId="36" fillId="2" borderId="0" xfId="0" applyFont="1" applyFill="1" applyBorder="1" applyAlignment="1" applyProtection="1">
      <alignment horizontal="justify" wrapText="1"/>
    </xf>
    <xf numFmtId="0" fontId="0" fillId="0" borderId="0" xfId="0" applyAlignment="1" applyProtection="1">
      <alignment horizontal="justify" wrapText="1"/>
    </xf>
    <xf numFmtId="0" fontId="0" fillId="0" borderId="0" xfId="0" applyAlignment="1" applyProtection="1"/>
    <xf numFmtId="0" fontId="36" fillId="2" borderId="0" xfId="0" applyFont="1" applyFill="1" applyBorder="1" applyAlignment="1" applyProtection="1">
      <alignment horizontal="center" wrapText="1"/>
    </xf>
    <xf numFmtId="0" fontId="0" fillId="0" borderId="0" xfId="0" applyAlignment="1" applyProtection="1">
      <alignment horizontal="center" wrapText="1"/>
    </xf>
    <xf numFmtId="0" fontId="10" fillId="4" borderId="37" xfId="0" applyFont="1" applyFill="1" applyBorder="1" applyAlignment="1" applyProtection="1">
      <alignment horizontal="left" wrapText="1"/>
      <protection locked="0"/>
    </xf>
    <xf numFmtId="1" fontId="10" fillId="4" borderId="37" xfId="0" applyNumberFormat="1" applyFont="1" applyFill="1" applyBorder="1" applyAlignment="1" applyProtection="1">
      <alignment horizontal="left"/>
      <protection locked="0"/>
    </xf>
    <xf numFmtId="0" fontId="0" fillId="4" borderId="38" xfId="0" applyFill="1" applyBorder="1" applyAlignment="1" applyProtection="1">
      <alignment horizontal="left"/>
      <protection locked="0"/>
    </xf>
    <xf numFmtId="0" fontId="21" fillId="2" borderId="36" xfId="0" applyFont="1" applyFill="1" applyBorder="1" applyAlignment="1" applyProtection="1">
      <alignment horizontal="right"/>
    </xf>
    <xf numFmtId="0" fontId="0" fillId="0" borderId="23" xfId="0" applyBorder="1" applyAlignment="1" applyProtection="1"/>
    <xf numFmtId="0" fontId="5" fillId="4" borderId="37" xfId="0" applyFont="1" applyFill="1" applyBorder="1" applyAlignment="1" applyProtection="1">
      <alignment horizontal="left" shrinkToFit="1"/>
      <protection locked="0"/>
    </xf>
    <xf numFmtId="0" fontId="0" fillId="0" borderId="24" xfId="0" applyBorder="1" applyAlignment="1" applyProtection="1">
      <alignment horizontal="left" shrinkToFit="1"/>
      <protection locked="0"/>
    </xf>
    <xf numFmtId="0" fontId="0" fillId="0" borderId="38" xfId="0" applyBorder="1" applyAlignment="1" applyProtection="1">
      <alignment horizontal="left" shrinkToFit="1"/>
      <protection locked="0"/>
    </xf>
    <xf numFmtId="0" fontId="37" fillId="2" borderId="0" xfId="0" applyFont="1" applyFill="1" applyBorder="1" applyAlignment="1" applyProtection="1">
      <alignment horizontal="center"/>
    </xf>
    <xf numFmtId="0" fontId="9" fillId="2" borderId="0" xfId="0" applyFont="1" applyFill="1" applyBorder="1" applyAlignment="1" applyProtection="1">
      <alignment horizontal="left" vertical="center" wrapText="1"/>
    </xf>
    <xf numFmtId="0" fontId="0" fillId="0" borderId="0" xfId="0" applyAlignment="1" applyProtection="1">
      <alignment vertical="center" wrapText="1"/>
    </xf>
    <xf numFmtId="0" fontId="5" fillId="2" borderId="0" xfId="0" applyFont="1" applyFill="1" applyBorder="1" applyAlignment="1" applyProtection="1">
      <alignment horizontal="center"/>
    </xf>
    <xf numFmtId="174" fontId="5" fillId="4" borderId="37" xfId="0" applyNumberFormat="1" applyFont="1" applyFill="1" applyBorder="1" applyAlignment="1" applyProtection="1">
      <alignment wrapText="1"/>
      <protection locked="0"/>
    </xf>
    <xf numFmtId="0" fontId="0" fillId="0" borderId="24" xfId="0" applyBorder="1" applyAlignment="1" applyProtection="1">
      <alignment wrapText="1"/>
      <protection locked="0"/>
    </xf>
    <xf numFmtId="0" fontId="0" fillId="0" borderId="38" xfId="0" applyBorder="1" applyAlignment="1" applyProtection="1">
      <alignment wrapText="1"/>
      <protection locked="0"/>
    </xf>
    <xf numFmtId="4" fontId="53" fillId="2" borderId="0" xfId="0" applyNumberFormat="1" applyFont="1" applyFill="1" applyBorder="1" applyAlignment="1" applyProtection="1">
      <alignment horizontal="center" vertical="center"/>
      <protection hidden="1"/>
    </xf>
    <xf numFmtId="0" fontId="25" fillId="0" borderId="0" xfId="0" applyFont="1" applyAlignment="1" applyProtection="1">
      <alignment vertical="center"/>
      <protection hidden="1"/>
    </xf>
    <xf numFmtId="0" fontId="78" fillId="2" borderId="0" xfId="0" applyFont="1" applyFill="1" applyBorder="1" applyAlignment="1" applyProtection="1">
      <alignment horizontal="left" vertical="top" wrapText="1"/>
    </xf>
    <xf numFmtId="0" fontId="10" fillId="2" borderId="0" xfId="0" applyFont="1" applyFill="1" applyBorder="1" applyAlignment="1" applyProtection="1">
      <alignment horizontal="left" vertical="top" wrapText="1"/>
    </xf>
    <xf numFmtId="0" fontId="10" fillId="2" borderId="0" xfId="0" applyFont="1" applyFill="1" applyBorder="1" applyAlignment="1" applyProtection="1">
      <alignment horizontal="center" vertical="center"/>
    </xf>
    <xf numFmtId="176" fontId="5" fillId="4" borderId="37" xfId="0" applyNumberFormat="1" applyFont="1" applyFill="1" applyBorder="1" applyAlignment="1" applyProtection="1">
      <alignment horizontal="left"/>
      <protection locked="0"/>
    </xf>
    <xf numFmtId="176" fontId="5" fillId="4" borderId="38" xfId="0" applyNumberFormat="1" applyFont="1" applyFill="1" applyBorder="1" applyAlignment="1" applyProtection="1">
      <alignment horizontal="left"/>
      <protection locked="0"/>
    </xf>
    <xf numFmtId="2" fontId="49" fillId="2" borderId="0" xfId="0" applyNumberFormat="1" applyFont="1" applyFill="1" applyBorder="1" applyAlignment="1" applyProtection="1">
      <alignment horizontal="center" vertical="center" wrapText="1"/>
    </xf>
    <xf numFmtId="0" fontId="42" fillId="2" borderId="36" xfId="0" applyFont="1" applyFill="1" applyBorder="1" applyAlignment="1" applyProtection="1">
      <alignment horizontal="center"/>
      <protection hidden="1"/>
    </xf>
    <xf numFmtId="0" fontId="42" fillId="2" borderId="0" xfId="0" applyFont="1" applyFill="1" applyBorder="1" applyAlignment="1" applyProtection="1">
      <alignment horizontal="center"/>
      <protection hidden="1"/>
    </xf>
    <xf numFmtId="0" fontId="5" fillId="2" borderId="0" xfId="0" applyFont="1" applyFill="1" applyAlignment="1">
      <alignment vertical="center" wrapText="1"/>
    </xf>
    <xf numFmtId="0" fontId="0" fillId="0" borderId="0" xfId="0" applyAlignment="1">
      <alignment vertical="center" wrapText="1"/>
    </xf>
    <xf numFmtId="1" fontId="77" fillId="4" borderId="78" xfId="0" applyNumberFormat="1" applyFont="1" applyFill="1" applyBorder="1" applyAlignment="1" applyProtection="1">
      <alignment horizontal="center" vertical="center"/>
    </xf>
    <xf numFmtId="1" fontId="77" fillId="4" borderId="79" xfId="0" applyNumberFormat="1" applyFont="1" applyFill="1" applyBorder="1" applyAlignment="1" applyProtection="1">
      <alignment horizontal="center" vertical="center"/>
    </xf>
    <xf numFmtId="1" fontId="77" fillId="4" borderId="80" xfId="0" applyNumberFormat="1" applyFont="1" applyFill="1" applyBorder="1" applyAlignment="1" applyProtection="1">
      <alignment horizontal="center" vertical="center"/>
    </xf>
    <xf numFmtId="0" fontId="5" fillId="2" borderId="0" xfId="0" applyFont="1" applyFill="1" applyBorder="1" applyAlignment="1" applyProtection="1">
      <alignment horizontal="right" vertical="center"/>
    </xf>
    <xf numFmtId="0" fontId="5" fillId="2" borderId="0" xfId="0" quotePrefix="1" applyFont="1" applyFill="1" applyBorder="1" applyAlignment="1" applyProtection="1">
      <alignment horizontal="center" vertical="center"/>
    </xf>
    <xf numFmtId="0" fontId="5" fillId="2" borderId="0" xfId="0" applyFont="1" applyFill="1" applyBorder="1" applyAlignment="1" applyProtection="1">
      <alignment horizontal="center" vertical="center"/>
    </xf>
    <xf numFmtId="2" fontId="37" fillId="2" borderId="0" xfId="0" applyNumberFormat="1" applyFont="1" applyFill="1" applyBorder="1" applyAlignment="1" applyProtection="1">
      <alignment horizontal="center" vertical="center"/>
      <protection hidden="1"/>
    </xf>
    <xf numFmtId="0" fontId="5" fillId="2" borderId="0" xfId="0" applyFont="1" applyFill="1" applyBorder="1" applyAlignment="1" applyProtection="1"/>
    <xf numFmtId="176" fontId="0" fillId="0" borderId="38" xfId="0" applyNumberFormat="1" applyBorder="1" applyProtection="1">
      <protection locked="0"/>
    </xf>
    <xf numFmtId="0" fontId="5" fillId="2" borderId="0" xfId="0" applyFont="1" applyFill="1" applyBorder="1" applyAlignment="1" applyProtection="1">
      <alignment horizontal="center" wrapText="1"/>
    </xf>
    <xf numFmtId="0" fontId="8" fillId="2" borderId="37" xfId="0" applyFont="1" applyFill="1" applyBorder="1" applyAlignment="1" applyProtection="1">
      <alignment horizontal="center"/>
      <protection hidden="1"/>
    </xf>
    <xf numFmtId="0" fontId="8" fillId="2" borderId="38" xfId="0" applyFont="1" applyFill="1" applyBorder="1" applyAlignment="1" applyProtection="1">
      <alignment horizontal="center"/>
      <protection hidden="1"/>
    </xf>
    <xf numFmtId="0" fontId="10" fillId="4" borderId="37" xfId="0" applyFont="1" applyFill="1" applyBorder="1" applyAlignment="1" applyProtection="1">
      <protection locked="0"/>
    </xf>
    <xf numFmtId="0" fontId="10" fillId="0" borderId="38" xfId="0" applyFont="1" applyBorder="1" applyAlignment="1" applyProtection="1">
      <protection locked="0"/>
    </xf>
    <xf numFmtId="0" fontId="52" fillId="2" borderId="37" xfId="0" applyFont="1" applyFill="1" applyBorder="1" applyAlignment="1" applyProtection="1">
      <alignment horizontal="center"/>
      <protection hidden="1"/>
    </xf>
    <xf numFmtId="0" fontId="52" fillId="2" borderId="38" xfId="0" applyFont="1" applyFill="1" applyBorder="1" applyAlignment="1" applyProtection="1">
      <alignment horizontal="center"/>
      <protection hidden="1"/>
    </xf>
    <xf numFmtId="0" fontId="10" fillId="2" borderId="36" xfId="0" applyFont="1" applyFill="1" applyBorder="1" applyAlignment="1" applyProtection="1">
      <alignment horizontal="left"/>
      <protection hidden="1"/>
    </xf>
    <xf numFmtId="0" fontId="10" fillId="2" borderId="0" xfId="0" applyFont="1" applyFill="1" applyBorder="1" applyAlignment="1" applyProtection="1">
      <alignment horizontal="left"/>
      <protection hidden="1"/>
    </xf>
    <xf numFmtId="0" fontId="10" fillId="2" borderId="81" xfId="0" applyFont="1" applyFill="1" applyBorder="1" applyAlignment="1" applyProtection="1">
      <alignment horizontal="center" vertical="center" wrapText="1"/>
    </xf>
    <xf numFmtId="0" fontId="0" fillId="0" borderId="12" xfId="0" applyBorder="1" applyAlignment="1">
      <alignment horizontal="center" vertical="center" wrapText="1"/>
    </xf>
    <xf numFmtId="0" fontId="33" fillId="5" borderId="19" xfId="0" applyFont="1" applyFill="1" applyBorder="1" applyAlignment="1" applyProtection="1">
      <alignment vertical="top"/>
    </xf>
    <xf numFmtId="0" fontId="33" fillId="5" borderId="30" xfId="0" applyFont="1" applyFill="1" applyBorder="1" applyAlignment="1" applyProtection="1">
      <alignment vertical="top"/>
    </xf>
    <xf numFmtId="0" fontId="73" fillId="5" borderId="30" xfId="0" applyFont="1" applyFill="1" applyBorder="1" applyAlignment="1" applyProtection="1">
      <alignment vertical="top"/>
    </xf>
    <xf numFmtId="0" fontId="73" fillId="5" borderId="31" xfId="0" applyFont="1" applyFill="1" applyBorder="1" applyAlignment="1" applyProtection="1">
      <alignment vertical="top"/>
    </xf>
    <xf numFmtId="0" fontId="73" fillId="5" borderId="20" xfId="0" applyFont="1" applyFill="1" applyBorder="1" applyAlignment="1" applyProtection="1">
      <alignment vertical="top"/>
    </xf>
    <xf numFmtId="0" fontId="73" fillId="5" borderId="7" xfId="0" applyFont="1" applyFill="1" applyBorder="1" applyAlignment="1" applyProtection="1">
      <alignment vertical="top"/>
    </xf>
    <xf numFmtId="0" fontId="73" fillId="5" borderId="8" xfId="0" applyFont="1" applyFill="1" applyBorder="1" applyAlignment="1" applyProtection="1">
      <alignment vertical="top"/>
    </xf>
    <xf numFmtId="0" fontId="14" fillId="2" borderId="4" xfId="0" applyFont="1" applyFill="1" applyBorder="1" applyAlignment="1" applyProtection="1">
      <alignment horizontal="center" vertical="center" wrapText="1"/>
    </xf>
    <xf numFmtId="0" fontId="0" fillId="0" borderId="4" xfId="0" applyBorder="1" applyAlignment="1">
      <alignment horizontal="center" vertical="center" wrapText="1"/>
    </xf>
    <xf numFmtId="0" fontId="14" fillId="2" borderId="3" xfId="0" applyFont="1" applyFill="1" applyBorder="1" applyAlignment="1" applyProtection="1">
      <alignment horizontal="center" vertical="center" wrapText="1"/>
    </xf>
    <xf numFmtId="0" fontId="14" fillId="2" borderId="11" xfId="2" applyFont="1" applyFill="1" applyBorder="1" applyAlignment="1" applyProtection="1">
      <alignment horizontal="center" vertical="center" wrapText="1"/>
    </xf>
    <xf numFmtId="0" fontId="14" fillId="2" borderId="26" xfId="0" applyFont="1" applyFill="1" applyBorder="1" applyAlignment="1" applyProtection="1">
      <alignment horizontal="left" vertical="center"/>
    </xf>
    <xf numFmtId="0" fontId="14" fillId="2" borderId="46" xfId="0" applyFont="1" applyFill="1" applyBorder="1" applyAlignment="1" applyProtection="1">
      <alignment horizontal="left" vertical="center"/>
    </xf>
    <xf numFmtId="0" fontId="79" fillId="2" borderId="83" xfId="0" applyFont="1" applyFill="1" applyBorder="1" applyAlignment="1" applyProtection="1">
      <alignment horizontal="center" vertical="center" wrapText="1"/>
    </xf>
    <xf numFmtId="0" fontId="79" fillId="2" borderId="84" xfId="0" applyFont="1" applyFill="1" applyBorder="1" applyAlignment="1" applyProtection="1">
      <alignment horizontal="center" vertical="center" wrapText="1"/>
    </xf>
    <xf numFmtId="0" fontId="79" fillId="2" borderId="93" xfId="0" applyFont="1" applyFill="1" applyBorder="1" applyAlignment="1" applyProtection="1">
      <alignment horizontal="center" vertical="center" wrapText="1"/>
    </xf>
    <xf numFmtId="0" fontId="79" fillId="2" borderId="94" xfId="0" applyFont="1" applyFill="1" applyBorder="1" applyAlignment="1" applyProtection="1">
      <alignment horizontal="center" vertical="center" wrapText="1"/>
    </xf>
    <xf numFmtId="0" fontId="8" fillId="8" borderId="85" xfId="0" applyFont="1" applyFill="1" applyBorder="1" applyAlignment="1" applyProtection="1">
      <alignment horizontal="center" vertical="center" wrapText="1"/>
    </xf>
    <xf numFmtId="0" fontId="8" fillId="8" borderId="86" xfId="0" applyFont="1" applyFill="1" applyBorder="1" applyAlignment="1" applyProtection="1">
      <alignment horizontal="center" vertical="center" wrapText="1"/>
    </xf>
    <xf numFmtId="0" fontId="8" fillId="8" borderId="87" xfId="0" applyFont="1" applyFill="1" applyBorder="1" applyAlignment="1" applyProtection="1">
      <alignment horizontal="center" vertical="center" wrapText="1"/>
    </xf>
    <xf numFmtId="0" fontId="46" fillId="5" borderId="72" xfId="0" applyFont="1" applyFill="1" applyBorder="1" applyAlignment="1" applyProtection="1">
      <alignment horizontal="center" vertical="top"/>
    </xf>
    <xf numFmtId="0" fontId="46" fillId="5" borderId="17" xfId="0" applyFont="1" applyFill="1" applyBorder="1" applyAlignment="1" applyProtection="1">
      <alignment horizontal="center" vertical="top"/>
    </xf>
    <xf numFmtId="0" fontId="0" fillId="0" borderId="17" xfId="0" applyBorder="1" applyAlignment="1" applyProtection="1"/>
    <xf numFmtId="0" fontId="8" fillId="4" borderId="21" xfId="0" applyFont="1" applyFill="1" applyBorder="1" applyAlignment="1" applyProtection="1">
      <alignment horizontal="center" vertical="center" wrapText="1"/>
    </xf>
    <xf numFmtId="0" fontId="8" fillId="4" borderId="88" xfId="0" applyFont="1" applyFill="1" applyBorder="1" applyAlignment="1" applyProtection="1">
      <alignment horizontal="center" vertical="center" wrapText="1"/>
    </xf>
    <xf numFmtId="0" fontId="8" fillId="4" borderId="89" xfId="0" applyFont="1" applyFill="1" applyBorder="1" applyAlignment="1" applyProtection="1">
      <alignment horizontal="center" vertical="center" wrapText="1"/>
    </xf>
    <xf numFmtId="0" fontId="33" fillId="5" borderId="90" xfId="0" applyFont="1" applyFill="1" applyBorder="1" applyAlignment="1" applyProtection="1">
      <alignment horizontal="center" vertical="center" wrapText="1"/>
    </xf>
    <xf numFmtId="0" fontId="33" fillId="5" borderId="91" xfId="0" applyFont="1" applyFill="1" applyBorder="1" applyAlignment="1" applyProtection="1">
      <alignment horizontal="center" vertical="center" wrapText="1"/>
    </xf>
    <xf numFmtId="0" fontId="34" fillId="5" borderId="91" xfId="0" applyFont="1" applyFill="1" applyBorder="1" applyAlignment="1" applyProtection="1">
      <alignment horizontal="center" vertical="center" wrapText="1"/>
    </xf>
    <xf numFmtId="0" fontId="34" fillId="5" borderId="92" xfId="0" applyFont="1" applyFill="1" applyBorder="1" applyAlignment="1" applyProtection="1">
      <alignment horizontal="center" vertical="center" wrapText="1"/>
    </xf>
    <xf numFmtId="0" fontId="8" fillId="8" borderId="85" xfId="0" applyFont="1" applyFill="1" applyBorder="1" applyAlignment="1" applyProtection="1">
      <alignment horizontal="center" vertical="center"/>
    </xf>
    <xf numFmtId="0" fontId="8" fillId="8" borderId="86" xfId="0" applyFont="1" applyFill="1" applyBorder="1" applyAlignment="1" applyProtection="1">
      <alignment horizontal="center" vertical="center"/>
    </xf>
    <xf numFmtId="0" fontId="8" fillId="8" borderId="87" xfId="0" applyFont="1" applyFill="1" applyBorder="1" applyAlignment="1" applyProtection="1">
      <alignment horizontal="center" vertical="center"/>
    </xf>
    <xf numFmtId="0" fontId="30" fillId="2" borderId="84" xfId="0" applyFont="1" applyFill="1" applyBorder="1" applyAlignment="1" applyProtection="1">
      <alignment horizontal="center" vertical="center" wrapText="1"/>
    </xf>
    <xf numFmtId="0" fontId="0" fillId="0" borderId="84" xfId="0" applyBorder="1" applyAlignment="1" applyProtection="1">
      <alignment horizontal="center" vertical="center"/>
    </xf>
    <xf numFmtId="0" fontId="79" fillId="0" borderId="82" xfId="0" applyFont="1" applyBorder="1" applyAlignment="1" applyProtection="1">
      <alignment horizontal="center" vertical="center" wrapText="1"/>
    </xf>
    <xf numFmtId="0" fontId="79" fillId="0" borderId="58" xfId="0" applyFont="1" applyBorder="1" applyAlignment="1" applyProtection="1">
      <alignment horizontal="center" vertical="center" wrapText="1"/>
    </xf>
    <xf numFmtId="0" fontId="30" fillId="4" borderId="83" xfId="0" applyFont="1" applyFill="1" applyBorder="1" applyAlignment="1" applyProtection="1">
      <alignment horizontal="center" vertical="center" wrapText="1"/>
    </xf>
    <xf numFmtId="0" fontId="70" fillId="4" borderId="57" xfId="0" applyFont="1" applyFill="1" applyBorder="1" applyAlignment="1" applyProtection="1">
      <alignment horizontal="center" vertical="center" wrapText="1"/>
    </xf>
    <xf numFmtId="0" fontId="70" fillId="4" borderId="84" xfId="0" applyFont="1" applyFill="1" applyBorder="1" applyAlignment="1" applyProtection="1">
      <alignment horizontal="center" vertical="center" wrapText="1"/>
    </xf>
    <xf numFmtId="0" fontId="30" fillId="0" borderId="68" xfId="0" applyFont="1" applyFill="1" applyBorder="1" applyAlignment="1" applyProtection="1">
      <alignment horizontal="center" vertical="center" wrapText="1"/>
    </xf>
    <xf numFmtId="0" fontId="30" fillId="0" borderId="58" xfId="0" applyFont="1" applyFill="1" applyBorder="1" applyAlignment="1" applyProtection="1">
      <alignment horizontal="center" vertical="center" wrapText="1"/>
    </xf>
    <xf numFmtId="0" fontId="30" fillId="16" borderId="82" xfId="0" applyFont="1" applyFill="1" applyBorder="1" applyAlignment="1" applyProtection="1">
      <alignment horizontal="center" vertical="center" wrapText="1"/>
    </xf>
    <xf numFmtId="0" fontId="30" fillId="16" borderId="58" xfId="0" applyFont="1" applyFill="1" applyBorder="1" applyAlignment="1" applyProtection="1">
      <alignment horizontal="center" vertical="center" wrapText="1"/>
    </xf>
    <xf numFmtId="0" fontId="33" fillId="5" borderId="19" xfId="0" applyFont="1" applyFill="1" applyBorder="1" applyAlignment="1" applyProtection="1">
      <alignment horizontal="center" vertical="top"/>
    </xf>
    <xf numFmtId="0" fontId="33" fillId="5" borderId="30" xfId="0" applyFont="1" applyFill="1" applyBorder="1" applyAlignment="1" applyProtection="1">
      <alignment horizontal="center" vertical="top"/>
    </xf>
    <xf numFmtId="0" fontId="33" fillId="5" borderId="31" xfId="0" applyFont="1" applyFill="1" applyBorder="1" applyAlignment="1" applyProtection="1">
      <alignment horizontal="center" vertical="top"/>
    </xf>
    <xf numFmtId="0" fontId="33" fillId="5" borderId="20" xfId="0" applyFont="1" applyFill="1" applyBorder="1" applyAlignment="1" applyProtection="1">
      <alignment horizontal="center" vertical="top"/>
    </xf>
    <xf numFmtId="0" fontId="33" fillId="5" borderId="7" xfId="0" applyFont="1" applyFill="1" applyBorder="1" applyAlignment="1" applyProtection="1">
      <alignment horizontal="center" vertical="top"/>
    </xf>
    <xf numFmtId="0" fontId="33" fillId="5" borderId="8" xfId="0" applyFont="1" applyFill="1" applyBorder="1" applyAlignment="1" applyProtection="1">
      <alignment horizontal="center" vertical="top"/>
    </xf>
    <xf numFmtId="0" fontId="10" fillId="0" borderId="21" xfId="0" quotePrefix="1" applyFont="1" applyFill="1" applyBorder="1" applyAlignment="1">
      <alignment horizontal="left" vertical="center" wrapText="1"/>
    </xf>
    <xf numFmtId="0" fontId="10" fillId="0" borderId="88" xfId="0" quotePrefix="1" applyFont="1" applyFill="1" applyBorder="1" applyAlignment="1">
      <alignment horizontal="left" vertical="center" wrapText="1"/>
    </xf>
    <xf numFmtId="0" fontId="10" fillId="0" borderId="89" xfId="0" quotePrefix="1" applyFont="1" applyFill="1" applyBorder="1" applyAlignment="1">
      <alignment horizontal="left" vertical="center" wrapText="1"/>
    </xf>
    <xf numFmtId="0" fontId="10" fillId="0" borderId="21" xfId="0" applyFont="1" applyFill="1" applyBorder="1" applyAlignment="1">
      <alignment horizontal="left" vertical="center" wrapText="1"/>
    </xf>
    <xf numFmtId="0" fontId="10" fillId="0" borderId="88" xfId="0" applyFont="1" applyFill="1" applyBorder="1" applyAlignment="1">
      <alignment horizontal="left" vertical="center" wrapText="1"/>
    </xf>
    <xf numFmtId="0" fontId="10" fillId="0" borderId="89" xfId="0" applyFont="1" applyFill="1" applyBorder="1" applyAlignment="1">
      <alignment horizontal="left" vertical="center" wrapText="1"/>
    </xf>
    <xf numFmtId="0" fontId="10" fillId="0" borderId="21" xfId="0" applyFont="1" applyBorder="1" applyAlignment="1">
      <alignment horizontal="left" vertical="center" wrapText="1"/>
    </xf>
    <xf numFmtId="0" fontId="10" fillId="0" borderId="88" xfId="0" applyFont="1" applyBorder="1" applyAlignment="1">
      <alignment horizontal="left" vertical="center" wrapText="1"/>
    </xf>
    <xf numFmtId="0" fontId="10" fillId="0" borderId="89" xfId="0" applyFont="1" applyBorder="1" applyAlignment="1">
      <alignment horizontal="left" vertical="center" wrapText="1"/>
    </xf>
    <xf numFmtId="0" fontId="10" fillId="4" borderId="21" xfId="0" applyFont="1" applyFill="1" applyBorder="1" applyAlignment="1">
      <alignment horizontal="left" vertical="top" wrapText="1"/>
    </xf>
    <xf numFmtId="0" fontId="10" fillId="4" borderId="88" xfId="0" applyFont="1" applyFill="1" applyBorder="1" applyAlignment="1">
      <alignment horizontal="left" vertical="top" wrapText="1"/>
    </xf>
    <xf numFmtId="0" fontId="10" fillId="4" borderId="89" xfId="0" applyFont="1" applyFill="1" applyBorder="1" applyAlignment="1">
      <alignment horizontal="left" vertical="top" wrapText="1"/>
    </xf>
    <xf numFmtId="0" fontId="10" fillId="4" borderId="21" xfId="0" applyFont="1" applyFill="1" applyBorder="1" applyAlignment="1">
      <alignment horizontal="left" vertical="center" wrapText="1"/>
    </xf>
    <xf numFmtId="0" fontId="10" fillId="4" borderId="88" xfId="0" applyFont="1" applyFill="1" applyBorder="1" applyAlignment="1">
      <alignment horizontal="left" vertical="center" wrapText="1"/>
    </xf>
    <xf numFmtId="0" fontId="10" fillId="4" borderId="89" xfId="0" applyFont="1" applyFill="1" applyBorder="1" applyAlignment="1">
      <alignment horizontal="left" vertical="center" wrapText="1"/>
    </xf>
    <xf numFmtId="0" fontId="10" fillId="4" borderId="21" xfId="0" quotePrefix="1" applyFont="1" applyFill="1" applyBorder="1" applyAlignment="1">
      <alignment horizontal="left" vertical="center" wrapText="1"/>
    </xf>
    <xf numFmtId="0" fontId="10" fillId="4" borderId="88" xfId="0" quotePrefix="1" applyFont="1" applyFill="1" applyBorder="1" applyAlignment="1">
      <alignment horizontal="left" vertical="center" wrapText="1"/>
    </xf>
    <xf numFmtId="0" fontId="10" fillId="4" borderId="89" xfId="0" quotePrefix="1" applyFont="1" applyFill="1" applyBorder="1" applyAlignment="1">
      <alignment horizontal="left" vertical="center" wrapText="1"/>
    </xf>
    <xf numFmtId="0" fontId="28" fillId="5" borderId="72" xfId="0" applyFont="1" applyFill="1" applyBorder="1" applyAlignment="1">
      <alignment horizontal="center" vertical="top"/>
    </xf>
    <xf numFmtId="0" fontId="28" fillId="5" borderId="17" xfId="0" applyFont="1" applyFill="1" applyBorder="1" applyAlignment="1">
      <alignment horizontal="center" vertical="top"/>
    </xf>
    <xf numFmtId="0" fontId="12" fillId="0" borderId="21" xfId="0" applyFont="1" applyBorder="1" applyAlignment="1">
      <alignment horizontal="center" wrapText="1"/>
    </xf>
    <xf numFmtId="0" fontId="12" fillId="0" borderId="88" xfId="0" applyFont="1" applyBorder="1" applyAlignment="1">
      <alignment horizontal="center" wrapText="1"/>
    </xf>
    <xf numFmtId="0" fontId="12" fillId="0" borderId="89" xfId="0" applyFont="1" applyBorder="1" applyAlignment="1">
      <alignment horizontal="center" wrapText="1"/>
    </xf>
    <xf numFmtId="0" fontId="0" fillId="0" borderId="21" xfId="0" applyBorder="1" applyAlignment="1">
      <alignment horizontal="left" vertical="top" wrapText="1"/>
    </xf>
    <xf numFmtId="0" fontId="0" fillId="0" borderId="88" xfId="0" applyBorder="1" applyAlignment="1">
      <alignment horizontal="left" vertical="top" wrapText="1"/>
    </xf>
    <xf numFmtId="0" fontId="0" fillId="0" borderId="89" xfId="0" applyBorder="1" applyAlignment="1">
      <alignment horizontal="left" vertical="top" wrapText="1"/>
    </xf>
    <xf numFmtId="0" fontId="19" fillId="5" borderId="95" xfId="0" applyFont="1" applyFill="1" applyBorder="1" applyAlignment="1">
      <alignment horizontal="left" vertical="center"/>
    </xf>
    <xf numFmtId="0" fontId="19" fillId="5" borderId="55" xfId="0" applyFont="1" applyFill="1" applyBorder="1" applyAlignment="1">
      <alignment horizontal="left" vertical="center"/>
    </xf>
    <xf numFmtId="0" fontId="19" fillId="5" borderId="56" xfId="0" applyFont="1" applyFill="1" applyBorder="1" applyAlignment="1">
      <alignment horizontal="left" vertical="center"/>
    </xf>
    <xf numFmtId="0" fontId="5" fillId="0" borderId="68" xfId="0" applyFont="1" applyBorder="1" applyAlignment="1">
      <alignment horizontal="center"/>
    </xf>
    <xf numFmtId="0" fontId="5" fillId="0" borderId="66" xfId="0" applyFont="1" applyBorder="1" applyAlignment="1">
      <alignment horizontal="center"/>
    </xf>
    <xf numFmtId="0" fontId="5" fillId="0" borderId="69" xfId="0" applyFont="1" applyBorder="1" applyAlignment="1">
      <alignment horizontal="center"/>
    </xf>
    <xf numFmtId="0" fontId="40" fillId="0" borderId="1" xfId="0" applyFont="1" applyBorder="1" applyAlignment="1" applyProtection="1">
      <alignment horizontal="left"/>
      <protection hidden="1"/>
    </xf>
    <xf numFmtId="0" fontId="10" fillId="0" borderId="21" xfId="0" quotePrefix="1" applyFont="1" applyBorder="1" applyAlignment="1">
      <alignment horizontal="left" vertical="top" wrapText="1"/>
    </xf>
    <xf numFmtId="0" fontId="10" fillId="0" borderId="88" xfId="0" quotePrefix="1" applyFont="1" applyBorder="1" applyAlignment="1">
      <alignment horizontal="left" vertical="top" wrapText="1"/>
    </xf>
    <xf numFmtId="0" fontId="10" fillId="0" borderId="89" xfId="0" quotePrefix="1" applyFont="1" applyBorder="1" applyAlignment="1">
      <alignment horizontal="left" vertical="top" wrapText="1"/>
    </xf>
    <xf numFmtId="0" fontId="10" fillId="0" borderId="28" xfId="0" applyFont="1" applyFill="1" applyBorder="1" applyAlignment="1">
      <alignment horizontal="left" vertical="center" wrapText="1"/>
    </xf>
    <xf numFmtId="0" fontId="10" fillId="0" borderId="29" xfId="0" applyFont="1" applyFill="1" applyBorder="1" applyAlignment="1">
      <alignment horizontal="left" vertical="center" wrapText="1"/>
    </xf>
    <xf numFmtId="0" fontId="10" fillId="0" borderId="56" xfId="0" applyFont="1" applyFill="1" applyBorder="1" applyAlignment="1">
      <alignment horizontal="left" vertical="center" wrapText="1"/>
    </xf>
    <xf numFmtId="0" fontId="19" fillId="5" borderId="68" xfId="0" applyFont="1" applyFill="1" applyBorder="1" applyAlignment="1">
      <alignment horizontal="left" vertical="center" wrapText="1"/>
    </xf>
    <xf numFmtId="0" fontId="0" fillId="0" borderId="69" xfId="0" applyBorder="1" applyAlignment="1">
      <alignment horizontal="left" vertical="center" wrapText="1"/>
    </xf>
    <xf numFmtId="0" fontId="26" fillId="4" borderId="21" xfId="0" applyFont="1" applyFill="1" applyBorder="1" applyAlignment="1">
      <alignment horizontal="left" vertical="center"/>
    </xf>
    <xf numFmtId="0" fontId="26" fillId="4" borderId="88" xfId="0" applyFont="1" applyFill="1" applyBorder="1" applyAlignment="1">
      <alignment horizontal="left" vertical="center"/>
    </xf>
    <xf numFmtId="0" fontId="26" fillId="4" borderId="89" xfId="0" applyFont="1" applyFill="1" applyBorder="1" applyAlignment="1">
      <alignment horizontal="left" vertical="center"/>
    </xf>
    <xf numFmtId="0" fontId="0" fillId="0" borderId="27" xfId="0" applyBorder="1" applyAlignment="1" applyProtection="1">
      <alignment horizontal="center"/>
      <protection hidden="1"/>
    </xf>
    <xf numFmtId="0" fontId="0" fillId="0" borderId="0" xfId="0" applyBorder="1" applyAlignment="1" applyProtection="1">
      <alignment horizontal="center"/>
      <protection hidden="1"/>
    </xf>
    <xf numFmtId="0" fontId="10" fillId="4" borderId="25" xfId="0" applyFont="1" applyFill="1" applyBorder="1" applyAlignment="1">
      <alignment vertical="top" wrapText="1"/>
    </xf>
    <xf numFmtId="0" fontId="10" fillId="4" borderId="26" xfId="0" applyFont="1" applyFill="1" applyBorder="1" applyAlignment="1">
      <alignment vertical="top" wrapText="1"/>
    </xf>
    <xf numFmtId="0" fontId="10" fillId="4" borderId="95" xfId="0" applyFont="1" applyFill="1" applyBorder="1" applyAlignment="1">
      <alignment vertical="top" wrapText="1"/>
    </xf>
    <xf numFmtId="0" fontId="10" fillId="4" borderId="0" xfId="0" applyFont="1" applyFill="1" applyBorder="1" applyAlignment="1">
      <alignment horizontal="center" vertical="top"/>
    </xf>
    <xf numFmtId="0" fontId="40" fillId="4" borderId="83" xfId="0" applyFont="1" applyFill="1" applyBorder="1" applyAlignment="1" applyProtection="1">
      <alignment horizontal="center" vertical="center"/>
      <protection locked="0" hidden="1"/>
    </xf>
    <xf numFmtId="0" fontId="40" fillId="4" borderId="51" xfId="0" applyFont="1" applyFill="1" applyBorder="1" applyAlignment="1" applyProtection="1">
      <alignment horizontal="center" vertical="center"/>
      <protection locked="0" hidden="1"/>
    </xf>
    <xf numFmtId="0" fontId="26" fillId="4" borderId="25" xfId="0" applyFont="1" applyFill="1" applyBorder="1" applyAlignment="1">
      <alignment horizontal="left" vertical="center"/>
    </xf>
    <xf numFmtId="0" fontId="26" fillId="4" borderId="28" xfId="0" applyFont="1" applyFill="1" applyBorder="1" applyAlignment="1">
      <alignment horizontal="left" vertical="center"/>
    </xf>
    <xf numFmtId="0" fontId="10" fillId="0" borderId="25" xfId="0" applyFont="1" applyFill="1" applyBorder="1" applyAlignment="1">
      <alignment horizontal="left" vertical="center" wrapText="1"/>
    </xf>
    <xf numFmtId="0" fontId="10" fillId="0" borderId="26" xfId="0" applyFont="1" applyFill="1" applyBorder="1" applyAlignment="1">
      <alignment horizontal="left" vertical="center" wrapText="1"/>
    </xf>
    <xf numFmtId="0" fontId="10" fillId="0" borderId="95" xfId="0" applyFont="1" applyFill="1" applyBorder="1" applyAlignment="1">
      <alignment horizontal="left" vertical="center" wrapText="1"/>
    </xf>
    <xf numFmtId="0" fontId="33" fillId="5" borderId="72" xfId="0" applyFont="1" applyFill="1" applyBorder="1" applyAlignment="1">
      <alignment horizontal="center" vertical="top"/>
    </xf>
    <xf numFmtId="0" fontId="33" fillId="5" borderId="17" xfId="0" applyFont="1" applyFill="1" applyBorder="1" applyAlignment="1">
      <alignment horizontal="center" vertical="top"/>
    </xf>
    <xf numFmtId="0" fontId="73" fillId="5" borderId="17" xfId="0" applyFont="1" applyFill="1" applyBorder="1" applyAlignment="1">
      <alignment horizontal="center" vertical="top"/>
    </xf>
    <xf numFmtId="0" fontId="74" fillId="0" borderId="17" xfId="0" applyFont="1" applyBorder="1" applyAlignment="1"/>
    <xf numFmtId="0" fontId="25" fillId="0" borderId="50" xfId="0" applyFont="1" applyBorder="1" applyAlignment="1">
      <alignment horizontal="center" vertical="center" wrapText="1"/>
    </xf>
    <xf numFmtId="0" fontId="25" fillId="0" borderId="57" xfId="0" applyFont="1" applyBorder="1" applyAlignment="1">
      <alignment horizontal="center" vertical="center" wrapText="1"/>
    </xf>
    <xf numFmtId="0" fontId="25" fillId="0" borderId="51" xfId="0" applyFont="1" applyBorder="1" applyAlignment="1">
      <alignment horizontal="center" vertical="center" wrapText="1"/>
    </xf>
    <xf numFmtId="0" fontId="25" fillId="0" borderId="84" xfId="0" applyFont="1" applyBorder="1" applyAlignment="1">
      <alignment horizontal="center" vertical="center" wrapText="1"/>
    </xf>
    <xf numFmtId="0" fontId="66" fillId="0" borderId="117" xfId="0" applyFont="1" applyBorder="1" applyAlignment="1">
      <alignment horizontal="center" vertical="center"/>
    </xf>
    <xf numFmtId="0" fontId="66" fillId="0" borderId="118" xfId="0" applyFont="1" applyBorder="1" applyAlignment="1">
      <alignment horizontal="center" vertical="center"/>
    </xf>
    <xf numFmtId="0" fontId="66" fillId="0" borderId="119" xfId="0" applyFont="1" applyBorder="1" applyAlignment="1">
      <alignment horizontal="center" vertical="center"/>
    </xf>
    <xf numFmtId="0" fontId="25" fillId="0" borderId="116" xfId="0" applyFont="1" applyBorder="1" applyAlignment="1">
      <alignment horizontal="center" vertical="center" wrapText="1"/>
    </xf>
    <xf numFmtId="0" fontId="25" fillId="0" borderId="107" xfId="0" applyFont="1" applyBorder="1" applyAlignment="1">
      <alignment horizontal="center" vertical="center" wrapText="1"/>
    </xf>
    <xf numFmtId="0" fontId="25" fillId="0" borderId="108" xfId="0" applyFont="1" applyBorder="1" applyAlignment="1">
      <alignment horizontal="center" vertical="center" wrapText="1"/>
    </xf>
    <xf numFmtId="0" fontId="40" fillId="0" borderId="114" xfId="0" applyFont="1" applyBorder="1" applyAlignment="1">
      <alignment horizontal="center" vertical="center"/>
    </xf>
    <xf numFmtId="0" fontId="40" fillId="0" borderId="110" xfId="0" applyFont="1" applyBorder="1" applyAlignment="1">
      <alignment horizontal="center" vertical="center"/>
    </xf>
    <xf numFmtId="0" fontId="40" fillId="0" borderId="111" xfId="0" applyFont="1" applyBorder="1" applyAlignment="1">
      <alignment horizontal="center" vertical="center"/>
    </xf>
    <xf numFmtId="0" fontId="25" fillId="17" borderId="113" xfId="0" applyFont="1" applyFill="1" applyBorder="1" applyAlignment="1">
      <alignment horizontal="center" vertical="center" wrapText="1"/>
    </xf>
    <xf numFmtId="0" fontId="25" fillId="17" borderId="57" xfId="0" applyFont="1" applyFill="1" applyBorder="1" applyAlignment="1">
      <alignment horizontal="center" vertical="center" wrapText="1"/>
    </xf>
    <xf numFmtId="0" fontId="25" fillId="17" borderId="51" xfId="0" applyFont="1" applyFill="1" applyBorder="1" applyAlignment="1">
      <alignment horizontal="center" vertical="center" wrapText="1"/>
    </xf>
    <xf numFmtId="0" fontId="25" fillId="4" borderId="50" xfId="0" applyFont="1" applyFill="1" applyBorder="1" applyAlignment="1">
      <alignment horizontal="center" vertical="center" wrapText="1"/>
    </xf>
    <xf numFmtId="0" fontId="25" fillId="4" borderId="57" xfId="0" applyFont="1" applyFill="1" applyBorder="1" applyAlignment="1">
      <alignment horizontal="center" vertical="center" wrapText="1"/>
    </xf>
    <xf numFmtId="0" fontId="25" fillId="4" borderId="51" xfId="0" applyFont="1" applyFill="1" applyBorder="1" applyAlignment="1">
      <alignment horizontal="center" vertical="center" wrapText="1"/>
    </xf>
    <xf numFmtId="0" fontId="25" fillId="17" borderId="50" xfId="0" applyFont="1" applyFill="1" applyBorder="1" applyAlignment="1">
      <alignment horizontal="center" vertical="center" wrapText="1"/>
    </xf>
    <xf numFmtId="0" fontId="67" fillId="2" borderId="106" xfId="0" applyFont="1" applyFill="1" applyBorder="1" applyAlignment="1">
      <alignment horizontal="center" vertical="center"/>
    </xf>
    <xf numFmtId="0" fontId="67" fillId="2" borderId="107" xfId="0" applyFont="1" applyFill="1" applyBorder="1" applyAlignment="1">
      <alignment horizontal="center" vertical="center"/>
    </xf>
    <xf numFmtId="0" fontId="67" fillId="2" borderId="108" xfId="0" applyFont="1" applyFill="1" applyBorder="1" applyAlignment="1">
      <alignment horizontal="center" vertical="center"/>
    </xf>
    <xf numFmtId="0" fontId="40" fillId="0" borderId="109" xfId="0" applyFont="1" applyBorder="1" applyAlignment="1">
      <alignment horizontal="center" vertical="center"/>
    </xf>
    <xf numFmtId="0" fontId="25" fillId="0" borderId="106" xfId="0" applyFont="1" applyBorder="1" applyAlignment="1">
      <alignment horizontal="center" vertical="center" wrapText="1"/>
    </xf>
    <xf numFmtId="0" fontId="25" fillId="0" borderId="112" xfId="0" applyFont="1" applyBorder="1" applyAlignment="1">
      <alignment horizontal="center" vertical="center" wrapText="1"/>
    </xf>
    <xf numFmtId="0" fontId="25" fillId="0" borderId="113" xfId="0" applyFont="1" applyBorder="1" applyAlignment="1">
      <alignment horizontal="center" vertical="center" wrapText="1"/>
    </xf>
    <xf numFmtId="0" fontId="40" fillId="0" borderId="115" xfId="0" applyFont="1" applyBorder="1" applyAlignment="1">
      <alignment horizontal="center" vertical="center"/>
    </xf>
    <xf numFmtId="0" fontId="33" fillId="5" borderId="21" xfId="0" applyFont="1" applyFill="1" applyBorder="1" applyAlignment="1">
      <alignment horizontal="center" vertical="center" wrapText="1"/>
    </xf>
    <xf numFmtId="0" fontId="33" fillId="5" borderId="88" xfId="0" applyFont="1" applyFill="1" applyBorder="1" applyAlignment="1">
      <alignment horizontal="center" vertical="center" wrapText="1"/>
    </xf>
    <xf numFmtId="0" fontId="33" fillId="5" borderId="89" xfId="0" applyFont="1" applyFill="1" applyBorder="1" applyAlignment="1">
      <alignment horizontal="center" vertical="center" wrapText="1"/>
    </xf>
    <xf numFmtId="0" fontId="25" fillId="17" borderId="100" xfId="0" applyFont="1" applyFill="1" applyBorder="1" applyAlignment="1">
      <alignment horizontal="center" vertical="center" wrapText="1"/>
    </xf>
    <xf numFmtId="0" fontId="25" fillId="17" borderId="101" xfId="0" applyFont="1" applyFill="1" applyBorder="1" applyAlignment="1">
      <alignment horizontal="center" vertical="center" wrapText="1"/>
    </xf>
    <xf numFmtId="0" fontId="25" fillId="17" borderId="102" xfId="0" applyFont="1" applyFill="1" applyBorder="1" applyAlignment="1">
      <alignment horizontal="center" vertical="center" wrapText="1"/>
    </xf>
    <xf numFmtId="0" fontId="25" fillId="17" borderId="103" xfId="0" applyFont="1" applyFill="1" applyBorder="1" applyAlignment="1">
      <alignment horizontal="center" vertical="center" wrapText="1"/>
    </xf>
    <xf numFmtId="0" fontId="25" fillId="0" borderId="103" xfId="0" applyFont="1" applyBorder="1" applyAlignment="1">
      <alignment horizontal="center" vertical="center" wrapText="1"/>
    </xf>
    <xf numFmtId="0" fontId="25" fillId="0" borderId="101" xfId="0" applyFont="1" applyBorder="1" applyAlignment="1">
      <alignment horizontal="center" vertical="center" wrapText="1"/>
    </xf>
    <xf numFmtId="0" fontId="25" fillId="0" borderId="104" xfId="0" applyFont="1" applyBorder="1" applyAlignment="1">
      <alignment horizontal="center" vertical="center" wrapText="1"/>
    </xf>
    <xf numFmtId="0" fontId="12" fillId="4" borderId="21" xfId="0" applyFont="1" applyFill="1" applyBorder="1" applyAlignment="1">
      <alignment horizontal="left" wrapText="1"/>
    </xf>
    <xf numFmtId="0" fontId="12" fillId="4" borderId="88" xfId="0" applyFont="1" applyFill="1" applyBorder="1" applyAlignment="1">
      <alignment horizontal="left" wrapText="1"/>
    </xf>
    <xf numFmtId="0" fontId="12" fillId="4" borderId="89" xfId="0" applyFont="1" applyFill="1" applyBorder="1" applyAlignment="1">
      <alignment horizontal="left" wrapText="1"/>
    </xf>
    <xf numFmtId="0" fontId="69" fillId="0" borderId="105" xfId="0" applyFont="1" applyBorder="1" applyAlignment="1">
      <alignment horizontal="center" vertical="center"/>
    </xf>
    <xf numFmtId="0" fontId="69" fillId="0" borderId="91" xfId="0" applyFont="1" applyBorder="1" applyAlignment="1">
      <alignment horizontal="center" vertical="center"/>
    </xf>
    <xf numFmtId="0" fontId="69" fillId="0" borderId="92" xfId="0" applyFont="1" applyBorder="1" applyAlignment="1">
      <alignment horizontal="center" vertical="center"/>
    </xf>
    <xf numFmtId="0" fontId="8" fillId="2" borderId="21" xfId="0" applyFont="1" applyFill="1" applyBorder="1" applyAlignment="1">
      <alignment horizontal="center" vertical="center"/>
    </xf>
    <xf numFmtId="0" fontId="8" fillId="2" borderId="88" xfId="0" applyFont="1" applyFill="1" applyBorder="1" applyAlignment="1">
      <alignment horizontal="center" vertical="center"/>
    </xf>
    <xf numFmtId="0" fontId="8" fillId="2" borderId="89" xfId="0" applyFont="1" applyFill="1" applyBorder="1" applyAlignment="1">
      <alignment horizontal="center" vertical="center"/>
    </xf>
    <xf numFmtId="0" fontId="5" fillId="4" borderId="98" xfId="0" applyFont="1" applyFill="1" applyBorder="1" applyAlignment="1">
      <alignment horizontal="left" vertical="top" wrapText="1"/>
    </xf>
    <xf numFmtId="0" fontId="5" fillId="4" borderId="86" xfId="0" applyFont="1" applyFill="1" applyBorder="1" applyAlignment="1">
      <alignment horizontal="left" vertical="top" wrapText="1"/>
    </xf>
    <xf numFmtId="0" fontId="5" fillId="4" borderId="99" xfId="0" applyFont="1" applyFill="1" applyBorder="1" applyAlignment="1">
      <alignment horizontal="left" vertical="top" wrapText="1"/>
    </xf>
    <xf numFmtId="0" fontId="5" fillId="4" borderId="87" xfId="0" applyFont="1" applyFill="1" applyBorder="1" applyAlignment="1">
      <alignment horizontal="left" vertical="top" wrapText="1"/>
    </xf>
    <xf numFmtId="0" fontId="5" fillId="4" borderId="50" xfId="0" applyFont="1" applyFill="1" applyBorder="1" applyAlignment="1">
      <alignment horizontal="left" vertical="top" wrapText="1"/>
    </xf>
    <xf numFmtId="0" fontId="5" fillId="4" borderId="57" xfId="0" applyFont="1" applyFill="1" applyBorder="1" applyAlignment="1">
      <alignment horizontal="left" vertical="top" wrapText="1"/>
    </xf>
    <xf numFmtId="0" fontId="5" fillId="4" borderId="84" xfId="0" applyFont="1" applyFill="1" applyBorder="1" applyAlignment="1">
      <alignment horizontal="left" vertical="top" wrapText="1"/>
    </xf>
    <xf numFmtId="0" fontId="5" fillId="4" borderId="96" xfId="0" applyFont="1" applyFill="1" applyBorder="1" applyAlignment="1">
      <alignment horizontal="left" vertical="top" wrapText="1"/>
    </xf>
    <xf numFmtId="0" fontId="5" fillId="4" borderId="97" xfId="0" applyFont="1" applyFill="1" applyBorder="1" applyAlignment="1">
      <alignment horizontal="left" vertical="top" wrapText="1"/>
    </xf>
    <xf numFmtId="0" fontId="5" fillId="4" borderId="94" xfId="0" applyFont="1" applyFill="1" applyBorder="1" applyAlignment="1">
      <alignment horizontal="left" vertical="top" wrapText="1"/>
    </xf>
    <xf numFmtId="0" fontId="5" fillId="4" borderId="51" xfId="0" applyFont="1" applyFill="1" applyBorder="1" applyAlignment="1">
      <alignment horizontal="left" vertical="top" wrapText="1"/>
    </xf>
    <xf numFmtId="176" fontId="5" fillId="4" borderId="37" xfId="0" applyNumberFormat="1" applyFont="1" applyFill="1" applyBorder="1" applyAlignment="1" applyProtection="1">
      <alignment horizontal="left"/>
    </xf>
    <xf numFmtId="176" fontId="5" fillId="4" borderId="38" xfId="0" applyNumberFormat="1" applyFont="1" applyFill="1" applyBorder="1" applyAlignment="1" applyProtection="1">
      <alignment horizontal="left"/>
    </xf>
    <xf numFmtId="176" fontId="0" fillId="0" borderId="38" xfId="0" applyNumberFormat="1" applyBorder="1" applyProtection="1"/>
    <xf numFmtId="0" fontId="8" fillId="2" borderId="37" xfId="0" applyFont="1" applyFill="1" applyBorder="1" applyAlignment="1" applyProtection="1">
      <alignment horizontal="center"/>
    </xf>
    <xf numFmtId="0" fontId="8" fillId="2" borderId="38" xfId="0" applyFont="1" applyFill="1" applyBorder="1" applyAlignment="1" applyProtection="1">
      <alignment horizontal="center"/>
    </xf>
    <xf numFmtId="0" fontId="10" fillId="4" borderId="37" xfId="0" applyFont="1" applyFill="1" applyBorder="1" applyAlignment="1" applyProtection="1"/>
    <xf numFmtId="0" fontId="10" fillId="0" borderId="38" xfId="0" applyFont="1" applyBorder="1" applyAlignment="1" applyProtection="1"/>
    <xf numFmtId="0" fontId="52" fillId="2" borderId="37" xfId="0" applyFont="1" applyFill="1" applyBorder="1" applyAlignment="1" applyProtection="1">
      <alignment horizontal="center"/>
    </xf>
    <xf numFmtId="0" fontId="52" fillId="2" borderId="38" xfId="0" applyFont="1" applyFill="1" applyBorder="1" applyAlignment="1" applyProtection="1">
      <alignment horizontal="center"/>
    </xf>
    <xf numFmtId="0" fontId="10" fillId="2" borderId="36" xfId="0" applyFont="1" applyFill="1" applyBorder="1" applyAlignment="1" applyProtection="1">
      <alignment horizontal="left"/>
    </xf>
    <xf numFmtId="0" fontId="10" fillId="2" borderId="0" xfId="0" applyFont="1" applyFill="1" applyBorder="1" applyAlignment="1" applyProtection="1">
      <alignment horizontal="left"/>
    </xf>
    <xf numFmtId="2" fontId="37" fillId="2" borderId="0" xfId="0" applyNumberFormat="1" applyFont="1" applyFill="1" applyBorder="1" applyAlignment="1" applyProtection="1">
      <alignment horizontal="center" vertical="center"/>
    </xf>
    <xf numFmtId="0" fontId="42" fillId="2" borderId="36" xfId="0" applyFont="1" applyFill="1" applyBorder="1" applyAlignment="1" applyProtection="1">
      <alignment horizontal="center"/>
    </xf>
    <xf numFmtId="0" fontId="42" fillId="2" borderId="0" xfId="0" applyFont="1" applyFill="1" applyBorder="1" applyAlignment="1" applyProtection="1">
      <alignment horizontal="center"/>
    </xf>
    <xf numFmtId="174" fontId="5" fillId="4" borderId="37" xfId="0" applyNumberFormat="1" applyFont="1" applyFill="1" applyBorder="1" applyAlignment="1" applyProtection="1">
      <alignment wrapText="1"/>
    </xf>
    <xf numFmtId="0" fontId="0" fillId="0" borderId="24" xfId="0" applyBorder="1" applyAlignment="1" applyProtection="1">
      <alignment wrapText="1"/>
    </xf>
    <xf numFmtId="0" fontId="0" fillId="0" borderId="38" xfId="0" applyBorder="1" applyAlignment="1" applyProtection="1">
      <alignment wrapText="1"/>
    </xf>
    <xf numFmtId="4" fontId="53" fillId="2" borderId="0" xfId="0" applyNumberFormat="1" applyFont="1" applyFill="1" applyBorder="1" applyAlignment="1" applyProtection="1">
      <alignment horizontal="center" vertical="center"/>
    </xf>
    <xf numFmtId="0" fontId="25" fillId="0" borderId="0" xfId="0" applyFont="1" applyAlignment="1" applyProtection="1">
      <alignment vertical="center"/>
    </xf>
    <xf numFmtId="0" fontId="5" fillId="2" borderId="0" xfId="0" applyFont="1" applyFill="1" applyAlignment="1" applyProtection="1">
      <alignment vertical="center" wrapText="1"/>
    </xf>
    <xf numFmtId="0" fontId="35" fillId="5" borderId="26" xfId="0" quotePrefix="1" applyFont="1" applyFill="1" applyBorder="1" applyAlignment="1">
      <alignment horizontal="left" vertical="top" wrapText="1"/>
    </xf>
    <xf numFmtId="0" fontId="35" fillId="5" borderId="95" xfId="0" quotePrefix="1" applyFont="1" applyFill="1" applyBorder="1" applyAlignment="1">
      <alignment horizontal="left" vertical="top" wrapText="1"/>
    </xf>
    <xf numFmtId="0" fontId="35" fillId="5" borderId="29" xfId="0" quotePrefix="1" applyFont="1" applyFill="1" applyBorder="1" applyAlignment="1">
      <alignment horizontal="left" vertical="top" wrapText="1"/>
    </xf>
    <xf numFmtId="0" fontId="35" fillId="5" borderId="56" xfId="0" quotePrefix="1" applyFont="1" applyFill="1" applyBorder="1" applyAlignment="1">
      <alignment horizontal="left" vertical="top" wrapText="1"/>
    </xf>
  </cellXfs>
  <cellStyles count="3">
    <cellStyle name="Comma" xfId="1" builtinId="3"/>
    <cellStyle name="Hyperlink" xfId="2" builtinId="8"/>
    <cellStyle name="Normal" xfId="0" builtinId="0"/>
  </cellStyles>
  <dxfs count="157">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ill>
        <patternFill>
          <bgColor indexed="10"/>
        </patternFill>
      </fill>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auto="1"/>
      </font>
      <fill>
        <patternFill>
          <bgColor indexed="10"/>
        </patternFill>
      </fill>
    </dxf>
    <dxf>
      <font>
        <condense val="0"/>
        <extend val="0"/>
        <color indexed="9"/>
      </font>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2"/>
      </font>
    </dxf>
    <dxf>
      <font>
        <condense val="0"/>
        <extend val="0"/>
        <color indexed="12"/>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2"/>
      </font>
    </dxf>
    <dxf>
      <font>
        <condense val="0"/>
        <extend val="0"/>
        <color indexed="12"/>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24"/>
      </font>
    </dxf>
    <dxf>
      <font>
        <condense val="0"/>
        <extend val="0"/>
        <color indexed="9"/>
      </font>
    </dxf>
    <dxf>
      <font>
        <condense val="0"/>
        <extend val="0"/>
        <color indexed="10"/>
      </font>
    </dxf>
    <dxf>
      <font>
        <condense val="0"/>
        <extend val="0"/>
        <color indexed="10"/>
      </font>
    </dxf>
    <dxf>
      <font>
        <condense val="0"/>
        <extend val="0"/>
        <color indexed="24"/>
      </font>
    </dxf>
    <dxf>
      <font>
        <condense val="0"/>
        <extend val="0"/>
        <color indexed="9"/>
      </font>
    </dxf>
    <dxf>
      <font>
        <condense val="0"/>
        <extend val="0"/>
        <color indexed="9"/>
      </font>
    </dxf>
    <dxf>
      <fill>
        <patternFill>
          <bgColor indexed="10"/>
        </patternFill>
      </fill>
    </dxf>
    <dxf>
      <fill>
        <patternFill>
          <bgColor indexed="10"/>
        </patternFill>
      </fill>
    </dxf>
    <dxf>
      <font>
        <b/>
        <i val="0"/>
        <condense val="0"/>
        <extend val="0"/>
      </font>
    </dxf>
    <dxf>
      <font>
        <condense val="0"/>
        <extend val="0"/>
        <color auto="1"/>
      </font>
    </dxf>
    <dxf>
      <font>
        <condense val="0"/>
        <extend val="0"/>
        <color indexed="10"/>
      </font>
      <fill>
        <patternFill>
          <bgColor indexed="9"/>
        </patternFill>
      </fill>
      <border>
        <left/>
        <right/>
        <top style="thin">
          <color indexed="10"/>
        </top>
        <bottom style="thin">
          <color indexed="10"/>
        </bottom>
      </border>
    </dxf>
    <dxf>
      <font>
        <condense val="0"/>
        <extend val="0"/>
        <color indexed="10"/>
      </font>
      <fill>
        <patternFill>
          <bgColor indexed="9"/>
        </patternFill>
      </fill>
      <border>
        <left/>
        <right/>
        <top style="thin">
          <color indexed="10"/>
        </top>
        <bottom style="thin">
          <color indexed="10"/>
        </bottom>
      </border>
    </dxf>
    <dxf>
      <font>
        <condense val="0"/>
        <extend val="0"/>
        <color indexed="10"/>
      </font>
      <fill>
        <patternFill>
          <bgColor indexed="9"/>
        </patternFill>
      </fill>
      <border>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ont>
        <condense val="0"/>
        <extend val="0"/>
        <color indexed="10"/>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ill>
        <patternFill>
          <bgColor indexed="10"/>
        </patternFill>
      </fill>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auto="1"/>
      </font>
      <fill>
        <patternFill>
          <bgColor indexed="10"/>
        </patternFill>
      </fill>
    </dxf>
    <dxf>
      <font>
        <condense val="0"/>
        <extend val="0"/>
        <color indexed="9"/>
      </font>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2"/>
      </font>
    </dxf>
    <dxf>
      <font>
        <condense val="0"/>
        <extend val="0"/>
        <color indexed="12"/>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2"/>
      </font>
    </dxf>
    <dxf>
      <font>
        <condense val="0"/>
        <extend val="0"/>
        <color indexed="12"/>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24"/>
      </font>
    </dxf>
    <dxf>
      <font>
        <condense val="0"/>
        <extend val="0"/>
        <color indexed="9"/>
      </font>
    </dxf>
    <dxf>
      <font>
        <condense val="0"/>
        <extend val="0"/>
        <color indexed="10"/>
      </font>
    </dxf>
    <dxf>
      <font>
        <condense val="0"/>
        <extend val="0"/>
        <color indexed="10"/>
      </font>
    </dxf>
    <dxf>
      <font>
        <condense val="0"/>
        <extend val="0"/>
        <color indexed="24"/>
      </font>
    </dxf>
    <dxf>
      <font>
        <condense val="0"/>
        <extend val="0"/>
        <color indexed="9"/>
      </font>
    </dxf>
    <dxf>
      <font>
        <condense val="0"/>
        <extend val="0"/>
        <color indexed="9"/>
      </font>
    </dxf>
    <dxf>
      <fill>
        <patternFill>
          <bgColor indexed="10"/>
        </patternFill>
      </fill>
    </dxf>
    <dxf>
      <fill>
        <patternFill>
          <bgColor indexed="10"/>
        </patternFill>
      </fill>
    </dxf>
    <dxf>
      <font>
        <b/>
        <i val="0"/>
        <condense val="0"/>
        <extend val="0"/>
      </font>
    </dxf>
    <dxf>
      <font>
        <condense val="0"/>
        <extend val="0"/>
        <color auto="1"/>
      </font>
    </dxf>
    <dxf>
      <font>
        <condense val="0"/>
        <extend val="0"/>
        <color indexed="10"/>
      </font>
      <fill>
        <patternFill>
          <bgColor indexed="9"/>
        </patternFill>
      </fill>
      <border>
        <left/>
        <right/>
        <top style="thin">
          <color indexed="10"/>
        </top>
        <bottom style="thin">
          <color indexed="10"/>
        </bottom>
      </border>
    </dxf>
    <dxf>
      <font>
        <condense val="0"/>
        <extend val="0"/>
        <color indexed="10"/>
      </font>
      <fill>
        <patternFill>
          <bgColor indexed="9"/>
        </patternFill>
      </fill>
      <border>
        <left/>
        <right/>
        <top style="thin">
          <color indexed="10"/>
        </top>
        <bottom style="thin">
          <color indexed="10"/>
        </bottom>
      </border>
    </dxf>
    <dxf>
      <font>
        <condense val="0"/>
        <extend val="0"/>
        <color indexed="10"/>
      </font>
      <fill>
        <patternFill>
          <bgColor indexed="9"/>
        </patternFill>
      </fill>
      <border>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ont>
        <condense val="0"/>
        <extend val="0"/>
        <color indexed="10"/>
      </font>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ont>
        <b/>
        <i val="0"/>
        <condense val="0"/>
        <extend val="0"/>
        <color indexed="10"/>
      </font>
    </dxf>
    <dxf>
      <font>
        <b/>
        <i val="0"/>
        <condense val="0"/>
        <extend val="0"/>
        <color indexed="10"/>
      </font>
    </dxf>
    <dxf>
      <font>
        <b val="0"/>
        <i val="0"/>
        <condense val="0"/>
        <extend val="0"/>
        <color auto="1"/>
      </font>
      <fill>
        <patternFill>
          <bgColor indexed="13"/>
        </patternFill>
      </fill>
    </dxf>
    <dxf>
      <fill>
        <patternFill>
          <bgColor indexed="13"/>
        </patternFill>
      </fill>
    </dxf>
    <dxf>
      <font>
        <condense val="0"/>
        <extend val="0"/>
        <color auto="1"/>
      </font>
      <fill>
        <patternFill>
          <bgColor indexed="13"/>
        </patternFill>
      </fill>
    </dxf>
    <dxf>
      <font>
        <condense val="0"/>
        <extend val="0"/>
        <u val="none"/>
      </font>
      <fill>
        <patternFill>
          <bgColor indexed="13"/>
        </patternFill>
      </fill>
    </dxf>
    <dxf>
      <font>
        <b val="0"/>
        <i val="0"/>
        <condense val="0"/>
        <extend val="0"/>
      </font>
      <fill>
        <patternFill patternType="solid">
          <bgColor indexed="13"/>
        </patternFill>
      </fill>
    </dxf>
    <dxf>
      <fill>
        <patternFill>
          <bgColor indexed="13"/>
        </patternFill>
      </fill>
    </dxf>
    <dxf>
      <font>
        <b/>
        <i val="0"/>
        <condense val="0"/>
        <extend val="0"/>
        <color indexed="10"/>
      </font>
    </dxf>
    <dxf>
      <font>
        <b val="0"/>
        <i val="0"/>
        <condense val="0"/>
        <extend val="0"/>
      </font>
      <fill>
        <patternFill patternType="solid">
          <bgColor indexed="13"/>
        </patternFill>
      </fill>
    </dxf>
    <dxf>
      <font>
        <b/>
        <i val="0"/>
        <condense val="0"/>
        <extend val="0"/>
      </font>
      <fill>
        <patternFill patternType="none">
          <bgColor indexed="65"/>
        </patternFill>
      </fill>
    </dxf>
    <dxf>
      <font>
        <b/>
        <i val="0"/>
        <condense val="0"/>
        <extend val="0"/>
        <color indexed="52"/>
      </font>
    </dxf>
    <dxf>
      <font>
        <b/>
        <i val="0"/>
        <condense val="0"/>
        <extend val="0"/>
        <color indexed="53"/>
      </font>
    </dxf>
    <dxf>
      <font>
        <b/>
        <i val="0"/>
        <condense val="0"/>
        <extend val="0"/>
        <color indexed="10"/>
      </font>
    </dxf>
    <dxf>
      <font>
        <b/>
        <i val="0"/>
        <condense val="0"/>
        <extend val="0"/>
        <color indexed="52"/>
      </font>
    </dxf>
    <dxf>
      <font>
        <b/>
        <i val="0"/>
        <condense val="0"/>
        <extend val="0"/>
        <color indexed="53"/>
      </font>
    </dxf>
    <dxf>
      <font>
        <b/>
        <i val="0"/>
        <condense val="0"/>
        <extend val="0"/>
        <color indexed="10"/>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ill>
        <patternFill>
          <bgColor indexed="10"/>
        </patternFill>
      </fill>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auto="1"/>
      </font>
      <fill>
        <patternFill>
          <bgColor indexed="10"/>
        </patternFill>
      </fill>
    </dxf>
    <dxf>
      <font>
        <condense val="0"/>
        <extend val="0"/>
        <color indexed="9"/>
      </font>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2"/>
      </font>
    </dxf>
    <dxf>
      <font>
        <condense val="0"/>
        <extend val="0"/>
        <color indexed="12"/>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2"/>
      </font>
    </dxf>
    <dxf>
      <font>
        <condense val="0"/>
        <extend val="0"/>
        <color indexed="12"/>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24"/>
      </font>
    </dxf>
    <dxf>
      <font>
        <condense val="0"/>
        <extend val="0"/>
        <color indexed="9"/>
      </font>
    </dxf>
    <dxf>
      <font>
        <condense val="0"/>
        <extend val="0"/>
        <color indexed="10"/>
      </font>
    </dxf>
    <dxf>
      <font>
        <condense val="0"/>
        <extend val="0"/>
        <color indexed="10"/>
      </font>
    </dxf>
    <dxf>
      <font>
        <condense val="0"/>
        <extend val="0"/>
        <color indexed="24"/>
      </font>
    </dxf>
    <dxf>
      <font>
        <condense val="0"/>
        <extend val="0"/>
        <color indexed="9"/>
      </font>
    </dxf>
    <dxf>
      <font>
        <condense val="0"/>
        <extend val="0"/>
        <color indexed="9"/>
      </font>
    </dxf>
    <dxf>
      <fill>
        <patternFill>
          <bgColor indexed="10"/>
        </patternFill>
      </fill>
    </dxf>
    <dxf>
      <fill>
        <patternFill>
          <bgColor indexed="10"/>
        </patternFill>
      </fill>
    </dxf>
    <dxf>
      <font>
        <b/>
        <i val="0"/>
        <condense val="0"/>
        <extend val="0"/>
      </font>
    </dxf>
    <dxf>
      <font>
        <condense val="0"/>
        <extend val="0"/>
        <color auto="1"/>
      </font>
    </dxf>
    <dxf>
      <font>
        <condense val="0"/>
        <extend val="0"/>
        <color indexed="10"/>
      </font>
      <fill>
        <patternFill>
          <bgColor indexed="9"/>
        </patternFill>
      </fill>
      <border>
        <left/>
        <right/>
        <top style="thin">
          <color indexed="10"/>
        </top>
        <bottom style="thin">
          <color indexed="10"/>
        </bottom>
      </border>
    </dxf>
    <dxf>
      <font>
        <condense val="0"/>
        <extend val="0"/>
        <color indexed="10"/>
      </font>
      <fill>
        <patternFill>
          <bgColor indexed="9"/>
        </patternFill>
      </fill>
      <border>
        <left/>
        <right/>
        <top style="thin">
          <color indexed="10"/>
        </top>
        <bottom style="thin">
          <color indexed="10"/>
        </bottom>
      </border>
    </dxf>
    <dxf>
      <font>
        <condense val="0"/>
        <extend val="0"/>
        <color indexed="10"/>
      </font>
      <fill>
        <patternFill>
          <bgColor indexed="9"/>
        </patternFill>
      </fill>
      <border>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ont>
        <condense val="0"/>
        <extend val="0"/>
        <color indexed="1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ctrlProps/ctrlProp1.xml><?xml version="1.0" encoding="utf-8"?>
<formControlPr xmlns="http://schemas.microsoft.com/office/spreadsheetml/2009/9/main" objectType="GBox" noThreeD="1"/>
</file>

<file path=xl/ctrlProps/ctrlProp2.xml><?xml version="1.0" encoding="utf-8"?>
<formControlPr xmlns="http://schemas.microsoft.com/office/spreadsheetml/2009/9/main" objectType="Radio" checked="Checked" firstButton="1" fmlaLink="$P$26"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GBox" noThreeD="1"/>
</file>

<file path=xl/ctrlProps/ctrlProp5.xml><?xml version="1.0" encoding="utf-8"?>
<formControlPr xmlns="http://schemas.microsoft.com/office/spreadsheetml/2009/9/main" objectType="Radio" checked="Checked" firstButton="1" fmlaLink="$P$42" lockText="1" noThreeD="1"/>
</file>

<file path=xl/ctrlProps/ctrlProp6.xml><?xml version="1.0" encoding="utf-8"?>
<formControlPr xmlns="http://schemas.microsoft.com/office/spreadsheetml/2009/9/main" objectType="Radio" lockText="1" noThreeD="1"/>
</file>

<file path=xl/ctrlProps/ctrlProp7.xml><?xml version="1.0" encoding="utf-8"?>
<formControlPr xmlns="http://schemas.microsoft.com/office/spreadsheetml/2009/9/main" objectType="GBox" noThreeD="1"/>
</file>

<file path=xl/ctrlProps/ctrlProp8.xml><?xml version="1.0" encoding="utf-8"?>
<formControlPr xmlns="http://schemas.microsoft.com/office/spreadsheetml/2009/9/main" objectType="Radio" checked="Checked" firstButton="1" fmlaLink="$P$38" lockText="1" noThreeD="1"/>
</file>

<file path=xl/ctrlProps/ctrlProp9.xml><?xml version="1.0" encoding="utf-8"?>
<formControlPr xmlns="http://schemas.microsoft.com/office/spreadsheetml/2009/9/main" objectType="Radio" lockText="1" noThreeD="1"/>
</file>

<file path=xl/ctrlProps/ctrlProp10.xml><?xml version="1.0" encoding="utf-8"?>
<formControlPr xmlns="http://schemas.microsoft.com/office/spreadsheetml/2009/9/main" objectType="GBox" noThreeD="1"/>
</file>

<file path=xl/ctrlProps/ctrlProp11.xml><?xml version="1.0" encoding="utf-8"?>
<formControlPr xmlns="http://schemas.microsoft.com/office/spreadsheetml/2009/9/main" objectType="Radio" firstButton="1" fmlaLink="$P$26" lockText="1" noThreeD="1"/>
</file>

<file path=xl/ctrlProps/ctrlProp12.xml><?xml version="1.0" encoding="utf-8"?>
<formControlPr xmlns="http://schemas.microsoft.com/office/spreadsheetml/2009/9/main" objectType="Radio" checked="Checked" lockText="1" noThreeD="1"/>
</file>

<file path=xl/ctrlProps/ctrlProp13.xml><?xml version="1.0" encoding="utf-8"?>
<formControlPr xmlns="http://schemas.microsoft.com/office/spreadsheetml/2009/9/main" objectType="GBox" noThreeD="1"/>
</file>

<file path=xl/ctrlProps/ctrlProp14.xml><?xml version="1.0" encoding="utf-8"?>
<formControlPr xmlns="http://schemas.microsoft.com/office/spreadsheetml/2009/9/main" objectType="Radio" firstButton="1" fmlaLink="$P$42" lockText="1" noThreeD="1"/>
</file>

<file path=xl/ctrlProps/ctrlProp15.xml><?xml version="1.0" encoding="utf-8"?>
<formControlPr xmlns="http://schemas.microsoft.com/office/spreadsheetml/2009/9/main" objectType="Radio" checked="Checked" lockText="1" noThreeD="1"/>
</file>

<file path=xl/ctrlProps/ctrlProp16.xml><?xml version="1.0" encoding="utf-8"?>
<formControlPr xmlns="http://schemas.microsoft.com/office/spreadsheetml/2009/9/main" objectType="GBox" noThreeD="1"/>
</file>

<file path=xl/ctrlProps/ctrlProp17.xml><?xml version="1.0" encoding="utf-8"?>
<formControlPr xmlns="http://schemas.microsoft.com/office/spreadsheetml/2009/9/main" objectType="Radio" firstButton="1" fmlaLink="$P$38" lockText="1" noThreeD="1"/>
</file>

<file path=xl/ctrlProps/ctrlProp18.xml><?xml version="1.0" encoding="utf-8"?>
<formControlPr xmlns="http://schemas.microsoft.com/office/spreadsheetml/2009/9/main" objectType="Radio" checked="Checked" lockText="1" noThreeD="1"/>
</file>

<file path=xl/ctrlProps/ctrlProp19.xml><?xml version="1.0" encoding="utf-8"?>
<formControlPr xmlns="http://schemas.microsoft.com/office/spreadsheetml/2009/9/main" objectType="GBox" noThreeD="1"/>
</file>

<file path=xl/ctrlProps/ctrlProp20.xml><?xml version="1.0" encoding="utf-8"?>
<formControlPr xmlns="http://schemas.microsoft.com/office/spreadsheetml/2009/9/main" objectType="Radio" firstButton="1" fmlaLink="$P$26" lockText="1" noThreeD="1"/>
</file>

<file path=xl/ctrlProps/ctrlProp21.xml><?xml version="1.0" encoding="utf-8"?>
<formControlPr xmlns="http://schemas.microsoft.com/office/spreadsheetml/2009/9/main" objectType="Radio" checked="Checked" lockText="1" noThreeD="1"/>
</file>

<file path=xl/ctrlProps/ctrlProp22.xml><?xml version="1.0" encoding="utf-8"?>
<formControlPr xmlns="http://schemas.microsoft.com/office/spreadsheetml/2009/9/main" objectType="GBox" noThreeD="1"/>
</file>

<file path=xl/ctrlProps/ctrlProp23.xml><?xml version="1.0" encoding="utf-8"?>
<formControlPr xmlns="http://schemas.microsoft.com/office/spreadsheetml/2009/9/main" objectType="Radio" firstButton="1" fmlaLink="$P$42" lockText="1" noThreeD="1"/>
</file>

<file path=xl/ctrlProps/ctrlProp24.xml><?xml version="1.0" encoding="utf-8"?>
<formControlPr xmlns="http://schemas.microsoft.com/office/spreadsheetml/2009/9/main" objectType="Radio" checked="Checked" lockText="1" noThreeD="1"/>
</file>

<file path=xl/ctrlProps/ctrlProp25.xml><?xml version="1.0" encoding="utf-8"?>
<formControlPr xmlns="http://schemas.microsoft.com/office/spreadsheetml/2009/9/main" objectType="GBox" noThreeD="1"/>
</file>

<file path=xl/ctrlProps/ctrlProp26.xml><?xml version="1.0" encoding="utf-8"?>
<formControlPr xmlns="http://schemas.microsoft.com/office/spreadsheetml/2009/9/main" objectType="Radio" firstButton="1" fmlaLink="$P$38" lockText="1" noThreeD="1"/>
</file>

<file path=xl/ctrlProps/ctrlProp27.xml><?xml version="1.0" encoding="utf-8"?>
<formControlPr xmlns="http://schemas.microsoft.com/office/spreadsheetml/2009/9/main" objectType="Radio" checked="Checked" lockText="1" noThreeD="1"/>
</file>

<file path=xl/drawings/_rels/drawing1.xml.rels><?xml version="1.0" encoding="UTF-8" standalone="yes"?>
<Relationships xmlns="http://schemas.openxmlformats.org/package/2006/relationships"><Relationship Id="rId8" Type="http://schemas.openxmlformats.org/officeDocument/2006/relationships/hyperlink" Target="#'Service Connection Diagram'!A1"/><Relationship Id="rId3" Type="http://schemas.openxmlformats.org/officeDocument/2006/relationships/hyperlink" Target="#'Loss Control Planning'!A1"/><Relationship Id="rId7" Type="http://schemas.openxmlformats.org/officeDocument/2006/relationships/hyperlink" Target="#'Grading Matrix'!A1"/><Relationship Id="rId2" Type="http://schemas.openxmlformats.org/officeDocument/2006/relationships/hyperlink" Target="#'Reporting Worksheet'!A1"/><Relationship Id="rId1" Type="http://schemas.openxmlformats.org/officeDocument/2006/relationships/hyperlink" Target="#Instructions!A1"/><Relationship Id="rId6" Type="http://schemas.openxmlformats.org/officeDocument/2006/relationships/hyperlink" Target="#Definitions!C55:L59"/><Relationship Id="rId5" Type="http://schemas.openxmlformats.org/officeDocument/2006/relationships/hyperlink" Target="#Definitions!A1"/><Relationship Id="rId4" Type="http://schemas.openxmlformats.org/officeDocument/2006/relationships/hyperlink" Target="#'Water Balance'!A1"/></Relationships>
</file>

<file path=xl/drawings/_rels/drawing2.xml.rels><?xml version="1.0" encoding="UTF-8" standalone="yes"?>
<Relationships xmlns="http://schemas.openxmlformats.org/package/2006/relationships"><Relationship Id="rId8" Type="http://schemas.openxmlformats.org/officeDocument/2006/relationships/hyperlink" Target="#Definitions!C40:J40"/><Relationship Id="rId13" Type="http://schemas.openxmlformats.org/officeDocument/2006/relationships/hyperlink" Target="#Definitions!C63:J63"/><Relationship Id="rId18" Type="http://schemas.openxmlformats.org/officeDocument/2006/relationships/hyperlink" Target="#Definitions!C67:J67"/><Relationship Id="rId26" Type="http://schemas.openxmlformats.org/officeDocument/2006/relationships/hyperlink" Target="#Definitions!C32:J32"/><Relationship Id="rId3" Type="http://schemas.openxmlformats.org/officeDocument/2006/relationships/hyperlink" Target="#Definitions!C53:J53"/><Relationship Id="rId21" Type="http://schemas.openxmlformats.org/officeDocument/2006/relationships/hyperlink" Target="#Definitions!C42:J42"/><Relationship Id="rId7" Type="http://schemas.openxmlformats.org/officeDocument/2006/relationships/hyperlink" Target="#Definitions!C28:J28"/><Relationship Id="rId12" Type="http://schemas.openxmlformats.org/officeDocument/2006/relationships/hyperlink" Target="#Instructions!A1"/><Relationship Id="rId17" Type="http://schemas.openxmlformats.org/officeDocument/2006/relationships/hyperlink" Target="#Definitions!C69:J69"/><Relationship Id="rId25" Type="http://schemas.openxmlformats.org/officeDocument/2006/relationships/hyperlink" Target="#Definitions!C8:J8"/><Relationship Id="rId2" Type="http://schemas.openxmlformats.org/officeDocument/2006/relationships/hyperlink" Target="#Definitions!C18:J18"/><Relationship Id="rId16" Type="http://schemas.openxmlformats.org/officeDocument/2006/relationships/hyperlink" Target="#Definitions!C30:J30"/><Relationship Id="rId20" Type="http://schemas.openxmlformats.org/officeDocument/2006/relationships/hyperlink" Target="#Definitions!C24:J24"/><Relationship Id="rId1" Type="http://schemas.openxmlformats.org/officeDocument/2006/relationships/hyperlink" Target="#Definitions!C16:J16"/><Relationship Id="rId6" Type="http://schemas.openxmlformats.org/officeDocument/2006/relationships/hyperlink" Target="#Definitions!C34:J34"/><Relationship Id="rId11" Type="http://schemas.openxmlformats.org/officeDocument/2006/relationships/hyperlink" Target="#Definitions!C12:J12"/><Relationship Id="rId24" Type="http://schemas.openxmlformats.org/officeDocument/2006/relationships/hyperlink" Target="#Definitions!C36:J36"/><Relationship Id="rId5" Type="http://schemas.openxmlformats.org/officeDocument/2006/relationships/hyperlink" Target="#Definitions!C51:J51"/><Relationship Id="rId15" Type="http://schemas.openxmlformats.org/officeDocument/2006/relationships/hyperlink" Target="#Definitions!C26:J26"/><Relationship Id="rId23" Type="http://schemas.openxmlformats.org/officeDocument/2006/relationships/hyperlink" Target="#'Grading Matrix'!A1"/><Relationship Id="rId10" Type="http://schemas.openxmlformats.org/officeDocument/2006/relationships/hyperlink" Target="#'Service Connection Diagram'!B2"/><Relationship Id="rId19" Type="http://schemas.openxmlformats.org/officeDocument/2006/relationships/hyperlink" Target="#Definitions!C44:J44"/><Relationship Id="rId4" Type="http://schemas.openxmlformats.org/officeDocument/2006/relationships/hyperlink" Target="#Definitions!C65:J65"/><Relationship Id="rId9" Type="http://schemas.openxmlformats.org/officeDocument/2006/relationships/hyperlink" Target="#Definitions!C22:J22"/><Relationship Id="rId14" Type="http://schemas.openxmlformats.org/officeDocument/2006/relationships/hyperlink" Target="#Definitions!C46:E47"/><Relationship Id="rId22" Type="http://schemas.openxmlformats.org/officeDocument/2006/relationships/hyperlink" Target="#Definitions!C61:J61"/><Relationship Id="rId27" Type="http://schemas.openxmlformats.org/officeDocument/2006/relationships/hyperlink" Target="#Definitions!C6:J6"/></Relationships>
</file>

<file path=xl/drawings/_rels/drawing5.xml.rels><?xml version="1.0" encoding="UTF-8" standalone="yes"?>
<Relationships xmlns="http://schemas.openxmlformats.org/package/2006/relationships"><Relationship Id="rId1" Type="http://schemas.openxmlformats.org/officeDocument/2006/relationships/hyperlink" Target="#Instructions!A1"/></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Definitions!C10:E10"/><Relationship Id="rId5" Type="http://schemas.openxmlformats.org/officeDocument/2006/relationships/hyperlink" Target="#'Reporting Worksheet'!B65:D65"/><Relationship Id="rId4" Type="http://schemas.openxmlformats.org/officeDocument/2006/relationships/hyperlink" Target="#Instructions!A1"/></Relationships>
</file>

<file path=xl/drawings/_rels/drawing7.xml.rels><?xml version="1.0" encoding="UTF-8" standalone="yes"?>
<Relationships xmlns="http://schemas.openxmlformats.org/package/2006/relationships"><Relationship Id="rId8" Type="http://schemas.openxmlformats.org/officeDocument/2006/relationships/hyperlink" Target="#'Reporting Worksheet'!B14:D14"/><Relationship Id="rId13" Type="http://schemas.openxmlformats.org/officeDocument/2006/relationships/hyperlink" Target="#Instructions!G24"/><Relationship Id="rId18" Type="http://schemas.openxmlformats.org/officeDocument/2006/relationships/hyperlink" Target="#'Reporting Worksheet'!B47:D48"/><Relationship Id="rId26" Type="http://schemas.openxmlformats.org/officeDocument/2006/relationships/hyperlink" Target="#'Reporting Worksheet'!B15:D15"/><Relationship Id="rId3" Type="http://schemas.openxmlformats.org/officeDocument/2006/relationships/hyperlink" Target="#'Reporting Worksheet'!B43:D43"/><Relationship Id="rId21" Type="http://schemas.openxmlformats.org/officeDocument/2006/relationships/hyperlink" Target="#'Reporting Worksheet'!B24:D24"/><Relationship Id="rId7" Type="http://schemas.openxmlformats.org/officeDocument/2006/relationships/hyperlink" Target="#'Reporting Worksheet'!B99:G99"/><Relationship Id="rId12" Type="http://schemas.openxmlformats.org/officeDocument/2006/relationships/image" Target="../media/image4.png"/><Relationship Id="rId17" Type="http://schemas.openxmlformats.org/officeDocument/2006/relationships/hyperlink" Target="#'Reporting Worksheet'!B65:D65"/><Relationship Id="rId25" Type="http://schemas.openxmlformats.org/officeDocument/2006/relationships/hyperlink" Target="#'Reporting Worksheet'!B62:D62"/><Relationship Id="rId2" Type="http://schemas.openxmlformats.org/officeDocument/2006/relationships/hyperlink" Target="#'Reporting Worksheet'!B25:D25"/><Relationship Id="rId16" Type="http://schemas.openxmlformats.org/officeDocument/2006/relationships/hyperlink" Target="#'Reporting Worksheet'!B74:D74"/><Relationship Id="rId20" Type="http://schemas.openxmlformats.org/officeDocument/2006/relationships/hyperlink" Target="#'Reporting Worksheet'!B30:D30"/><Relationship Id="rId29" Type="http://schemas.openxmlformats.org/officeDocument/2006/relationships/hyperlink" Target="#'Reporting Worksheet'!B26:D26"/><Relationship Id="rId1" Type="http://schemas.openxmlformats.org/officeDocument/2006/relationships/hyperlink" Target="#'Reporting Worksheet'!B23:D23"/><Relationship Id="rId6" Type="http://schemas.openxmlformats.org/officeDocument/2006/relationships/hyperlink" Target="#Instructions!A1"/><Relationship Id="rId11" Type="http://schemas.openxmlformats.org/officeDocument/2006/relationships/hyperlink" Target="#'Reporting Worksheet'!B76:D76"/><Relationship Id="rId24" Type="http://schemas.openxmlformats.org/officeDocument/2006/relationships/hyperlink" Target="#'Reporting Worksheet'!B105:D105"/><Relationship Id="rId5" Type="http://schemas.openxmlformats.org/officeDocument/2006/relationships/hyperlink" Target="#'Reporting Worksheet'!K22:L44"/><Relationship Id="rId15" Type="http://schemas.openxmlformats.org/officeDocument/2006/relationships/hyperlink" Target="#'Reporting Worksheet'!B58:D58"/><Relationship Id="rId23" Type="http://schemas.openxmlformats.org/officeDocument/2006/relationships/hyperlink" Target="#'Reporting Worksheet'!B75:D75"/><Relationship Id="rId28" Type="http://schemas.openxmlformats.org/officeDocument/2006/relationships/hyperlink" Target="#'Reporting Worksheet'!B38:D38"/><Relationship Id="rId10" Type="http://schemas.openxmlformats.org/officeDocument/2006/relationships/hyperlink" Target="#'Reporting Worksheet'!B17:D17"/><Relationship Id="rId19" Type="http://schemas.openxmlformats.org/officeDocument/2006/relationships/hyperlink" Target="#'Reporting Worksheet'!C35:D35"/><Relationship Id="rId4" Type="http://schemas.openxmlformats.org/officeDocument/2006/relationships/hyperlink" Target="#'Reporting Worksheet'!B63:D63"/><Relationship Id="rId9" Type="http://schemas.openxmlformats.org/officeDocument/2006/relationships/hyperlink" Target="#'Reporting Worksheet'!B16:D16"/><Relationship Id="rId14" Type="http://schemas.openxmlformats.org/officeDocument/2006/relationships/hyperlink" Target="#'Reporting Worksheet'!B67:D67"/><Relationship Id="rId22" Type="http://schemas.openxmlformats.org/officeDocument/2006/relationships/hyperlink" Target="#'Reporting Worksheet'!B42:D42"/><Relationship Id="rId27" Type="http://schemas.openxmlformats.org/officeDocument/2006/relationships/hyperlink" Target="#'Reporting Worksheet'!B52:D52"/><Relationship Id="rId30" Type="http://schemas.openxmlformats.org/officeDocument/2006/relationships/hyperlink" Target="#'Service Connection Diagram'!A1"/></Relationships>
</file>

<file path=xl/drawings/_rels/drawing8.xml.rels><?xml version="1.0" encoding="UTF-8" standalone="yes"?>
<Relationships xmlns="http://schemas.openxmlformats.org/package/2006/relationships"><Relationship Id="rId1" Type="http://schemas.openxmlformats.org/officeDocument/2006/relationships/hyperlink" Target="#Instructions!A1"/></Relationships>
</file>

<file path=xl/drawings/_rels/drawing9.xml.rels><?xml version="1.0" encoding="UTF-8" standalone="yes"?>
<Relationships xmlns="http://schemas.openxmlformats.org/package/2006/relationships"><Relationship Id="rId8" Type="http://schemas.openxmlformats.org/officeDocument/2006/relationships/hyperlink" Target="#Definitions!C40:J40"/><Relationship Id="rId13" Type="http://schemas.openxmlformats.org/officeDocument/2006/relationships/hyperlink" Target="#Definitions!C63:J63"/><Relationship Id="rId18" Type="http://schemas.openxmlformats.org/officeDocument/2006/relationships/hyperlink" Target="#Definitions!C67:J67"/><Relationship Id="rId26" Type="http://schemas.openxmlformats.org/officeDocument/2006/relationships/hyperlink" Target="#Definitions!C32:J32"/><Relationship Id="rId3" Type="http://schemas.openxmlformats.org/officeDocument/2006/relationships/hyperlink" Target="#Definitions!C53:J53"/><Relationship Id="rId21" Type="http://schemas.openxmlformats.org/officeDocument/2006/relationships/hyperlink" Target="#Definitions!C42:J42"/><Relationship Id="rId7" Type="http://schemas.openxmlformats.org/officeDocument/2006/relationships/hyperlink" Target="#Definitions!C28:J28"/><Relationship Id="rId12" Type="http://schemas.openxmlformats.org/officeDocument/2006/relationships/hyperlink" Target="#Instructions!A1"/><Relationship Id="rId17" Type="http://schemas.openxmlformats.org/officeDocument/2006/relationships/hyperlink" Target="#Definitions!C69:J69"/><Relationship Id="rId25" Type="http://schemas.openxmlformats.org/officeDocument/2006/relationships/hyperlink" Target="#Definitions!C8:J8"/><Relationship Id="rId2" Type="http://schemas.openxmlformats.org/officeDocument/2006/relationships/hyperlink" Target="#Definitions!C18:J18"/><Relationship Id="rId16" Type="http://schemas.openxmlformats.org/officeDocument/2006/relationships/hyperlink" Target="#Definitions!C30:J30"/><Relationship Id="rId20" Type="http://schemas.openxmlformats.org/officeDocument/2006/relationships/hyperlink" Target="#Definitions!C24:J24"/><Relationship Id="rId1" Type="http://schemas.openxmlformats.org/officeDocument/2006/relationships/hyperlink" Target="#Definitions!C16:J16"/><Relationship Id="rId6" Type="http://schemas.openxmlformats.org/officeDocument/2006/relationships/hyperlink" Target="#Definitions!C34:J34"/><Relationship Id="rId11" Type="http://schemas.openxmlformats.org/officeDocument/2006/relationships/hyperlink" Target="#Definitions!C12:J12"/><Relationship Id="rId24" Type="http://schemas.openxmlformats.org/officeDocument/2006/relationships/hyperlink" Target="#Definitions!C36:J36"/><Relationship Id="rId5" Type="http://schemas.openxmlformats.org/officeDocument/2006/relationships/hyperlink" Target="#Definitions!C51:J51"/><Relationship Id="rId15" Type="http://schemas.openxmlformats.org/officeDocument/2006/relationships/hyperlink" Target="#Definitions!C26:J26"/><Relationship Id="rId23" Type="http://schemas.openxmlformats.org/officeDocument/2006/relationships/hyperlink" Target="#'Grading Matrix'!A1"/><Relationship Id="rId10" Type="http://schemas.openxmlformats.org/officeDocument/2006/relationships/hyperlink" Target="#'Service Connection Diagram'!B2"/><Relationship Id="rId19" Type="http://schemas.openxmlformats.org/officeDocument/2006/relationships/hyperlink" Target="#Definitions!C44:J44"/><Relationship Id="rId4" Type="http://schemas.openxmlformats.org/officeDocument/2006/relationships/hyperlink" Target="#Definitions!C65:J65"/><Relationship Id="rId9" Type="http://schemas.openxmlformats.org/officeDocument/2006/relationships/hyperlink" Target="#Definitions!C22:J22"/><Relationship Id="rId14" Type="http://schemas.openxmlformats.org/officeDocument/2006/relationships/hyperlink" Target="#Definitions!C46:E47"/><Relationship Id="rId22" Type="http://schemas.openxmlformats.org/officeDocument/2006/relationships/hyperlink" Target="#Definitions!C61:J61"/><Relationship Id="rId27" Type="http://schemas.openxmlformats.org/officeDocument/2006/relationships/hyperlink" Target="#Definitions!C6:J6"/></Relationships>
</file>

<file path=xl/drawings/_rels/drawing10.xml.rels><?xml version="1.0" encoding="UTF-8" standalone="yes"?>
<Relationships xmlns="http://schemas.openxmlformats.org/package/2006/relationships"><Relationship Id="rId8" Type="http://schemas.openxmlformats.org/officeDocument/2006/relationships/hyperlink" Target="#Definitions!C40:J40"/><Relationship Id="rId13" Type="http://schemas.openxmlformats.org/officeDocument/2006/relationships/hyperlink" Target="#Definitions!C63:J63"/><Relationship Id="rId18" Type="http://schemas.openxmlformats.org/officeDocument/2006/relationships/hyperlink" Target="#Definitions!C67:J67"/><Relationship Id="rId26" Type="http://schemas.openxmlformats.org/officeDocument/2006/relationships/hyperlink" Target="#Definitions!C32:J32"/><Relationship Id="rId3" Type="http://schemas.openxmlformats.org/officeDocument/2006/relationships/hyperlink" Target="#Definitions!C53:J53"/><Relationship Id="rId21" Type="http://schemas.openxmlformats.org/officeDocument/2006/relationships/hyperlink" Target="#Definitions!C42:J42"/><Relationship Id="rId7" Type="http://schemas.openxmlformats.org/officeDocument/2006/relationships/hyperlink" Target="#Definitions!C28:J28"/><Relationship Id="rId12" Type="http://schemas.openxmlformats.org/officeDocument/2006/relationships/hyperlink" Target="#Instructions!A1"/><Relationship Id="rId17" Type="http://schemas.openxmlformats.org/officeDocument/2006/relationships/hyperlink" Target="#Definitions!C69:J69"/><Relationship Id="rId25" Type="http://schemas.openxmlformats.org/officeDocument/2006/relationships/hyperlink" Target="#Definitions!C8:J8"/><Relationship Id="rId2" Type="http://schemas.openxmlformats.org/officeDocument/2006/relationships/hyperlink" Target="#Definitions!C18:J18"/><Relationship Id="rId16" Type="http://schemas.openxmlformats.org/officeDocument/2006/relationships/hyperlink" Target="#Definitions!C30:J30"/><Relationship Id="rId20" Type="http://schemas.openxmlformats.org/officeDocument/2006/relationships/hyperlink" Target="#Definitions!C24:J24"/><Relationship Id="rId1" Type="http://schemas.openxmlformats.org/officeDocument/2006/relationships/hyperlink" Target="#Definitions!C16:J16"/><Relationship Id="rId6" Type="http://schemas.openxmlformats.org/officeDocument/2006/relationships/hyperlink" Target="#Definitions!C34:J34"/><Relationship Id="rId11" Type="http://schemas.openxmlformats.org/officeDocument/2006/relationships/hyperlink" Target="#Definitions!C12:J12"/><Relationship Id="rId24" Type="http://schemas.openxmlformats.org/officeDocument/2006/relationships/hyperlink" Target="#Definitions!C36:J36"/><Relationship Id="rId5" Type="http://schemas.openxmlformats.org/officeDocument/2006/relationships/hyperlink" Target="#Definitions!C51:J51"/><Relationship Id="rId15" Type="http://schemas.openxmlformats.org/officeDocument/2006/relationships/hyperlink" Target="#Definitions!C26:J26"/><Relationship Id="rId23" Type="http://schemas.openxmlformats.org/officeDocument/2006/relationships/hyperlink" Target="#'Grading Matrix'!A1"/><Relationship Id="rId10" Type="http://schemas.openxmlformats.org/officeDocument/2006/relationships/hyperlink" Target="#'Service Connection Diagram'!B2"/><Relationship Id="rId19" Type="http://schemas.openxmlformats.org/officeDocument/2006/relationships/hyperlink" Target="#Definitions!C44:J44"/><Relationship Id="rId4" Type="http://schemas.openxmlformats.org/officeDocument/2006/relationships/hyperlink" Target="#Definitions!C65:J65"/><Relationship Id="rId9" Type="http://schemas.openxmlformats.org/officeDocument/2006/relationships/hyperlink" Target="#Definitions!C22:J22"/><Relationship Id="rId14" Type="http://schemas.openxmlformats.org/officeDocument/2006/relationships/hyperlink" Target="#Definitions!C46:E47"/><Relationship Id="rId22" Type="http://schemas.openxmlformats.org/officeDocument/2006/relationships/hyperlink" Target="#Definitions!C61:J61"/><Relationship Id="rId27" Type="http://schemas.openxmlformats.org/officeDocument/2006/relationships/hyperlink" Target="#Definitions!C6:J6"/></Relationships>
</file>

<file path=xl/drawings/_rels/drawing11.xml.rels><?xml version="1.0" encoding="UTF-8" standalone="yes"?>
<Relationships xmlns="http://schemas.openxmlformats.org/package/2006/relationships"><Relationship Id="rId1" Type="http://schemas.openxmlformats.org/officeDocument/2006/relationships/hyperlink" Target="#Instructions!A1"/></Relationships>
</file>

<file path=xl/drawings/drawing1.xml><?xml version="1.0" encoding="utf-8"?>
<xdr:wsDr xmlns:xdr="http://schemas.openxmlformats.org/drawingml/2006/spreadsheetDrawing" xmlns:a="http://schemas.openxmlformats.org/drawingml/2006/main">
  <xdr:twoCellAnchor>
    <xdr:from>
      <xdr:col>2</xdr:col>
      <xdr:colOff>28575</xdr:colOff>
      <xdr:row>26</xdr:row>
      <xdr:rowOff>11430</xdr:rowOff>
    </xdr:from>
    <xdr:to>
      <xdr:col>2</xdr:col>
      <xdr:colOff>1788893</xdr:colOff>
      <xdr:row>27</xdr:row>
      <xdr:rowOff>11430</xdr:rowOff>
    </xdr:to>
    <xdr:sp macro="" textlink="">
      <xdr:nvSpPr>
        <xdr:cNvPr id="8204" name="AutoShape 12">
          <a:hlinkClick xmlns:r="http://schemas.openxmlformats.org/officeDocument/2006/relationships" r:id="rId1"/>
          <a:extLst>
            <a:ext uri="{FF2B5EF4-FFF2-40B4-BE49-F238E27FC236}">
              <a16:creationId xmlns:a16="http://schemas.microsoft.com/office/drawing/2014/main" id="{6626AA68-51CA-2EBE-7CFB-232BA61AFF12}"/>
            </a:ext>
          </a:extLst>
        </xdr:cNvPr>
        <xdr:cNvSpPr>
          <a:spLocks noChangeArrowheads="1"/>
        </xdr:cNvSpPr>
      </xdr:nvSpPr>
      <xdr:spPr bwMode="auto">
        <a:xfrm>
          <a:off x="171450" y="3981450"/>
          <a:ext cx="1762125" cy="285750"/>
        </a:xfrm>
        <a:prstGeom prst="bevel">
          <a:avLst>
            <a:gd name="adj" fmla="val 12500"/>
          </a:avLst>
        </a:prstGeom>
        <a:solidFill>
          <a:srgbClr val="3366FF"/>
        </a:solidFill>
        <a:ln w="12700">
          <a:solidFill>
            <a:srgbClr val="000000"/>
          </a:solidFill>
          <a:miter lim="800000"/>
          <a:headEnd/>
          <a:tailEnd/>
        </a:ln>
      </xdr:spPr>
      <xdr:txBody>
        <a:bodyPr vertOverflow="clip" wrap="square" lIns="27432" tIns="27432" rIns="27432" bIns="0" anchor="t" upright="1"/>
        <a:lstStyle/>
        <a:p>
          <a:pPr algn="ctr" rtl="0">
            <a:defRPr sz="1000"/>
          </a:pPr>
          <a:r>
            <a:rPr lang="en-US" sz="1000" b="1" i="0" u="sng" strike="noStrike" baseline="0">
              <a:solidFill>
                <a:srgbClr val="FFFFFF"/>
              </a:solidFill>
              <a:latin typeface="Courier New"/>
              <a:cs typeface="Courier New"/>
            </a:rPr>
            <a:t>Instructions</a:t>
          </a:r>
        </a:p>
      </xdr:txBody>
    </xdr:sp>
    <xdr:clientData/>
  </xdr:twoCellAnchor>
  <xdr:twoCellAnchor>
    <xdr:from>
      <xdr:col>2</xdr:col>
      <xdr:colOff>28575</xdr:colOff>
      <xdr:row>28</xdr:row>
      <xdr:rowOff>9525</xdr:rowOff>
    </xdr:from>
    <xdr:to>
      <xdr:col>2</xdr:col>
      <xdr:colOff>1788893</xdr:colOff>
      <xdr:row>29</xdr:row>
      <xdr:rowOff>0</xdr:rowOff>
    </xdr:to>
    <xdr:sp macro="" textlink="">
      <xdr:nvSpPr>
        <xdr:cNvPr id="8205" name="AutoShape 13">
          <a:hlinkClick xmlns:r="http://schemas.openxmlformats.org/officeDocument/2006/relationships" r:id="rId2"/>
          <a:extLst>
            <a:ext uri="{FF2B5EF4-FFF2-40B4-BE49-F238E27FC236}">
              <a16:creationId xmlns:a16="http://schemas.microsoft.com/office/drawing/2014/main" id="{7898054C-3219-36AA-568F-AD2525D9EE1C}"/>
            </a:ext>
          </a:extLst>
        </xdr:cNvPr>
        <xdr:cNvSpPr>
          <a:spLocks noChangeArrowheads="1"/>
        </xdr:cNvSpPr>
      </xdr:nvSpPr>
      <xdr:spPr bwMode="auto">
        <a:xfrm>
          <a:off x="171450" y="4305300"/>
          <a:ext cx="1762125" cy="27622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7432" rIns="27432" bIns="0" anchor="t" upright="1"/>
        <a:lstStyle/>
        <a:p>
          <a:pPr algn="ctr" rtl="0">
            <a:defRPr sz="1000"/>
          </a:pPr>
          <a:r>
            <a:rPr lang="en-US" sz="1000" b="1" i="0" u="sng" strike="noStrike" baseline="0">
              <a:solidFill>
                <a:srgbClr val="FFFFFF"/>
              </a:solidFill>
              <a:latin typeface="Courier New"/>
              <a:cs typeface="Courier New"/>
            </a:rPr>
            <a:t>Reporting Worksheet</a:t>
          </a:r>
        </a:p>
      </xdr:txBody>
    </xdr:sp>
    <xdr:clientData/>
  </xdr:twoCellAnchor>
  <xdr:twoCellAnchor>
    <xdr:from>
      <xdr:col>2</xdr:col>
      <xdr:colOff>28575</xdr:colOff>
      <xdr:row>38</xdr:row>
      <xdr:rowOff>0</xdr:rowOff>
    </xdr:from>
    <xdr:to>
      <xdr:col>2</xdr:col>
      <xdr:colOff>1779320</xdr:colOff>
      <xdr:row>39</xdr:row>
      <xdr:rowOff>0</xdr:rowOff>
    </xdr:to>
    <xdr:sp macro="" textlink="">
      <xdr:nvSpPr>
        <xdr:cNvPr id="8206" name="AutoShape 14">
          <a:hlinkClick xmlns:r="http://schemas.openxmlformats.org/officeDocument/2006/relationships" r:id="rId3"/>
          <a:extLst>
            <a:ext uri="{FF2B5EF4-FFF2-40B4-BE49-F238E27FC236}">
              <a16:creationId xmlns:a16="http://schemas.microsoft.com/office/drawing/2014/main" id="{A5E2C143-9D0E-7EE0-7590-F5B13CBD48A8}"/>
            </a:ext>
          </a:extLst>
        </xdr:cNvPr>
        <xdr:cNvSpPr>
          <a:spLocks noChangeArrowheads="1"/>
        </xdr:cNvSpPr>
      </xdr:nvSpPr>
      <xdr:spPr bwMode="auto">
        <a:xfrm>
          <a:off x="171450" y="5962650"/>
          <a:ext cx="1752600" cy="28575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7432" rIns="27432" bIns="0" anchor="t" upright="1"/>
        <a:lstStyle/>
        <a:p>
          <a:pPr algn="ctr" rtl="0">
            <a:defRPr sz="1000"/>
          </a:pPr>
          <a:r>
            <a:rPr lang="en-US" sz="1000" b="1" i="0" u="sng" strike="noStrike" baseline="0">
              <a:solidFill>
                <a:srgbClr val="FFFFFF"/>
              </a:solidFill>
              <a:latin typeface="Courier New"/>
              <a:cs typeface="Courier New"/>
            </a:rPr>
            <a:t>Loss Control Planning</a:t>
          </a:r>
        </a:p>
      </xdr:txBody>
    </xdr:sp>
    <xdr:clientData/>
  </xdr:twoCellAnchor>
  <xdr:twoCellAnchor>
    <xdr:from>
      <xdr:col>2</xdr:col>
      <xdr:colOff>11430</xdr:colOff>
      <xdr:row>30</xdr:row>
      <xdr:rowOff>0</xdr:rowOff>
    </xdr:from>
    <xdr:to>
      <xdr:col>2</xdr:col>
      <xdr:colOff>1779176</xdr:colOff>
      <xdr:row>30</xdr:row>
      <xdr:rowOff>266700</xdr:rowOff>
    </xdr:to>
    <xdr:sp macro="" textlink="">
      <xdr:nvSpPr>
        <xdr:cNvPr id="8207" name="AutoShape 15">
          <a:hlinkClick xmlns:r="http://schemas.openxmlformats.org/officeDocument/2006/relationships" r:id="rId4"/>
          <a:extLst>
            <a:ext uri="{FF2B5EF4-FFF2-40B4-BE49-F238E27FC236}">
              <a16:creationId xmlns:a16="http://schemas.microsoft.com/office/drawing/2014/main" id="{75D59D94-AF82-2658-518D-FF8DEA02CCAF}"/>
            </a:ext>
          </a:extLst>
        </xdr:cNvPr>
        <xdr:cNvSpPr>
          <a:spLocks noChangeArrowheads="1"/>
        </xdr:cNvSpPr>
      </xdr:nvSpPr>
      <xdr:spPr bwMode="auto">
        <a:xfrm>
          <a:off x="161925" y="4629150"/>
          <a:ext cx="1762125" cy="26670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7432" rIns="27432" bIns="0" anchor="t" upright="1"/>
        <a:lstStyle/>
        <a:p>
          <a:pPr algn="ctr" rtl="0">
            <a:defRPr sz="1000"/>
          </a:pPr>
          <a:r>
            <a:rPr lang="en-US" sz="1000" b="1" i="0" u="sng" strike="noStrike" baseline="0">
              <a:solidFill>
                <a:srgbClr val="FFFFFF"/>
              </a:solidFill>
              <a:latin typeface="Courier New"/>
              <a:cs typeface="Courier New"/>
            </a:rPr>
            <a:t>Water Balance</a:t>
          </a:r>
        </a:p>
      </xdr:txBody>
    </xdr:sp>
    <xdr:clientData/>
  </xdr:twoCellAnchor>
  <xdr:twoCellAnchor>
    <xdr:from>
      <xdr:col>2</xdr:col>
      <xdr:colOff>28575</xdr:colOff>
      <xdr:row>36</xdr:row>
      <xdr:rowOff>0</xdr:rowOff>
    </xdr:from>
    <xdr:to>
      <xdr:col>2</xdr:col>
      <xdr:colOff>1779320</xdr:colOff>
      <xdr:row>36</xdr:row>
      <xdr:rowOff>276225</xdr:rowOff>
    </xdr:to>
    <xdr:sp macro="" textlink="">
      <xdr:nvSpPr>
        <xdr:cNvPr id="8208" name="AutoShape 16">
          <a:hlinkClick xmlns:r="http://schemas.openxmlformats.org/officeDocument/2006/relationships" r:id="rId5"/>
          <a:extLst>
            <a:ext uri="{FF2B5EF4-FFF2-40B4-BE49-F238E27FC236}">
              <a16:creationId xmlns:a16="http://schemas.microsoft.com/office/drawing/2014/main" id="{4ABA9E9A-50F6-B085-FD90-A6ED2B58CC8E}"/>
            </a:ext>
          </a:extLst>
        </xdr:cNvPr>
        <xdr:cNvSpPr>
          <a:spLocks noChangeArrowheads="1"/>
        </xdr:cNvSpPr>
      </xdr:nvSpPr>
      <xdr:spPr bwMode="auto">
        <a:xfrm>
          <a:off x="171450" y="5629275"/>
          <a:ext cx="1752600" cy="27622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7432" rIns="27432" bIns="0" anchor="t" upright="1"/>
        <a:lstStyle/>
        <a:p>
          <a:pPr algn="ctr" rtl="0">
            <a:defRPr sz="1000"/>
          </a:pPr>
          <a:r>
            <a:rPr lang="en-US" sz="1000" b="1" i="0" u="sng" strike="noStrike" baseline="0">
              <a:solidFill>
                <a:srgbClr val="FFFFFF"/>
              </a:solidFill>
              <a:latin typeface="Courier New"/>
              <a:cs typeface="Courier New"/>
            </a:rPr>
            <a:t>Definitions</a:t>
          </a:r>
        </a:p>
      </xdr:txBody>
    </xdr:sp>
    <xdr:clientData/>
  </xdr:twoCellAnchor>
  <xdr:twoCellAnchor>
    <xdr:from>
      <xdr:col>4</xdr:col>
      <xdr:colOff>436245</xdr:colOff>
      <xdr:row>1</xdr:row>
      <xdr:rowOff>314325</xdr:rowOff>
    </xdr:from>
    <xdr:to>
      <xdr:col>9</xdr:col>
      <xdr:colOff>662945</xdr:colOff>
      <xdr:row>1</xdr:row>
      <xdr:rowOff>468890</xdr:rowOff>
    </xdr:to>
    <xdr:sp macro="" textlink="">
      <xdr:nvSpPr>
        <xdr:cNvPr id="8312" name="Text Box 57">
          <a:extLst>
            <a:ext uri="{FF2B5EF4-FFF2-40B4-BE49-F238E27FC236}">
              <a16:creationId xmlns:a16="http://schemas.microsoft.com/office/drawing/2014/main" id="{80118B6A-796B-23A5-9F4C-52D24DCD73B3}"/>
            </a:ext>
          </a:extLst>
        </xdr:cNvPr>
        <xdr:cNvSpPr txBox="1">
          <a:spLocks noChangeArrowheads="1"/>
        </xdr:cNvSpPr>
      </xdr:nvSpPr>
      <xdr:spPr bwMode="auto">
        <a:xfrm>
          <a:off x="3009900" y="419100"/>
          <a:ext cx="375285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editAs="oneCell">
    <xdr:from>
      <xdr:col>13</xdr:col>
      <xdr:colOff>321945</xdr:colOff>
      <xdr:row>1</xdr:row>
      <xdr:rowOff>333375</xdr:rowOff>
    </xdr:from>
    <xdr:to>
      <xdr:col>14</xdr:col>
      <xdr:colOff>85682</xdr:colOff>
      <xdr:row>1</xdr:row>
      <xdr:rowOff>485775</xdr:rowOff>
    </xdr:to>
    <xdr:sp macro="" textlink="">
      <xdr:nvSpPr>
        <xdr:cNvPr id="8254" name="Text Box 62">
          <a:extLst>
            <a:ext uri="{FF2B5EF4-FFF2-40B4-BE49-F238E27FC236}">
              <a16:creationId xmlns:a16="http://schemas.microsoft.com/office/drawing/2014/main" id="{8CDBA9E8-412F-42B0-658A-4E86F3AB4D43}"/>
            </a:ext>
          </a:extLst>
        </xdr:cNvPr>
        <xdr:cNvSpPr txBox="1">
          <a:spLocks noChangeArrowheads="1"/>
        </xdr:cNvSpPr>
      </xdr:nvSpPr>
      <xdr:spPr bwMode="auto">
        <a:xfrm>
          <a:off x="9067800" y="438150"/>
          <a:ext cx="571500" cy="1524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v4.2</a:t>
          </a:r>
        </a:p>
      </xdr:txBody>
    </xdr:sp>
    <xdr:clientData/>
  </xdr:twoCellAnchor>
  <xdr:twoCellAnchor>
    <xdr:from>
      <xdr:col>7</xdr:col>
      <xdr:colOff>133350</xdr:colOff>
      <xdr:row>25</xdr:row>
      <xdr:rowOff>28575</xdr:rowOff>
    </xdr:from>
    <xdr:to>
      <xdr:col>8</xdr:col>
      <xdr:colOff>160288</xdr:colOff>
      <xdr:row>25</xdr:row>
      <xdr:rowOff>163930</xdr:rowOff>
    </xdr:to>
    <xdr:sp macro="" textlink="">
      <xdr:nvSpPr>
        <xdr:cNvPr id="8269" name="Text Box 77">
          <a:hlinkClick xmlns:r="http://schemas.openxmlformats.org/officeDocument/2006/relationships" r:id="rId6"/>
          <a:extLst>
            <a:ext uri="{FF2B5EF4-FFF2-40B4-BE49-F238E27FC236}">
              <a16:creationId xmlns:a16="http://schemas.microsoft.com/office/drawing/2014/main" id="{1D6FFFCB-CF63-6D83-1A93-B6D322CD02F9}"/>
            </a:ext>
          </a:extLst>
        </xdr:cNvPr>
        <xdr:cNvSpPr txBox="1">
          <a:spLocks noChangeArrowheads="1"/>
        </xdr:cNvSpPr>
      </xdr:nvSpPr>
      <xdr:spPr bwMode="auto">
        <a:xfrm>
          <a:off x="5362575" y="37814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11430</xdr:colOff>
      <xdr:row>32</xdr:row>
      <xdr:rowOff>0</xdr:rowOff>
    </xdr:from>
    <xdr:to>
      <xdr:col>2</xdr:col>
      <xdr:colOff>1779176</xdr:colOff>
      <xdr:row>32</xdr:row>
      <xdr:rowOff>266700</xdr:rowOff>
    </xdr:to>
    <xdr:sp macro="" textlink="">
      <xdr:nvSpPr>
        <xdr:cNvPr id="8283" name="AutoShape 91">
          <a:hlinkClick xmlns:r="http://schemas.openxmlformats.org/officeDocument/2006/relationships" r:id="rId7"/>
          <a:extLst>
            <a:ext uri="{FF2B5EF4-FFF2-40B4-BE49-F238E27FC236}">
              <a16:creationId xmlns:a16="http://schemas.microsoft.com/office/drawing/2014/main" id="{78C0397D-1205-7A41-8905-DEB9088367DB}"/>
            </a:ext>
          </a:extLst>
        </xdr:cNvPr>
        <xdr:cNvSpPr>
          <a:spLocks noChangeArrowheads="1"/>
        </xdr:cNvSpPr>
      </xdr:nvSpPr>
      <xdr:spPr bwMode="auto">
        <a:xfrm>
          <a:off x="161925" y="4962525"/>
          <a:ext cx="1762125" cy="26670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7432" rIns="27432" bIns="0" anchor="t" upright="1"/>
        <a:lstStyle/>
        <a:p>
          <a:pPr algn="ctr" rtl="0">
            <a:defRPr sz="1000"/>
          </a:pPr>
          <a:r>
            <a:rPr lang="en-US" sz="1000" b="1" i="0" u="sng" strike="noStrike" baseline="0">
              <a:solidFill>
                <a:srgbClr val="FFFFFF"/>
              </a:solidFill>
              <a:latin typeface="Courier New"/>
              <a:cs typeface="Courier New"/>
            </a:rPr>
            <a:t>Grading Matrix</a:t>
          </a:r>
        </a:p>
      </xdr:txBody>
    </xdr:sp>
    <xdr:clientData/>
  </xdr:twoCellAnchor>
  <xdr:twoCellAnchor>
    <xdr:from>
      <xdr:col>2</xdr:col>
      <xdr:colOff>66675</xdr:colOff>
      <xdr:row>40</xdr:row>
      <xdr:rowOff>219075</xdr:rowOff>
    </xdr:from>
    <xdr:to>
      <xdr:col>2</xdr:col>
      <xdr:colOff>1788896</xdr:colOff>
      <xdr:row>44</xdr:row>
      <xdr:rowOff>104775</xdr:rowOff>
    </xdr:to>
    <xdr:sp macro="" textlink="">
      <xdr:nvSpPr>
        <xdr:cNvPr id="8291" name="Text Box 99">
          <a:extLst>
            <a:ext uri="{FF2B5EF4-FFF2-40B4-BE49-F238E27FC236}">
              <a16:creationId xmlns:a16="http://schemas.microsoft.com/office/drawing/2014/main" id="{7BE14B1D-1B7B-8A43-5EF0-941F04487D50}"/>
            </a:ext>
          </a:extLst>
        </xdr:cNvPr>
        <xdr:cNvSpPr txBox="1">
          <a:spLocks noChangeArrowheads="1"/>
        </xdr:cNvSpPr>
      </xdr:nvSpPr>
      <xdr:spPr bwMode="auto">
        <a:xfrm>
          <a:off x="209550" y="6572250"/>
          <a:ext cx="1724025" cy="914400"/>
        </a:xfrm>
        <a:prstGeom prst="rect">
          <a:avLst/>
        </a:prstGeom>
        <a:noFill/>
        <a:ln w="12700" algn="ctr">
          <a:noFill/>
          <a:miter lim="800000"/>
          <a:headEnd/>
          <a:tailEnd/>
        </a:ln>
        <a:effectLst/>
      </xdr:spPr>
      <xdr:txBody>
        <a:bodyPr vertOverflow="clip" wrap="square" lIns="27432" tIns="22860" rIns="27432" bIns="0" anchor="t" upright="1"/>
        <a:lstStyle/>
        <a:p>
          <a:pPr algn="ctr" rtl="0">
            <a:defRPr sz="1000"/>
          </a:pPr>
          <a:r>
            <a:rPr lang="en-US" sz="900" b="0" i="0" u="none" strike="noStrike" baseline="0">
              <a:solidFill>
                <a:srgbClr val="000000"/>
              </a:solidFill>
              <a:latin typeface="Courier New"/>
              <a:cs typeface="Courier New"/>
            </a:rPr>
            <a:t>Add comments here to track additional supporting information, sources or names of participants</a:t>
          </a:r>
        </a:p>
      </xdr:txBody>
    </xdr:sp>
    <xdr:clientData/>
  </xdr:twoCellAnchor>
  <xdr:twoCellAnchor>
    <xdr:from>
      <xdr:col>2</xdr:col>
      <xdr:colOff>11430</xdr:colOff>
      <xdr:row>34</xdr:row>
      <xdr:rowOff>0</xdr:rowOff>
    </xdr:from>
    <xdr:to>
      <xdr:col>2</xdr:col>
      <xdr:colOff>1779176</xdr:colOff>
      <xdr:row>34</xdr:row>
      <xdr:rowOff>266700</xdr:rowOff>
    </xdr:to>
    <xdr:sp macro="" textlink="">
      <xdr:nvSpPr>
        <xdr:cNvPr id="8299" name="AutoShape 107">
          <a:hlinkClick xmlns:r="http://schemas.openxmlformats.org/officeDocument/2006/relationships" r:id="rId8"/>
          <a:extLst>
            <a:ext uri="{FF2B5EF4-FFF2-40B4-BE49-F238E27FC236}">
              <a16:creationId xmlns:a16="http://schemas.microsoft.com/office/drawing/2014/main" id="{8BD36C5D-6248-40FA-BE0C-03575CA56E5B}"/>
            </a:ext>
          </a:extLst>
        </xdr:cNvPr>
        <xdr:cNvSpPr>
          <a:spLocks noChangeArrowheads="1"/>
        </xdr:cNvSpPr>
      </xdr:nvSpPr>
      <xdr:spPr bwMode="auto">
        <a:xfrm>
          <a:off x="161925" y="5295900"/>
          <a:ext cx="1762125" cy="26670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7432" rIns="27432" bIns="0" anchor="t" upright="1"/>
        <a:lstStyle/>
        <a:p>
          <a:pPr algn="ctr" rtl="0">
            <a:defRPr sz="1000"/>
          </a:pPr>
          <a:r>
            <a:rPr lang="en-US" sz="1000" b="1" i="0" u="sng" strike="noStrike" baseline="0">
              <a:solidFill>
                <a:srgbClr val="FFFFFF"/>
              </a:solidFill>
              <a:latin typeface="Courier New"/>
              <a:cs typeface="Courier New"/>
            </a:rPr>
            <a:t>Service Connections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121920</xdr:colOff>
      <xdr:row>21</xdr:row>
      <xdr:rowOff>160020</xdr:rowOff>
    </xdr:from>
    <xdr:to>
      <xdr:col>3</xdr:col>
      <xdr:colOff>339106</xdr:colOff>
      <xdr:row>22</xdr:row>
      <xdr:rowOff>133793</xdr:rowOff>
    </xdr:to>
    <xdr:sp macro="" textlink="">
      <xdr:nvSpPr>
        <xdr:cNvPr id="9218" name="Text Box 2">
          <a:hlinkClick xmlns:r="http://schemas.openxmlformats.org/officeDocument/2006/relationships" r:id="rId1"/>
          <a:extLst>
            <a:ext uri="{FF2B5EF4-FFF2-40B4-BE49-F238E27FC236}">
              <a16:creationId xmlns:a16="http://schemas.microsoft.com/office/drawing/2014/main" id="{66986DD9-E994-6D57-604C-AE6DC5087A4C}"/>
            </a:ext>
          </a:extLst>
        </xdr:cNvPr>
        <xdr:cNvSpPr txBox="1">
          <a:spLocks noChangeArrowheads="1"/>
        </xdr:cNvSpPr>
      </xdr:nvSpPr>
      <xdr:spPr bwMode="auto">
        <a:xfrm>
          <a:off x="4152900" y="32099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23</xdr:row>
      <xdr:rowOff>0</xdr:rowOff>
    </xdr:from>
    <xdr:to>
      <xdr:col>3</xdr:col>
      <xdr:colOff>339106</xdr:colOff>
      <xdr:row>23</xdr:row>
      <xdr:rowOff>142875</xdr:rowOff>
    </xdr:to>
    <xdr:sp macro="" textlink="">
      <xdr:nvSpPr>
        <xdr:cNvPr id="9219" name="Text Box 3">
          <a:hlinkClick xmlns:r="http://schemas.openxmlformats.org/officeDocument/2006/relationships" r:id="rId2"/>
          <a:extLst>
            <a:ext uri="{FF2B5EF4-FFF2-40B4-BE49-F238E27FC236}">
              <a16:creationId xmlns:a16="http://schemas.microsoft.com/office/drawing/2014/main" id="{614ACBA7-8160-FC85-71A8-13237E5D700B}"/>
            </a:ext>
          </a:extLst>
        </xdr:cNvPr>
        <xdr:cNvSpPr txBox="1">
          <a:spLocks noChangeArrowheads="1"/>
        </xdr:cNvSpPr>
      </xdr:nvSpPr>
      <xdr:spPr bwMode="auto">
        <a:xfrm>
          <a:off x="4152900" y="33909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25</xdr:row>
      <xdr:rowOff>19050</xdr:rowOff>
    </xdr:from>
    <xdr:to>
      <xdr:col>3</xdr:col>
      <xdr:colOff>339106</xdr:colOff>
      <xdr:row>25</xdr:row>
      <xdr:rowOff>160437</xdr:rowOff>
    </xdr:to>
    <xdr:sp macro="" textlink="">
      <xdr:nvSpPr>
        <xdr:cNvPr id="9220" name="Text Box 4">
          <a:hlinkClick xmlns:r="http://schemas.openxmlformats.org/officeDocument/2006/relationships" r:id="rId3"/>
          <a:extLst>
            <a:ext uri="{FF2B5EF4-FFF2-40B4-BE49-F238E27FC236}">
              <a16:creationId xmlns:a16="http://schemas.microsoft.com/office/drawing/2014/main" id="{2DB92B01-08C2-19D6-8E8B-7B864F777213}"/>
            </a:ext>
          </a:extLst>
        </xdr:cNvPr>
        <xdr:cNvSpPr txBox="1">
          <a:spLocks noChangeArrowheads="1"/>
        </xdr:cNvSpPr>
      </xdr:nvSpPr>
      <xdr:spPr bwMode="auto">
        <a:xfrm>
          <a:off x="4152900" y="37528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13</xdr:row>
      <xdr:rowOff>19050</xdr:rowOff>
    </xdr:from>
    <xdr:to>
      <xdr:col>3</xdr:col>
      <xdr:colOff>339106</xdr:colOff>
      <xdr:row>13</xdr:row>
      <xdr:rowOff>160437</xdr:rowOff>
    </xdr:to>
    <xdr:sp macro="" textlink="">
      <xdr:nvSpPr>
        <xdr:cNvPr id="9221" name="Text Box 5">
          <a:hlinkClick xmlns:r="http://schemas.openxmlformats.org/officeDocument/2006/relationships" r:id="rId4"/>
          <a:extLst>
            <a:ext uri="{FF2B5EF4-FFF2-40B4-BE49-F238E27FC236}">
              <a16:creationId xmlns:a16="http://schemas.microsoft.com/office/drawing/2014/main" id="{E9B35ED6-4CD0-64D4-820C-00F59AE549B2}"/>
            </a:ext>
          </a:extLst>
        </xdr:cNvPr>
        <xdr:cNvSpPr txBox="1">
          <a:spLocks noChangeArrowheads="1"/>
        </xdr:cNvSpPr>
      </xdr:nvSpPr>
      <xdr:spPr bwMode="auto">
        <a:xfrm>
          <a:off x="4152900" y="19907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24</xdr:row>
      <xdr:rowOff>9525</xdr:rowOff>
    </xdr:from>
    <xdr:to>
      <xdr:col>3</xdr:col>
      <xdr:colOff>339106</xdr:colOff>
      <xdr:row>24</xdr:row>
      <xdr:rowOff>152400</xdr:rowOff>
    </xdr:to>
    <xdr:sp macro="" textlink="">
      <xdr:nvSpPr>
        <xdr:cNvPr id="9222" name="Text Box 6">
          <a:hlinkClick xmlns:r="http://schemas.openxmlformats.org/officeDocument/2006/relationships" r:id="rId5"/>
          <a:extLst>
            <a:ext uri="{FF2B5EF4-FFF2-40B4-BE49-F238E27FC236}">
              <a16:creationId xmlns:a16="http://schemas.microsoft.com/office/drawing/2014/main" id="{447FDF73-D4FD-D448-50F1-5ADDB0FA3297}"/>
            </a:ext>
          </a:extLst>
        </xdr:cNvPr>
        <xdr:cNvSpPr txBox="1">
          <a:spLocks noChangeArrowheads="1"/>
        </xdr:cNvSpPr>
      </xdr:nvSpPr>
      <xdr:spPr bwMode="auto">
        <a:xfrm>
          <a:off x="4152900" y="35718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83820</xdr:colOff>
      <xdr:row>3</xdr:row>
      <xdr:rowOff>83820</xdr:rowOff>
    </xdr:from>
    <xdr:to>
      <xdr:col>2</xdr:col>
      <xdr:colOff>302895</xdr:colOff>
      <xdr:row>4</xdr:row>
      <xdr:rowOff>57593</xdr:rowOff>
    </xdr:to>
    <xdr:sp macro="" textlink="">
      <xdr:nvSpPr>
        <xdr:cNvPr id="9223" name="Text Box 7">
          <a:extLst>
            <a:ext uri="{FF2B5EF4-FFF2-40B4-BE49-F238E27FC236}">
              <a16:creationId xmlns:a16="http://schemas.microsoft.com/office/drawing/2014/main" id="{2BF19292-1C5D-C371-7D9E-7494BDB8547B}"/>
            </a:ext>
          </a:extLst>
        </xdr:cNvPr>
        <xdr:cNvSpPr txBox="1">
          <a:spLocks noChangeArrowheads="1"/>
        </xdr:cNvSpPr>
      </xdr:nvSpPr>
      <xdr:spPr bwMode="auto">
        <a:xfrm>
          <a:off x="257175" y="7524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360045</xdr:colOff>
      <xdr:row>3</xdr:row>
      <xdr:rowOff>76200</xdr:rowOff>
    </xdr:from>
    <xdr:to>
      <xdr:col>2</xdr:col>
      <xdr:colOff>1731645</xdr:colOff>
      <xdr:row>4</xdr:row>
      <xdr:rowOff>76200</xdr:rowOff>
    </xdr:to>
    <xdr:sp macro="" textlink="">
      <xdr:nvSpPr>
        <xdr:cNvPr id="9224" name="Text Box 8">
          <a:extLst>
            <a:ext uri="{FF2B5EF4-FFF2-40B4-BE49-F238E27FC236}">
              <a16:creationId xmlns:a16="http://schemas.microsoft.com/office/drawing/2014/main" id="{FF807AD7-486E-5E9B-ECE3-9707D5E18662}"/>
            </a:ext>
          </a:extLst>
        </xdr:cNvPr>
        <xdr:cNvSpPr txBox="1">
          <a:spLocks noChangeArrowheads="1"/>
        </xdr:cNvSpPr>
      </xdr:nvSpPr>
      <xdr:spPr bwMode="auto">
        <a:xfrm>
          <a:off x="533400" y="742950"/>
          <a:ext cx="1371600" cy="171450"/>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000000"/>
              </a:solidFill>
              <a:latin typeface="Arial"/>
              <a:cs typeface="Arial"/>
            </a:rPr>
            <a:t>Click to access definition</a:t>
          </a:r>
        </a:p>
      </xdr:txBody>
    </xdr:sp>
    <xdr:clientData/>
  </xdr:twoCellAnchor>
  <xdr:twoCellAnchor>
    <xdr:from>
      <xdr:col>3</xdr:col>
      <xdr:colOff>112395</xdr:colOff>
      <xdr:row>62</xdr:row>
      <xdr:rowOff>28575</xdr:rowOff>
    </xdr:from>
    <xdr:to>
      <xdr:col>3</xdr:col>
      <xdr:colOff>331470</xdr:colOff>
      <xdr:row>63</xdr:row>
      <xdr:rowOff>0</xdr:rowOff>
    </xdr:to>
    <xdr:sp macro="" textlink="">
      <xdr:nvSpPr>
        <xdr:cNvPr id="9229" name="Text Box 13">
          <a:hlinkClick xmlns:r="http://schemas.openxmlformats.org/officeDocument/2006/relationships" r:id="rId6"/>
          <a:extLst>
            <a:ext uri="{FF2B5EF4-FFF2-40B4-BE49-F238E27FC236}">
              <a16:creationId xmlns:a16="http://schemas.microsoft.com/office/drawing/2014/main" id="{246E9469-5B6B-CD70-B573-EE667E554A1F}"/>
            </a:ext>
          </a:extLst>
        </xdr:cNvPr>
        <xdr:cNvSpPr txBox="1">
          <a:spLocks noChangeArrowheads="1"/>
        </xdr:cNvSpPr>
      </xdr:nvSpPr>
      <xdr:spPr bwMode="auto">
        <a:xfrm>
          <a:off x="4143375" y="82677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112395</xdr:colOff>
      <xdr:row>61</xdr:row>
      <xdr:rowOff>19050</xdr:rowOff>
    </xdr:from>
    <xdr:to>
      <xdr:col>3</xdr:col>
      <xdr:colOff>329581</xdr:colOff>
      <xdr:row>61</xdr:row>
      <xdr:rowOff>160437</xdr:rowOff>
    </xdr:to>
    <xdr:sp macro="" textlink="">
      <xdr:nvSpPr>
        <xdr:cNvPr id="9230" name="Text Box 14">
          <a:hlinkClick xmlns:r="http://schemas.openxmlformats.org/officeDocument/2006/relationships" r:id="rId7"/>
          <a:extLst>
            <a:ext uri="{FF2B5EF4-FFF2-40B4-BE49-F238E27FC236}">
              <a16:creationId xmlns:a16="http://schemas.microsoft.com/office/drawing/2014/main" id="{C5EFF82B-14FE-3F0D-AD24-F1F2929E99AA}"/>
            </a:ext>
          </a:extLst>
        </xdr:cNvPr>
        <xdr:cNvSpPr txBox="1">
          <a:spLocks noChangeArrowheads="1"/>
        </xdr:cNvSpPr>
      </xdr:nvSpPr>
      <xdr:spPr bwMode="auto">
        <a:xfrm>
          <a:off x="4143375" y="80867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42</xdr:row>
      <xdr:rowOff>28575</xdr:rowOff>
    </xdr:from>
    <xdr:to>
      <xdr:col>3</xdr:col>
      <xdr:colOff>339106</xdr:colOff>
      <xdr:row>43</xdr:row>
      <xdr:rowOff>0</xdr:rowOff>
    </xdr:to>
    <xdr:sp macro="" textlink="">
      <xdr:nvSpPr>
        <xdr:cNvPr id="9231" name="Text Box 15">
          <a:hlinkClick xmlns:r="http://schemas.openxmlformats.org/officeDocument/2006/relationships" r:id="rId8"/>
          <a:extLst>
            <a:ext uri="{FF2B5EF4-FFF2-40B4-BE49-F238E27FC236}">
              <a16:creationId xmlns:a16="http://schemas.microsoft.com/office/drawing/2014/main" id="{833EE8AA-7B48-518C-A231-549B05E1D618}"/>
            </a:ext>
          </a:extLst>
        </xdr:cNvPr>
        <xdr:cNvSpPr txBox="1">
          <a:spLocks noChangeArrowheads="1"/>
        </xdr:cNvSpPr>
      </xdr:nvSpPr>
      <xdr:spPr bwMode="auto">
        <a:xfrm>
          <a:off x="4152900" y="57816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41</xdr:row>
      <xdr:rowOff>19050</xdr:rowOff>
    </xdr:from>
    <xdr:to>
      <xdr:col>3</xdr:col>
      <xdr:colOff>339106</xdr:colOff>
      <xdr:row>41</xdr:row>
      <xdr:rowOff>160437</xdr:rowOff>
    </xdr:to>
    <xdr:sp macro="" textlink="">
      <xdr:nvSpPr>
        <xdr:cNvPr id="9232" name="Text Box 16">
          <a:hlinkClick xmlns:r="http://schemas.openxmlformats.org/officeDocument/2006/relationships" r:id="rId9"/>
          <a:extLst>
            <a:ext uri="{FF2B5EF4-FFF2-40B4-BE49-F238E27FC236}">
              <a16:creationId xmlns:a16="http://schemas.microsoft.com/office/drawing/2014/main" id="{29DC3C55-1058-2621-481C-40B0BB001AEC}"/>
            </a:ext>
          </a:extLst>
        </xdr:cNvPr>
        <xdr:cNvSpPr txBox="1">
          <a:spLocks noChangeArrowheads="1"/>
        </xdr:cNvSpPr>
      </xdr:nvSpPr>
      <xdr:spPr bwMode="auto">
        <a:xfrm>
          <a:off x="4152900" y="55816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112395</xdr:colOff>
      <xdr:row>64</xdr:row>
      <xdr:rowOff>28575</xdr:rowOff>
    </xdr:from>
    <xdr:to>
      <xdr:col>3</xdr:col>
      <xdr:colOff>331470</xdr:colOff>
      <xdr:row>65</xdr:row>
      <xdr:rowOff>0</xdr:rowOff>
    </xdr:to>
    <xdr:sp macro="" textlink="">
      <xdr:nvSpPr>
        <xdr:cNvPr id="9237" name="Text Box 21">
          <a:hlinkClick xmlns:r="http://schemas.openxmlformats.org/officeDocument/2006/relationships" r:id="rId10"/>
          <a:extLst>
            <a:ext uri="{FF2B5EF4-FFF2-40B4-BE49-F238E27FC236}">
              <a16:creationId xmlns:a16="http://schemas.microsoft.com/office/drawing/2014/main" id="{0BDBE6F8-ED96-E50C-C3BD-5746EBB97D03}"/>
            </a:ext>
          </a:extLst>
        </xdr:cNvPr>
        <xdr:cNvSpPr txBox="1">
          <a:spLocks noChangeArrowheads="1"/>
        </xdr:cNvSpPr>
      </xdr:nvSpPr>
      <xdr:spPr bwMode="auto">
        <a:xfrm>
          <a:off x="4143375" y="86106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112395</xdr:colOff>
      <xdr:row>66</xdr:row>
      <xdr:rowOff>28575</xdr:rowOff>
    </xdr:from>
    <xdr:to>
      <xdr:col>3</xdr:col>
      <xdr:colOff>331470</xdr:colOff>
      <xdr:row>67</xdr:row>
      <xdr:rowOff>0</xdr:rowOff>
    </xdr:to>
    <xdr:sp macro="" textlink="">
      <xdr:nvSpPr>
        <xdr:cNvPr id="9238" name="Text Box 22">
          <a:hlinkClick xmlns:r="http://schemas.openxmlformats.org/officeDocument/2006/relationships" r:id="rId11"/>
          <a:extLst>
            <a:ext uri="{FF2B5EF4-FFF2-40B4-BE49-F238E27FC236}">
              <a16:creationId xmlns:a16="http://schemas.microsoft.com/office/drawing/2014/main" id="{2B961E16-71A9-7A6A-34BF-3FD84169180F}"/>
            </a:ext>
          </a:extLst>
        </xdr:cNvPr>
        <xdr:cNvSpPr txBox="1">
          <a:spLocks noChangeArrowheads="1"/>
        </xdr:cNvSpPr>
      </xdr:nvSpPr>
      <xdr:spPr bwMode="auto">
        <a:xfrm>
          <a:off x="4143375" y="89535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10</xdr:col>
      <xdr:colOff>331470</xdr:colOff>
      <xdr:row>1</xdr:row>
      <xdr:rowOff>114300</xdr:rowOff>
    </xdr:from>
    <xdr:to>
      <xdr:col>12</xdr:col>
      <xdr:colOff>529614</xdr:colOff>
      <xdr:row>1</xdr:row>
      <xdr:rowOff>361950</xdr:rowOff>
    </xdr:to>
    <xdr:sp macro="" textlink="">
      <xdr:nvSpPr>
        <xdr:cNvPr id="9239" name="AutoShape 23">
          <a:hlinkClick xmlns:r="http://schemas.openxmlformats.org/officeDocument/2006/relationships" r:id="rId12"/>
          <a:extLst>
            <a:ext uri="{FF2B5EF4-FFF2-40B4-BE49-F238E27FC236}">
              <a16:creationId xmlns:a16="http://schemas.microsoft.com/office/drawing/2014/main" id="{F8694E65-1943-F5AA-5568-5A66BCE785AA}"/>
            </a:ext>
          </a:extLst>
        </xdr:cNvPr>
        <xdr:cNvSpPr>
          <a:spLocks noChangeArrowheads="1"/>
        </xdr:cNvSpPr>
      </xdr:nvSpPr>
      <xdr:spPr bwMode="auto">
        <a:xfrm>
          <a:off x="8153400" y="200025"/>
          <a:ext cx="1333500" cy="24765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Back to Instructions</a:t>
          </a:r>
        </a:p>
      </xdr:txBody>
    </xdr:sp>
    <xdr:clientData/>
  </xdr:twoCellAnchor>
  <xdr:twoCellAnchor>
    <xdr:from>
      <xdr:col>2</xdr:col>
      <xdr:colOff>17145</xdr:colOff>
      <xdr:row>6</xdr:row>
      <xdr:rowOff>76200</xdr:rowOff>
    </xdr:from>
    <xdr:to>
      <xdr:col>13</xdr:col>
      <xdr:colOff>1</xdr:colOff>
      <xdr:row>7</xdr:row>
      <xdr:rowOff>152400</xdr:rowOff>
    </xdr:to>
    <xdr:sp macro="" textlink="">
      <xdr:nvSpPr>
        <xdr:cNvPr id="9241" name="Text Box 25">
          <a:extLst>
            <a:ext uri="{FF2B5EF4-FFF2-40B4-BE49-F238E27FC236}">
              <a16:creationId xmlns:a16="http://schemas.microsoft.com/office/drawing/2014/main" id="{9681BE57-2C40-9860-A3EC-2EB7D226A240}"/>
            </a:ext>
          </a:extLst>
        </xdr:cNvPr>
        <xdr:cNvSpPr txBox="1">
          <a:spLocks noChangeArrowheads="1"/>
        </xdr:cNvSpPr>
      </xdr:nvSpPr>
      <xdr:spPr bwMode="auto">
        <a:xfrm>
          <a:off x="180975" y="1133475"/>
          <a:ext cx="9496425" cy="304800"/>
        </a:xfrm>
        <a:prstGeom prst="rect">
          <a:avLst/>
        </a:prstGeom>
        <a:solidFill>
          <a:srgbClr val="C0C0C0"/>
        </a:solid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Please enter data in the white cells below. Where available, metered values should be used; if metered values are unavailable please estimate a value. Indicate your confidence in the accuracy of the input data by grading each component (1-10) using the drop-down list to the left of the input cell. Hover the mouse over the cell to obtain a description of the grades</a:t>
          </a:r>
        </a:p>
      </xdr:txBody>
    </xdr:sp>
    <xdr:clientData/>
  </xdr:twoCellAnchor>
  <xdr:twoCellAnchor>
    <xdr:from>
      <xdr:col>3</xdr:col>
      <xdr:colOff>121920</xdr:colOff>
      <xdr:row>75</xdr:row>
      <xdr:rowOff>11430</xdr:rowOff>
    </xdr:from>
    <xdr:to>
      <xdr:col>3</xdr:col>
      <xdr:colOff>339106</xdr:colOff>
      <xdr:row>75</xdr:row>
      <xdr:rowOff>162243</xdr:rowOff>
    </xdr:to>
    <xdr:sp macro="" textlink="">
      <xdr:nvSpPr>
        <xdr:cNvPr id="9253" name="Text Box 37">
          <a:hlinkClick xmlns:r="http://schemas.openxmlformats.org/officeDocument/2006/relationships" r:id="rId13"/>
          <a:extLst>
            <a:ext uri="{FF2B5EF4-FFF2-40B4-BE49-F238E27FC236}">
              <a16:creationId xmlns:a16="http://schemas.microsoft.com/office/drawing/2014/main" id="{25C9737F-9A9D-A129-D390-59A73CFD752C}"/>
            </a:ext>
          </a:extLst>
        </xdr:cNvPr>
        <xdr:cNvSpPr txBox="1">
          <a:spLocks noChangeArrowheads="1"/>
        </xdr:cNvSpPr>
      </xdr:nvSpPr>
      <xdr:spPr bwMode="auto">
        <a:xfrm>
          <a:off x="4152900" y="100298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2373630</xdr:colOff>
      <xdr:row>98</xdr:row>
      <xdr:rowOff>19050</xdr:rowOff>
    </xdr:from>
    <xdr:to>
      <xdr:col>2</xdr:col>
      <xdr:colOff>2598573</xdr:colOff>
      <xdr:row>98</xdr:row>
      <xdr:rowOff>160437</xdr:rowOff>
    </xdr:to>
    <xdr:sp macro="" textlink="">
      <xdr:nvSpPr>
        <xdr:cNvPr id="9269" name="Text Box 53">
          <a:hlinkClick xmlns:r="http://schemas.openxmlformats.org/officeDocument/2006/relationships" r:id="rId14"/>
          <a:extLst>
            <a:ext uri="{FF2B5EF4-FFF2-40B4-BE49-F238E27FC236}">
              <a16:creationId xmlns:a16="http://schemas.microsoft.com/office/drawing/2014/main" id="{90A07644-0390-6A64-9096-B14456FFB0D6}"/>
            </a:ext>
          </a:extLst>
        </xdr:cNvPr>
        <xdr:cNvSpPr txBox="1">
          <a:spLocks noChangeArrowheads="1"/>
        </xdr:cNvSpPr>
      </xdr:nvSpPr>
      <xdr:spPr bwMode="auto">
        <a:xfrm>
          <a:off x="2552700" y="130111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1192530</xdr:colOff>
      <xdr:row>104</xdr:row>
      <xdr:rowOff>11430</xdr:rowOff>
    </xdr:from>
    <xdr:to>
      <xdr:col>2</xdr:col>
      <xdr:colOff>1417473</xdr:colOff>
      <xdr:row>104</xdr:row>
      <xdr:rowOff>155038</xdr:rowOff>
    </xdr:to>
    <xdr:sp macro="" textlink="">
      <xdr:nvSpPr>
        <xdr:cNvPr id="9270" name="Text Box 54">
          <a:hlinkClick xmlns:r="http://schemas.openxmlformats.org/officeDocument/2006/relationships" r:id="rId15"/>
          <a:extLst>
            <a:ext uri="{FF2B5EF4-FFF2-40B4-BE49-F238E27FC236}">
              <a16:creationId xmlns:a16="http://schemas.microsoft.com/office/drawing/2014/main" id="{A7F4DF6F-FB7A-59B0-4057-92310FD4BA6A}"/>
            </a:ext>
          </a:extLst>
        </xdr:cNvPr>
        <xdr:cNvSpPr txBox="1">
          <a:spLocks noChangeArrowheads="1"/>
        </xdr:cNvSpPr>
      </xdr:nvSpPr>
      <xdr:spPr bwMode="auto">
        <a:xfrm>
          <a:off x="1371600" y="13687425"/>
          <a:ext cx="219075"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14</xdr:row>
      <xdr:rowOff>19050</xdr:rowOff>
    </xdr:from>
    <xdr:to>
      <xdr:col>3</xdr:col>
      <xdr:colOff>339106</xdr:colOff>
      <xdr:row>14</xdr:row>
      <xdr:rowOff>160437</xdr:rowOff>
    </xdr:to>
    <xdr:sp macro="" textlink="">
      <xdr:nvSpPr>
        <xdr:cNvPr id="9310" name="Text Box 94">
          <a:hlinkClick xmlns:r="http://schemas.openxmlformats.org/officeDocument/2006/relationships" r:id="rId16"/>
          <a:extLst>
            <a:ext uri="{FF2B5EF4-FFF2-40B4-BE49-F238E27FC236}">
              <a16:creationId xmlns:a16="http://schemas.microsoft.com/office/drawing/2014/main" id="{6737594A-8A01-0F59-126C-8FE9D31C4BE3}"/>
            </a:ext>
          </a:extLst>
        </xdr:cNvPr>
        <xdr:cNvSpPr txBox="1">
          <a:spLocks noChangeArrowheads="1"/>
        </xdr:cNvSpPr>
      </xdr:nvSpPr>
      <xdr:spPr bwMode="auto">
        <a:xfrm>
          <a:off x="4152900" y="21621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15</xdr:row>
      <xdr:rowOff>19050</xdr:rowOff>
    </xdr:from>
    <xdr:to>
      <xdr:col>3</xdr:col>
      <xdr:colOff>339106</xdr:colOff>
      <xdr:row>15</xdr:row>
      <xdr:rowOff>160437</xdr:rowOff>
    </xdr:to>
    <xdr:sp macro="" textlink="">
      <xdr:nvSpPr>
        <xdr:cNvPr id="9311" name="Text Box 95">
          <a:hlinkClick xmlns:r="http://schemas.openxmlformats.org/officeDocument/2006/relationships" r:id="rId17"/>
          <a:extLst>
            <a:ext uri="{FF2B5EF4-FFF2-40B4-BE49-F238E27FC236}">
              <a16:creationId xmlns:a16="http://schemas.microsoft.com/office/drawing/2014/main" id="{E427C2B0-A22B-07AD-70BE-27CEF2E3CA8B}"/>
            </a:ext>
          </a:extLst>
        </xdr:cNvPr>
        <xdr:cNvSpPr txBox="1">
          <a:spLocks noChangeArrowheads="1"/>
        </xdr:cNvSpPr>
      </xdr:nvSpPr>
      <xdr:spPr bwMode="auto">
        <a:xfrm>
          <a:off x="4152900" y="23336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16</xdr:row>
      <xdr:rowOff>19050</xdr:rowOff>
    </xdr:from>
    <xdr:to>
      <xdr:col>3</xdr:col>
      <xdr:colOff>339106</xdr:colOff>
      <xdr:row>16</xdr:row>
      <xdr:rowOff>160437</xdr:rowOff>
    </xdr:to>
    <xdr:sp macro="" textlink="">
      <xdr:nvSpPr>
        <xdr:cNvPr id="9312" name="Text Box 96">
          <a:hlinkClick xmlns:r="http://schemas.openxmlformats.org/officeDocument/2006/relationships" r:id="rId18"/>
          <a:extLst>
            <a:ext uri="{FF2B5EF4-FFF2-40B4-BE49-F238E27FC236}">
              <a16:creationId xmlns:a16="http://schemas.microsoft.com/office/drawing/2014/main" id="{9B98565D-586E-1379-CEC0-75230E8C8692}"/>
            </a:ext>
          </a:extLst>
        </xdr:cNvPr>
        <xdr:cNvSpPr txBox="1">
          <a:spLocks noChangeArrowheads="1"/>
        </xdr:cNvSpPr>
      </xdr:nvSpPr>
      <xdr:spPr bwMode="auto">
        <a:xfrm>
          <a:off x="4152900" y="25050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37</xdr:row>
      <xdr:rowOff>19050</xdr:rowOff>
    </xdr:from>
    <xdr:to>
      <xdr:col>3</xdr:col>
      <xdr:colOff>339106</xdr:colOff>
      <xdr:row>37</xdr:row>
      <xdr:rowOff>160437</xdr:rowOff>
    </xdr:to>
    <xdr:sp macro="" textlink="">
      <xdr:nvSpPr>
        <xdr:cNvPr id="9313" name="Text Box 97">
          <a:hlinkClick xmlns:r="http://schemas.openxmlformats.org/officeDocument/2006/relationships" r:id="rId19"/>
          <a:extLst>
            <a:ext uri="{FF2B5EF4-FFF2-40B4-BE49-F238E27FC236}">
              <a16:creationId xmlns:a16="http://schemas.microsoft.com/office/drawing/2014/main" id="{FFA61EAF-DA22-9068-50AB-8BFEA692ECDB}"/>
            </a:ext>
          </a:extLst>
        </xdr:cNvPr>
        <xdr:cNvSpPr txBox="1">
          <a:spLocks noChangeArrowheads="1"/>
        </xdr:cNvSpPr>
      </xdr:nvSpPr>
      <xdr:spPr bwMode="auto">
        <a:xfrm>
          <a:off x="4152900" y="51435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74</xdr:row>
      <xdr:rowOff>19050</xdr:rowOff>
    </xdr:from>
    <xdr:to>
      <xdr:col>3</xdr:col>
      <xdr:colOff>339106</xdr:colOff>
      <xdr:row>74</xdr:row>
      <xdr:rowOff>160437</xdr:rowOff>
    </xdr:to>
    <xdr:sp macro="" textlink="">
      <xdr:nvSpPr>
        <xdr:cNvPr id="9315" name="Text Box 99">
          <a:hlinkClick xmlns:r="http://schemas.openxmlformats.org/officeDocument/2006/relationships" r:id="rId20"/>
          <a:extLst>
            <a:ext uri="{FF2B5EF4-FFF2-40B4-BE49-F238E27FC236}">
              <a16:creationId xmlns:a16="http://schemas.microsoft.com/office/drawing/2014/main" id="{0002F038-F66F-1D26-4598-2DE183DAACC2}"/>
            </a:ext>
          </a:extLst>
        </xdr:cNvPr>
        <xdr:cNvSpPr txBox="1">
          <a:spLocks noChangeArrowheads="1"/>
        </xdr:cNvSpPr>
      </xdr:nvSpPr>
      <xdr:spPr bwMode="auto">
        <a:xfrm>
          <a:off x="4152900" y="98488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73</xdr:row>
      <xdr:rowOff>19050</xdr:rowOff>
    </xdr:from>
    <xdr:to>
      <xdr:col>3</xdr:col>
      <xdr:colOff>339106</xdr:colOff>
      <xdr:row>73</xdr:row>
      <xdr:rowOff>160437</xdr:rowOff>
    </xdr:to>
    <xdr:sp macro="" textlink="">
      <xdr:nvSpPr>
        <xdr:cNvPr id="9316" name="Text Box 100">
          <a:hlinkClick xmlns:r="http://schemas.openxmlformats.org/officeDocument/2006/relationships" r:id="rId21"/>
          <a:extLst>
            <a:ext uri="{FF2B5EF4-FFF2-40B4-BE49-F238E27FC236}">
              <a16:creationId xmlns:a16="http://schemas.microsoft.com/office/drawing/2014/main" id="{0D750C32-5F11-1DBF-7763-B5A2BF48CA43}"/>
            </a:ext>
          </a:extLst>
        </xdr:cNvPr>
        <xdr:cNvSpPr txBox="1">
          <a:spLocks noChangeArrowheads="1"/>
        </xdr:cNvSpPr>
      </xdr:nvSpPr>
      <xdr:spPr bwMode="auto">
        <a:xfrm>
          <a:off x="4152900" y="96678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1040130</xdr:colOff>
      <xdr:row>64</xdr:row>
      <xdr:rowOff>0</xdr:rowOff>
    </xdr:from>
    <xdr:to>
      <xdr:col>12</xdr:col>
      <xdr:colOff>558166</xdr:colOff>
      <xdr:row>65</xdr:row>
      <xdr:rowOff>160116</xdr:rowOff>
    </xdr:to>
    <xdr:sp macro="" textlink="">
      <xdr:nvSpPr>
        <xdr:cNvPr id="9343" name="Rectangle 127">
          <a:extLst>
            <a:ext uri="{FF2B5EF4-FFF2-40B4-BE49-F238E27FC236}">
              <a16:creationId xmlns:a16="http://schemas.microsoft.com/office/drawing/2014/main" id="{FB0D8D47-DA8F-A042-485D-CAF9F81F59F3}"/>
            </a:ext>
          </a:extLst>
        </xdr:cNvPr>
        <xdr:cNvSpPr>
          <a:spLocks noChangeArrowheads="1"/>
        </xdr:cNvSpPr>
      </xdr:nvSpPr>
      <xdr:spPr bwMode="auto">
        <a:xfrm>
          <a:off x="7029450" y="8582025"/>
          <a:ext cx="2486025" cy="33337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000000"/>
              </a:solidFill>
              <a:latin typeface="Courier New"/>
              <a:cs typeface="Courier New"/>
            </a:rPr>
            <a:t>(pipe length between curbstop and customer meter or property boundary)</a:t>
          </a:r>
        </a:p>
      </xdr:txBody>
    </xdr:sp>
    <xdr:clientData/>
  </xdr:twoCellAnchor>
  <xdr:twoCellAnchor>
    <xdr:from>
      <xdr:col>10</xdr:col>
      <xdr:colOff>95250</xdr:colOff>
      <xdr:row>28</xdr:row>
      <xdr:rowOff>0</xdr:rowOff>
    </xdr:from>
    <xdr:to>
      <xdr:col>12</xdr:col>
      <xdr:colOff>596326</xdr:colOff>
      <xdr:row>34</xdr:row>
      <xdr:rowOff>104775</xdr:rowOff>
    </xdr:to>
    <xdr:sp macro="" textlink="">
      <xdr:nvSpPr>
        <xdr:cNvPr id="9442" name="Text Box 226">
          <a:extLst>
            <a:ext uri="{FF2B5EF4-FFF2-40B4-BE49-F238E27FC236}">
              <a16:creationId xmlns:a16="http://schemas.microsoft.com/office/drawing/2014/main" id="{B3EBAFAC-B9D9-3C5B-0F44-6A4071329F17}"/>
            </a:ext>
          </a:extLst>
        </xdr:cNvPr>
        <xdr:cNvSpPr txBox="1">
          <a:spLocks noChangeArrowheads="1"/>
        </xdr:cNvSpPr>
      </xdr:nvSpPr>
      <xdr:spPr bwMode="auto">
        <a:xfrm>
          <a:off x="7915275" y="4143375"/>
          <a:ext cx="1638300" cy="657225"/>
        </a:xfrm>
        <a:prstGeom prst="rect">
          <a:avLst/>
        </a:prstGeom>
        <a:solidFill>
          <a:srgbClr val="C0C0C0"/>
        </a:solidFill>
        <a:ln w="12700" algn="ctr">
          <a:noFill/>
          <a:miter lim="800000"/>
          <a:headEnd/>
          <a:tailEnd/>
        </a:ln>
        <a:effectLst/>
      </xdr:spPr>
      <xdr:txBody>
        <a:bodyPr vertOverflow="clip" wrap="square" lIns="27432" tIns="22860" rIns="27432" bIns="0" anchor="t" upright="1"/>
        <a:lstStyle/>
        <a:p>
          <a:pPr algn="ctr" rtl="0">
            <a:defRPr sz="1000"/>
          </a:pPr>
          <a:r>
            <a:rPr lang="en-US" sz="900" b="0" i="0" u="none" strike="noStrike" baseline="0">
              <a:solidFill>
                <a:srgbClr val="000000"/>
              </a:solidFill>
              <a:latin typeface="Arial"/>
              <a:cs typeface="Arial"/>
            </a:rPr>
            <a:t>Use buttons to select</a:t>
          </a:r>
        </a:p>
        <a:p>
          <a:pPr algn="ctr" rtl="0">
            <a:defRPr sz="1000"/>
          </a:pPr>
          <a:r>
            <a:rPr lang="en-US" sz="900" b="0" i="0" u="none" strike="noStrike" baseline="0">
              <a:solidFill>
                <a:srgbClr val="000000"/>
              </a:solidFill>
              <a:latin typeface="Arial"/>
              <a:cs typeface="Arial"/>
            </a:rPr>
            <a:t>percentage of water supplied</a:t>
          </a:r>
        </a:p>
        <a:p>
          <a:pPr algn="ctr" rtl="0">
            <a:defRPr sz="1000"/>
          </a:pPr>
          <a:r>
            <a:rPr lang="en-US" sz="900" b="1" i="0" u="sng" strike="noStrike" baseline="0">
              <a:solidFill>
                <a:srgbClr val="000000"/>
              </a:solidFill>
              <a:latin typeface="Arial"/>
              <a:cs typeface="Arial"/>
            </a:rPr>
            <a:t>OR</a:t>
          </a:r>
        </a:p>
        <a:p>
          <a:pPr algn="ctr" rtl="0">
            <a:defRPr sz="1000"/>
          </a:pPr>
          <a:r>
            <a:rPr lang="en-US" sz="900" b="0" i="0" u="none" strike="noStrike" baseline="0">
              <a:solidFill>
                <a:srgbClr val="000000"/>
              </a:solidFill>
              <a:latin typeface="Arial"/>
              <a:cs typeface="Arial"/>
            </a:rPr>
            <a:t>value</a:t>
          </a:r>
        </a:p>
      </xdr:txBody>
    </xdr:sp>
    <xdr:clientData/>
  </xdr:twoCellAnchor>
  <xdr:twoCellAnchor>
    <xdr:from>
      <xdr:col>10</xdr:col>
      <xdr:colOff>409575</xdr:colOff>
      <xdr:row>34</xdr:row>
      <xdr:rowOff>85725</xdr:rowOff>
    </xdr:from>
    <xdr:to>
      <xdr:col>10</xdr:col>
      <xdr:colOff>409575</xdr:colOff>
      <xdr:row>36</xdr:row>
      <xdr:rowOff>152400</xdr:rowOff>
    </xdr:to>
    <xdr:sp macro="" textlink="">
      <xdr:nvSpPr>
        <xdr:cNvPr id="46725" name="Line 227">
          <a:extLst>
            <a:ext uri="{FF2B5EF4-FFF2-40B4-BE49-F238E27FC236}">
              <a16:creationId xmlns:a16="http://schemas.microsoft.com/office/drawing/2014/main" id="{B8AFA7BF-46CF-C524-6308-6B5F81999830}"/>
            </a:ext>
          </a:extLst>
        </xdr:cNvPr>
        <xdr:cNvSpPr>
          <a:spLocks noChangeShapeType="1"/>
        </xdr:cNvSpPr>
      </xdr:nvSpPr>
      <xdr:spPr bwMode="auto">
        <a:xfrm>
          <a:off x="8229600" y="4781550"/>
          <a:ext cx="0" cy="32385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409575</xdr:colOff>
      <xdr:row>34</xdr:row>
      <xdr:rowOff>57150</xdr:rowOff>
    </xdr:from>
    <xdr:to>
      <xdr:col>11</xdr:col>
      <xdr:colOff>114300</xdr:colOff>
      <xdr:row>34</xdr:row>
      <xdr:rowOff>57150</xdr:rowOff>
    </xdr:to>
    <xdr:sp macro="" textlink="">
      <xdr:nvSpPr>
        <xdr:cNvPr id="46726" name="Line 228">
          <a:extLst>
            <a:ext uri="{FF2B5EF4-FFF2-40B4-BE49-F238E27FC236}">
              <a16:creationId xmlns:a16="http://schemas.microsoft.com/office/drawing/2014/main" id="{F3EF5BEA-DF90-B399-627E-A4C3B5001FC6}"/>
            </a:ext>
          </a:extLst>
        </xdr:cNvPr>
        <xdr:cNvSpPr>
          <a:spLocks noChangeShapeType="1"/>
        </xdr:cNvSpPr>
      </xdr:nvSpPr>
      <xdr:spPr bwMode="auto">
        <a:xfrm>
          <a:off x="8229600" y="4752975"/>
          <a:ext cx="30480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171450</xdr:colOff>
      <xdr:row>29</xdr:row>
      <xdr:rowOff>66675</xdr:rowOff>
    </xdr:from>
    <xdr:to>
      <xdr:col>10</xdr:col>
      <xdr:colOff>333375</xdr:colOff>
      <xdr:row>29</xdr:row>
      <xdr:rowOff>66675</xdr:rowOff>
    </xdr:to>
    <xdr:sp macro="" textlink="">
      <xdr:nvSpPr>
        <xdr:cNvPr id="46727" name="Line 234">
          <a:extLst>
            <a:ext uri="{FF2B5EF4-FFF2-40B4-BE49-F238E27FC236}">
              <a16:creationId xmlns:a16="http://schemas.microsoft.com/office/drawing/2014/main" id="{F5DFDAA0-93C4-2F26-CD0C-BBCE5128E25A}"/>
            </a:ext>
          </a:extLst>
        </xdr:cNvPr>
        <xdr:cNvSpPr>
          <a:spLocks noChangeShapeType="1"/>
        </xdr:cNvSpPr>
      </xdr:nvSpPr>
      <xdr:spPr bwMode="auto">
        <a:xfrm flipV="1">
          <a:off x="7991475" y="4238625"/>
          <a:ext cx="161925"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171450</xdr:colOff>
      <xdr:row>27</xdr:row>
      <xdr:rowOff>0</xdr:rowOff>
    </xdr:from>
    <xdr:to>
      <xdr:col>10</xdr:col>
      <xdr:colOff>171450</xdr:colOff>
      <xdr:row>29</xdr:row>
      <xdr:rowOff>38100</xdr:rowOff>
    </xdr:to>
    <xdr:sp macro="" textlink="">
      <xdr:nvSpPr>
        <xdr:cNvPr id="46728" name="Line 235">
          <a:extLst>
            <a:ext uri="{FF2B5EF4-FFF2-40B4-BE49-F238E27FC236}">
              <a16:creationId xmlns:a16="http://schemas.microsoft.com/office/drawing/2014/main" id="{ACA8355C-2AC2-4424-130D-8466FB54B5AE}"/>
            </a:ext>
          </a:extLst>
        </xdr:cNvPr>
        <xdr:cNvSpPr>
          <a:spLocks noChangeShapeType="1"/>
        </xdr:cNvSpPr>
      </xdr:nvSpPr>
      <xdr:spPr bwMode="auto">
        <a:xfrm flipV="1">
          <a:off x="7991475" y="3952875"/>
          <a:ext cx="0" cy="25717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434340</xdr:colOff>
      <xdr:row>21</xdr:row>
      <xdr:rowOff>19050</xdr:rowOff>
    </xdr:from>
    <xdr:to>
      <xdr:col>12</xdr:col>
      <xdr:colOff>112456</xdr:colOff>
      <xdr:row>21</xdr:row>
      <xdr:rowOff>160437</xdr:rowOff>
    </xdr:to>
    <xdr:sp macro="" textlink="">
      <xdr:nvSpPr>
        <xdr:cNvPr id="9456" name="Text Box 240">
          <a:hlinkClick xmlns:r="http://schemas.openxmlformats.org/officeDocument/2006/relationships" r:id="rId22" tooltip="Defaults"/>
          <a:extLst>
            <a:ext uri="{FF2B5EF4-FFF2-40B4-BE49-F238E27FC236}">
              <a16:creationId xmlns:a16="http://schemas.microsoft.com/office/drawing/2014/main" id="{754CE351-DB53-C2E1-A85B-4D3F59ACC1D4}"/>
            </a:ext>
          </a:extLst>
        </xdr:cNvPr>
        <xdr:cNvSpPr txBox="1">
          <a:spLocks noChangeArrowheads="1"/>
        </xdr:cNvSpPr>
      </xdr:nvSpPr>
      <xdr:spPr bwMode="auto">
        <a:xfrm>
          <a:off x="8848725" y="30670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10</xdr:col>
      <xdr:colOff>396240</xdr:colOff>
      <xdr:row>21</xdr:row>
      <xdr:rowOff>19050</xdr:rowOff>
    </xdr:from>
    <xdr:to>
      <xdr:col>11</xdr:col>
      <xdr:colOff>415432</xdr:colOff>
      <xdr:row>22</xdr:row>
      <xdr:rowOff>9525</xdr:rowOff>
    </xdr:to>
    <xdr:sp macro="" textlink="">
      <xdr:nvSpPr>
        <xdr:cNvPr id="9457" name="Text Box 241">
          <a:extLst>
            <a:ext uri="{FF2B5EF4-FFF2-40B4-BE49-F238E27FC236}">
              <a16:creationId xmlns:a16="http://schemas.microsoft.com/office/drawing/2014/main" id="{ED0787D7-CABE-05DF-C7B0-9C666DD33FE6}"/>
            </a:ext>
          </a:extLst>
        </xdr:cNvPr>
        <xdr:cNvSpPr txBox="1">
          <a:spLocks noChangeArrowheads="1"/>
        </xdr:cNvSpPr>
      </xdr:nvSpPr>
      <xdr:spPr bwMode="auto">
        <a:xfrm>
          <a:off x="8210550" y="3067050"/>
          <a:ext cx="628650" cy="1619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Click here: </a:t>
          </a:r>
        </a:p>
        <a:p>
          <a:pPr algn="l" rtl="0">
            <a:defRPr sz="1000"/>
          </a:pPr>
          <a:endParaRPr lang="en-US" sz="900" b="0" i="0" u="none" strike="noStrike" baseline="0">
            <a:solidFill>
              <a:srgbClr val="000000"/>
            </a:solidFill>
            <a:latin typeface="Arial"/>
            <a:cs typeface="Arial"/>
          </a:endParaRPr>
        </a:p>
      </xdr:txBody>
    </xdr:sp>
    <xdr:clientData/>
  </xdr:twoCellAnchor>
  <xdr:twoCellAnchor>
    <xdr:from>
      <xdr:col>10</xdr:col>
      <xdr:colOff>398145</xdr:colOff>
      <xdr:row>21</xdr:row>
      <xdr:rowOff>160020</xdr:rowOff>
    </xdr:from>
    <xdr:to>
      <xdr:col>12</xdr:col>
      <xdr:colOff>453429</xdr:colOff>
      <xdr:row>23</xdr:row>
      <xdr:rowOff>152499</xdr:rowOff>
    </xdr:to>
    <xdr:sp macro="" textlink="">
      <xdr:nvSpPr>
        <xdr:cNvPr id="9459" name="Text Box 243">
          <a:extLst>
            <a:ext uri="{FF2B5EF4-FFF2-40B4-BE49-F238E27FC236}">
              <a16:creationId xmlns:a16="http://schemas.microsoft.com/office/drawing/2014/main" id="{0E1B9527-E03B-261E-476C-0D79345759EE}"/>
            </a:ext>
          </a:extLst>
        </xdr:cNvPr>
        <xdr:cNvSpPr txBox="1">
          <a:spLocks noChangeArrowheads="1"/>
        </xdr:cNvSpPr>
      </xdr:nvSpPr>
      <xdr:spPr bwMode="auto">
        <a:xfrm>
          <a:off x="8220075" y="3209925"/>
          <a:ext cx="1190625" cy="333375"/>
        </a:xfrm>
        <a:prstGeom prst="rect">
          <a:avLst/>
        </a:prstGeom>
        <a:noFill/>
        <a:ln w="9525">
          <a:noFill/>
          <a:miter lim="800000"/>
          <a:headEnd/>
          <a:tailEnd/>
        </a:ln>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for help using option buttons below</a:t>
          </a:r>
        </a:p>
      </xdr:txBody>
    </xdr:sp>
    <xdr:clientData/>
  </xdr:twoCellAnchor>
  <xdr:twoCellAnchor>
    <xdr:from>
      <xdr:col>1</xdr:col>
      <xdr:colOff>57150</xdr:colOff>
      <xdr:row>106</xdr:row>
      <xdr:rowOff>190500</xdr:rowOff>
    </xdr:from>
    <xdr:to>
      <xdr:col>13</xdr:col>
      <xdr:colOff>95250</xdr:colOff>
      <xdr:row>119</xdr:row>
      <xdr:rowOff>85725</xdr:rowOff>
    </xdr:to>
    <xdr:sp macro="" textlink="">
      <xdr:nvSpPr>
        <xdr:cNvPr id="46732" name="Rectangle 405">
          <a:extLst>
            <a:ext uri="{FF2B5EF4-FFF2-40B4-BE49-F238E27FC236}">
              <a16:creationId xmlns:a16="http://schemas.microsoft.com/office/drawing/2014/main" id="{2A638FCD-72A1-E914-24D3-2D58703283D7}"/>
            </a:ext>
          </a:extLst>
        </xdr:cNvPr>
        <xdr:cNvSpPr>
          <a:spLocks noChangeArrowheads="1"/>
        </xdr:cNvSpPr>
      </xdr:nvSpPr>
      <xdr:spPr bwMode="auto">
        <a:xfrm>
          <a:off x="104775" y="14135100"/>
          <a:ext cx="9667875" cy="2228850"/>
        </a:xfrm>
        <a:prstGeom prst="rect">
          <a:avLst/>
        </a:prstGeom>
        <a:noFill/>
        <a:ln w="15875" algn="ctr">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358140</xdr:colOff>
      <xdr:row>115</xdr:row>
      <xdr:rowOff>28575</xdr:rowOff>
    </xdr:from>
    <xdr:to>
      <xdr:col>11</xdr:col>
      <xdr:colOff>407676</xdr:colOff>
      <xdr:row>118</xdr:row>
      <xdr:rowOff>0</xdr:rowOff>
    </xdr:to>
    <xdr:sp macro="" textlink="">
      <xdr:nvSpPr>
        <xdr:cNvPr id="9625" name="AutoShape 409">
          <a:hlinkClick xmlns:r="http://schemas.openxmlformats.org/officeDocument/2006/relationships" r:id="rId23"/>
          <a:extLst>
            <a:ext uri="{FF2B5EF4-FFF2-40B4-BE49-F238E27FC236}">
              <a16:creationId xmlns:a16="http://schemas.microsoft.com/office/drawing/2014/main" id="{62A46332-0AEC-66CA-280C-384D50AA30A4}"/>
            </a:ext>
          </a:extLst>
        </xdr:cNvPr>
        <xdr:cNvSpPr>
          <a:spLocks noChangeArrowheads="1"/>
        </xdr:cNvSpPr>
      </xdr:nvSpPr>
      <xdr:spPr bwMode="auto">
        <a:xfrm>
          <a:off x="4381500" y="15792450"/>
          <a:ext cx="4448175" cy="2952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For more information, click here to see the Grading Matrix worksheet</a:t>
          </a:r>
        </a:p>
      </xdr:txBody>
    </xdr:sp>
    <xdr:clientData/>
  </xdr:twoCellAnchor>
  <xdr:twoCellAnchor>
    <xdr:from>
      <xdr:col>10</xdr:col>
      <xdr:colOff>180975</xdr:colOff>
      <xdr:row>46</xdr:row>
      <xdr:rowOff>57150</xdr:rowOff>
    </xdr:from>
    <xdr:to>
      <xdr:col>10</xdr:col>
      <xdr:colOff>571500</xdr:colOff>
      <xdr:row>46</xdr:row>
      <xdr:rowOff>57150</xdr:rowOff>
    </xdr:to>
    <xdr:sp macro="" textlink="">
      <xdr:nvSpPr>
        <xdr:cNvPr id="46734" name="Line 471">
          <a:extLst>
            <a:ext uri="{FF2B5EF4-FFF2-40B4-BE49-F238E27FC236}">
              <a16:creationId xmlns:a16="http://schemas.microsoft.com/office/drawing/2014/main" id="{DFFB70CF-7CF2-70B9-9EC3-6AED09B64881}"/>
            </a:ext>
          </a:extLst>
        </xdr:cNvPr>
        <xdr:cNvSpPr>
          <a:spLocks noChangeShapeType="1"/>
        </xdr:cNvSpPr>
      </xdr:nvSpPr>
      <xdr:spPr bwMode="auto">
        <a:xfrm>
          <a:off x="8001000" y="6210300"/>
          <a:ext cx="390525"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171450</xdr:colOff>
      <xdr:row>42</xdr:row>
      <xdr:rowOff>28575</xdr:rowOff>
    </xdr:from>
    <xdr:to>
      <xdr:col>10</xdr:col>
      <xdr:colOff>171450</xdr:colOff>
      <xdr:row>46</xdr:row>
      <xdr:rowOff>38100</xdr:rowOff>
    </xdr:to>
    <xdr:sp macro="" textlink="">
      <xdr:nvSpPr>
        <xdr:cNvPr id="46735" name="Line 472">
          <a:extLst>
            <a:ext uri="{FF2B5EF4-FFF2-40B4-BE49-F238E27FC236}">
              <a16:creationId xmlns:a16="http://schemas.microsoft.com/office/drawing/2014/main" id="{F8F30749-2EDF-698F-F548-36AA5BA8F46C}"/>
            </a:ext>
          </a:extLst>
        </xdr:cNvPr>
        <xdr:cNvSpPr>
          <a:spLocks noChangeShapeType="1"/>
        </xdr:cNvSpPr>
      </xdr:nvSpPr>
      <xdr:spPr bwMode="auto">
        <a:xfrm flipV="1">
          <a:off x="7991475" y="5781675"/>
          <a:ext cx="0" cy="40957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142875</xdr:colOff>
      <xdr:row>48</xdr:row>
      <xdr:rowOff>0</xdr:rowOff>
    </xdr:from>
    <xdr:to>
      <xdr:col>10</xdr:col>
      <xdr:colOff>369504</xdr:colOff>
      <xdr:row>48</xdr:row>
      <xdr:rowOff>125942</xdr:rowOff>
    </xdr:to>
    <xdr:sp macro="" textlink="">
      <xdr:nvSpPr>
        <xdr:cNvPr id="9689" name="Text Box 473">
          <a:hlinkClick xmlns:r="http://schemas.openxmlformats.org/officeDocument/2006/relationships" r:id="rId6"/>
          <a:extLst>
            <a:ext uri="{FF2B5EF4-FFF2-40B4-BE49-F238E27FC236}">
              <a16:creationId xmlns:a16="http://schemas.microsoft.com/office/drawing/2014/main" id="{F2A549B0-B827-657B-9E13-E0D2E1E0B6CA}"/>
            </a:ext>
          </a:extLst>
        </xdr:cNvPr>
        <xdr:cNvSpPr txBox="1">
          <a:spLocks noChangeArrowheads="1"/>
        </xdr:cNvSpPr>
      </xdr:nvSpPr>
      <xdr:spPr bwMode="auto">
        <a:xfrm>
          <a:off x="7962900" y="6353175"/>
          <a:ext cx="219075"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1588770</xdr:colOff>
      <xdr:row>1</xdr:row>
      <xdr:rowOff>276225</xdr:rowOff>
    </xdr:from>
    <xdr:to>
      <xdr:col>6</xdr:col>
      <xdr:colOff>861041</xdr:colOff>
      <xdr:row>1</xdr:row>
      <xdr:rowOff>447675</xdr:rowOff>
    </xdr:to>
    <xdr:sp macro="" textlink="">
      <xdr:nvSpPr>
        <xdr:cNvPr id="9966" name="Text Box 474">
          <a:extLst>
            <a:ext uri="{FF2B5EF4-FFF2-40B4-BE49-F238E27FC236}">
              <a16:creationId xmlns:a16="http://schemas.microsoft.com/office/drawing/2014/main" id="{D22DF56D-D87F-DDC0-52D2-080A1EC93BA8}"/>
            </a:ext>
          </a:extLst>
        </xdr:cNvPr>
        <xdr:cNvSpPr txBox="1">
          <a:spLocks noChangeArrowheads="1"/>
        </xdr:cNvSpPr>
      </xdr:nvSpPr>
      <xdr:spPr bwMode="auto">
        <a:xfrm>
          <a:off x="1762125" y="361950"/>
          <a:ext cx="38385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xdr:from>
      <xdr:col>3</xdr:col>
      <xdr:colOff>133350</xdr:colOff>
      <xdr:row>51</xdr:row>
      <xdr:rowOff>0</xdr:rowOff>
    </xdr:from>
    <xdr:to>
      <xdr:col>3</xdr:col>
      <xdr:colOff>358293</xdr:colOff>
      <xdr:row>51</xdr:row>
      <xdr:rowOff>142875</xdr:rowOff>
    </xdr:to>
    <xdr:sp macro="" textlink="">
      <xdr:nvSpPr>
        <xdr:cNvPr id="9704" name="Text Box 488">
          <a:hlinkClick xmlns:r="http://schemas.openxmlformats.org/officeDocument/2006/relationships" r:id="rId24"/>
          <a:extLst>
            <a:ext uri="{FF2B5EF4-FFF2-40B4-BE49-F238E27FC236}">
              <a16:creationId xmlns:a16="http://schemas.microsoft.com/office/drawing/2014/main" id="{CEB76E41-E00F-087A-E186-747F85958CD6}"/>
            </a:ext>
          </a:extLst>
        </xdr:cNvPr>
        <xdr:cNvSpPr txBox="1">
          <a:spLocks noChangeArrowheads="1"/>
        </xdr:cNvSpPr>
      </xdr:nvSpPr>
      <xdr:spPr bwMode="auto">
        <a:xfrm>
          <a:off x="4162425" y="67056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29</xdr:row>
      <xdr:rowOff>28575</xdr:rowOff>
    </xdr:from>
    <xdr:to>
      <xdr:col>3</xdr:col>
      <xdr:colOff>339106</xdr:colOff>
      <xdr:row>29</xdr:row>
      <xdr:rowOff>171450</xdr:rowOff>
    </xdr:to>
    <xdr:sp macro="" textlink="">
      <xdr:nvSpPr>
        <xdr:cNvPr id="9705" name="Text Box 489">
          <a:hlinkClick xmlns:r="http://schemas.openxmlformats.org/officeDocument/2006/relationships" r:id="rId25"/>
          <a:extLst>
            <a:ext uri="{FF2B5EF4-FFF2-40B4-BE49-F238E27FC236}">
              <a16:creationId xmlns:a16="http://schemas.microsoft.com/office/drawing/2014/main" id="{0C77A00C-9CEA-BD76-A354-AC623A21490D}"/>
            </a:ext>
          </a:extLst>
        </xdr:cNvPr>
        <xdr:cNvSpPr txBox="1">
          <a:spLocks noChangeArrowheads="1"/>
        </xdr:cNvSpPr>
      </xdr:nvSpPr>
      <xdr:spPr bwMode="auto">
        <a:xfrm>
          <a:off x="4152900" y="42005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133350</xdr:colOff>
      <xdr:row>57</xdr:row>
      <xdr:rowOff>0</xdr:rowOff>
    </xdr:from>
    <xdr:to>
      <xdr:col>3</xdr:col>
      <xdr:colOff>358293</xdr:colOff>
      <xdr:row>57</xdr:row>
      <xdr:rowOff>142875</xdr:rowOff>
    </xdr:to>
    <xdr:sp macro="" textlink="">
      <xdr:nvSpPr>
        <xdr:cNvPr id="9706" name="Text Box 490">
          <a:hlinkClick xmlns:r="http://schemas.openxmlformats.org/officeDocument/2006/relationships" r:id="rId26"/>
          <a:extLst>
            <a:ext uri="{FF2B5EF4-FFF2-40B4-BE49-F238E27FC236}">
              <a16:creationId xmlns:a16="http://schemas.microsoft.com/office/drawing/2014/main" id="{13B71161-5D6A-4754-27DB-46448C6BE33F}"/>
            </a:ext>
          </a:extLst>
        </xdr:cNvPr>
        <xdr:cNvSpPr txBox="1">
          <a:spLocks noChangeArrowheads="1"/>
        </xdr:cNvSpPr>
      </xdr:nvSpPr>
      <xdr:spPr bwMode="auto">
        <a:xfrm>
          <a:off x="4162425" y="74485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46</xdr:row>
      <xdr:rowOff>38100</xdr:rowOff>
    </xdr:from>
    <xdr:to>
      <xdr:col>3</xdr:col>
      <xdr:colOff>339106</xdr:colOff>
      <xdr:row>47</xdr:row>
      <xdr:rowOff>9525</xdr:rowOff>
    </xdr:to>
    <xdr:sp macro="" textlink="">
      <xdr:nvSpPr>
        <xdr:cNvPr id="9710" name="Text Box 494">
          <a:hlinkClick xmlns:r="http://schemas.openxmlformats.org/officeDocument/2006/relationships" r:id="rId27"/>
          <a:extLst>
            <a:ext uri="{FF2B5EF4-FFF2-40B4-BE49-F238E27FC236}">
              <a16:creationId xmlns:a16="http://schemas.microsoft.com/office/drawing/2014/main" id="{6B716D0D-5ED7-FA8A-A5BA-79357E70BEBB}"/>
            </a:ext>
          </a:extLst>
        </xdr:cNvPr>
        <xdr:cNvSpPr txBox="1">
          <a:spLocks noChangeArrowheads="1"/>
        </xdr:cNvSpPr>
      </xdr:nvSpPr>
      <xdr:spPr bwMode="auto">
        <a:xfrm>
          <a:off x="4152900" y="61912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editAs="oneCell">
    <xdr:from>
      <xdr:col>8</xdr:col>
      <xdr:colOff>1219200</xdr:colOff>
      <xdr:row>1</xdr:row>
      <xdr:rowOff>295275</xdr:rowOff>
    </xdr:from>
    <xdr:to>
      <xdr:col>9</xdr:col>
      <xdr:colOff>396466</xdr:colOff>
      <xdr:row>1</xdr:row>
      <xdr:rowOff>447675</xdr:rowOff>
    </xdr:to>
    <xdr:sp macro="" textlink="">
      <xdr:nvSpPr>
        <xdr:cNvPr id="9922" name="Text Box 706">
          <a:extLst>
            <a:ext uri="{FF2B5EF4-FFF2-40B4-BE49-F238E27FC236}">
              <a16:creationId xmlns:a16="http://schemas.microsoft.com/office/drawing/2014/main" id="{24CAF4B9-EDBA-5CF0-5D1D-012779B15367}"/>
            </a:ext>
          </a:extLst>
        </xdr:cNvPr>
        <xdr:cNvSpPr txBox="1">
          <a:spLocks noChangeArrowheads="1"/>
        </xdr:cNvSpPr>
      </xdr:nvSpPr>
      <xdr:spPr bwMode="auto">
        <a:xfrm>
          <a:off x="7210425" y="381000"/>
          <a:ext cx="571500" cy="1524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v4.2</a:t>
          </a:r>
        </a:p>
      </xdr:txBody>
    </xdr:sp>
    <xdr:clientData/>
  </xdr:twoCellAnchor>
  <mc:AlternateContent xmlns:mc="http://schemas.openxmlformats.org/markup-compatibility/2006">
    <mc:Choice xmlns:a14="http://schemas.microsoft.com/office/drawing/2010/main" Requires="a14">
      <xdr:twoCellAnchor>
        <xdr:from>
          <xdr:col>10</xdr:col>
          <xdr:colOff>9525</xdr:colOff>
          <xdr:row>37</xdr:row>
          <xdr:rowOff>0</xdr:rowOff>
        </xdr:from>
        <xdr:to>
          <xdr:col>10</xdr:col>
          <xdr:colOff>590550</xdr:colOff>
          <xdr:row>38</xdr:row>
          <xdr:rowOff>0</xdr:rowOff>
        </xdr:to>
        <xdr:grpSp>
          <xdr:nvGrpSpPr>
            <xdr:cNvPr id="46743" name="Group 189">
              <a:extLst>
                <a:ext uri="{FF2B5EF4-FFF2-40B4-BE49-F238E27FC236}">
                  <a16:creationId xmlns:a16="http://schemas.microsoft.com/office/drawing/2014/main" id="{60747F4F-90FA-1CA3-2F92-1AA2EDCFFF94}"/>
                </a:ext>
              </a:extLst>
            </xdr:cNvPr>
            <xdr:cNvGrpSpPr>
              <a:grpSpLocks/>
            </xdr:cNvGrpSpPr>
          </xdr:nvGrpSpPr>
          <xdr:grpSpPr bwMode="auto">
            <a:xfrm>
              <a:off x="7829550" y="5124450"/>
              <a:ext cx="581025" cy="190500"/>
              <a:chOff x="1005" y="345"/>
              <a:chExt cx="64" cy="29"/>
            </a:xfrm>
          </xdr:grpSpPr>
          <xdr:sp macro="" textlink="">
            <xdr:nvSpPr>
              <xdr:cNvPr id="9399" name="Group Box 183" hidden="1">
                <a:extLst>
                  <a:ext uri="{63B3BB69-23CF-44E3-9099-C40C66FF867C}">
                    <a14:compatExt spid="_x0000_s9399"/>
                  </a:ext>
                  <a:ext uri="{FF2B5EF4-FFF2-40B4-BE49-F238E27FC236}">
                    <a16:creationId xmlns:a16="http://schemas.microsoft.com/office/drawing/2014/main" id="{E2DF52FF-3240-92C6-186F-7FC2471CB2C1}"/>
                  </a:ext>
                </a:extLst>
              </xdr:cNvPr>
              <xdr:cNvSpPr/>
            </xdr:nvSpPr>
            <xdr:spPr bwMode="auto">
              <a:xfrm>
                <a:off x="1005" y="345"/>
                <a:ext cx="64"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9401" name="Option Button 185" hidden="1">
                <a:extLst>
                  <a:ext uri="{63B3BB69-23CF-44E3-9099-C40C66FF867C}">
                    <a14:compatExt spid="_x0000_s9401"/>
                  </a:ext>
                  <a:ext uri="{FF2B5EF4-FFF2-40B4-BE49-F238E27FC236}">
                    <a16:creationId xmlns:a16="http://schemas.microsoft.com/office/drawing/2014/main" id="{4F8B52EC-BCBD-88FC-D562-48F78B665A64}"/>
                  </a:ext>
                </a:extLst>
              </xdr:cNvPr>
              <xdr:cNvSpPr/>
            </xdr:nvSpPr>
            <xdr:spPr bwMode="auto">
              <a:xfrm>
                <a:off x="1010" y="349"/>
                <a:ext cx="32"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sp macro="" textlink="">
            <xdr:nvSpPr>
              <xdr:cNvPr id="9402" name="Option Button 186" hidden="1">
                <a:extLst>
                  <a:ext uri="{63B3BB69-23CF-44E3-9099-C40C66FF867C}">
                    <a14:compatExt spid="_x0000_s9402"/>
                  </a:ext>
                  <a:ext uri="{FF2B5EF4-FFF2-40B4-BE49-F238E27FC236}">
                    <a16:creationId xmlns:a16="http://schemas.microsoft.com/office/drawing/2014/main" id="{96F8AC0F-45DD-2710-51A2-407F3D37E41C}"/>
                  </a:ext>
                </a:extLst>
              </xdr:cNvPr>
              <xdr:cNvSpPr/>
            </xdr:nvSpPr>
            <xdr:spPr bwMode="auto">
              <a:xfrm>
                <a:off x="1037" y="349"/>
                <a:ext cx="32"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10</xdr:col>
          <xdr:colOff>9525</xdr:colOff>
          <xdr:row>41</xdr:row>
          <xdr:rowOff>0</xdr:rowOff>
        </xdr:from>
        <xdr:to>
          <xdr:col>10</xdr:col>
          <xdr:colOff>590550</xdr:colOff>
          <xdr:row>42</xdr:row>
          <xdr:rowOff>0</xdr:rowOff>
        </xdr:to>
        <xdr:grpSp>
          <xdr:nvGrpSpPr>
            <xdr:cNvPr id="46744" name="Group 198">
              <a:extLst>
                <a:ext uri="{FF2B5EF4-FFF2-40B4-BE49-F238E27FC236}">
                  <a16:creationId xmlns:a16="http://schemas.microsoft.com/office/drawing/2014/main" id="{8AD136B5-D51D-CA6F-33F2-A6B0C7BD0ABC}"/>
                </a:ext>
              </a:extLst>
            </xdr:cNvPr>
            <xdr:cNvGrpSpPr>
              <a:grpSpLocks/>
            </xdr:cNvGrpSpPr>
          </xdr:nvGrpSpPr>
          <xdr:grpSpPr bwMode="auto">
            <a:xfrm>
              <a:off x="7829550" y="5562600"/>
              <a:ext cx="581025" cy="190500"/>
              <a:chOff x="762" y="543"/>
              <a:chExt cx="61" cy="29"/>
            </a:xfrm>
          </xdr:grpSpPr>
          <xdr:sp macro="" textlink="">
            <xdr:nvSpPr>
              <xdr:cNvPr id="9411" name="Group Box 195" hidden="1">
                <a:extLst>
                  <a:ext uri="{63B3BB69-23CF-44E3-9099-C40C66FF867C}">
                    <a14:compatExt spid="_x0000_s9411"/>
                  </a:ext>
                  <a:ext uri="{FF2B5EF4-FFF2-40B4-BE49-F238E27FC236}">
                    <a16:creationId xmlns:a16="http://schemas.microsoft.com/office/drawing/2014/main" id="{181EC137-0B1B-2BCB-C5CC-38300CE849D6}"/>
                  </a:ext>
                </a:extLst>
              </xdr:cNvPr>
              <xdr:cNvSpPr/>
            </xdr:nvSpPr>
            <xdr:spPr bwMode="auto">
              <a:xfrm>
                <a:off x="762" y="543"/>
                <a:ext cx="61"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9412" name="Option Button 196" hidden="1">
                <a:extLst>
                  <a:ext uri="{63B3BB69-23CF-44E3-9099-C40C66FF867C}">
                    <a14:compatExt spid="_x0000_s9412"/>
                  </a:ext>
                  <a:ext uri="{FF2B5EF4-FFF2-40B4-BE49-F238E27FC236}">
                    <a16:creationId xmlns:a16="http://schemas.microsoft.com/office/drawing/2014/main" id="{822152BC-59A5-6FB0-ADF4-D6A3FFD31F9F}"/>
                  </a:ext>
                </a:extLst>
              </xdr:cNvPr>
              <xdr:cNvSpPr/>
            </xdr:nvSpPr>
            <xdr:spPr bwMode="auto">
              <a:xfrm>
                <a:off x="767" y="547"/>
                <a:ext cx="30"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sp macro="" textlink="">
            <xdr:nvSpPr>
              <xdr:cNvPr id="9413" name="Option Button 197" hidden="1">
                <a:extLst>
                  <a:ext uri="{63B3BB69-23CF-44E3-9099-C40C66FF867C}">
                    <a14:compatExt spid="_x0000_s9413"/>
                  </a:ext>
                  <a:ext uri="{FF2B5EF4-FFF2-40B4-BE49-F238E27FC236}">
                    <a16:creationId xmlns:a16="http://schemas.microsoft.com/office/drawing/2014/main" id="{825F4C84-9DF4-790E-7A2A-8F8CC301CE3B}"/>
                  </a:ext>
                </a:extLst>
              </xdr:cNvPr>
              <xdr:cNvSpPr/>
            </xdr:nvSpPr>
            <xdr:spPr bwMode="auto">
              <a:xfrm>
                <a:off x="793" y="547"/>
                <a:ext cx="30"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10</xdr:col>
          <xdr:colOff>9525</xdr:colOff>
          <xdr:row>25</xdr:row>
          <xdr:rowOff>0</xdr:rowOff>
        </xdr:from>
        <xdr:to>
          <xdr:col>10</xdr:col>
          <xdr:colOff>590550</xdr:colOff>
          <xdr:row>26</xdr:row>
          <xdr:rowOff>0</xdr:rowOff>
        </xdr:to>
        <xdr:grpSp>
          <xdr:nvGrpSpPr>
            <xdr:cNvPr id="46745" name="Group 203">
              <a:extLst>
                <a:ext uri="{FF2B5EF4-FFF2-40B4-BE49-F238E27FC236}">
                  <a16:creationId xmlns:a16="http://schemas.microsoft.com/office/drawing/2014/main" id="{F14CCE4C-7A2F-F8F9-1686-B466B3AE1C6C}"/>
                </a:ext>
              </a:extLst>
            </xdr:cNvPr>
            <xdr:cNvGrpSpPr>
              <a:grpSpLocks/>
            </xdr:cNvGrpSpPr>
          </xdr:nvGrpSpPr>
          <xdr:grpSpPr bwMode="auto">
            <a:xfrm>
              <a:off x="7829550" y="3733800"/>
              <a:ext cx="581025" cy="190500"/>
              <a:chOff x="758" y="403"/>
              <a:chExt cx="61" cy="29"/>
            </a:xfrm>
          </xdr:grpSpPr>
          <xdr:sp macro="" textlink="">
            <xdr:nvSpPr>
              <xdr:cNvPr id="9416" name="Group Box 200" hidden="1">
                <a:extLst>
                  <a:ext uri="{63B3BB69-23CF-44E3-9099-C40C66FF867C}">
                    <a14:compatExt spid="_x0000_s9416"/>
                  </a:ext>
                  <a:ext uri="{FF2B5EF4-FFF2-40B4-BE49-F238E27FC236}">
                    <a16:creationId xmlns:a16="http://schemas.microsoft.com/office/drawing/2014/main" id="{96F56E24-09DE-AE45-0426-4348EA6DC09C}"/>
                  </a:ext>
                </a:extLst>
              </xdr:cNvPr>
              <xdr:cNvSpPr/>
            </xdr:nvSpPr>
            <xdr:spPr bwMode="auto">
              <a:xfrm>
                <a:off x="758" y="403"/>
                <a:ext cx="61"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9417" name="Option Button 201" hidden="1">
                <a:extLst>
                  <a:ext uri="{63B3BB69-23CF-44E3-9099-C40C66FF867C}">
                    <a14:compatExt spid="_x0000_s9417"/>
                  </a:ext>
                  <a:ext uri="{FF2B5EF4-FFF2-40B4-BE49-F238E27FC236}">
                    <a16:creationId xmlns:a16="http://schemas.microsoft.com/office/drawing/2014/main" id="{61346BAF-F384-E077-E109-DB52579C3508}"/>
                  </a:ext>
                </a:extLst>
              </xdr:cNvPr>
              <xdr:cNvSpPr/>
            </xdr:nvSpPr>
            <xdr:spPr bwMode="auto">
              <a:xfrm>
                <a:off x="763" y="407"/>
                <a:ext cx="30" cy="23"/>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sp macro="" textlink="">
            <xdr:nvSpPr>
              <xdr:cNvPr id="9418" name="Option Button 202" hidden="1">
                <a:extLst>
                  <a:ext uri="{63B3BB69-23CF-44E3-9099-C40C66FF867C}">
                    <a14:compatExt spid="_x0000_s9418"/>
                  </a:ext>
                  <a:ext uri="{FF2B5EF4-FFF2-40B4-BE49-F238E27FC236}">
                    <a16:creationId xmlns:a16="http://schemas.microsoft.com/office/drawing/2014/main" id="{FCDB723C-ED01-B91B-59FC-6F8C6601E843}"/>
                  </a:ext>
                </a:extLst>
              </xdr:cNvPr>
              <xdr:cNvSpPr/>
            </xdr:nvSpPr>
            <xdr:spPr bwMode="auto">
              <a:xfrm>
                <a:off x="789" y="407"/>
                <a:ext cx="30" cy="23"/>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925830</xdr:colOff>
      <xdr:row>2</xdr:row>
      <xdr:rowOff>76200</xdr:rowOff>
    </xdr:from>
    <xdr:to>
      <xdr:col>4</xdr:col>
      <xdr:colOff>1190630</xdr:colOff>
      <xdr:row>2</xdr:row>
      <xdr:rowOff>247650</xdr:rowOff>
    </xdr:to>
    <xdr:sp macro="" textlink="">
      <xdr:nvSpPr>
        <xdr:cNvPr id="7203" name="Text Box 31">
          <a:extLst>
            <a:ext uri="{FF2B5EF4-FFF2-40B4-BE49-F238E27FC236}">
              <a16:creationId xmlns:a16="http://schemas.microsoft.com/office/drawing/2014/main" id="{7C29A659-EAE1-4BCA-221E-6E2118607DEA}"/>
            </a:ext>
          </a:extLst>
        </xdr:cNvPr>
        <xdr:cNvSpPr txBox="1">
          <a:spLocks noChangeArrowheads="1"/>
        </xdr:cNvSpPr>
      </xdr:nvSpPr>
      <xdr:spPr bwMode="auto">
        <a:xfrm>
          <a:off x="981075" y="314325"/>
          <a:ext cx="381000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editAs="oneCell">
    <xdr:from>
      <xdr:col>4</xdr:col>
      <xdr:colOff>1615440</xdr:colOff>
      <xdr:row>2</xdr:row>
      <xdr:rowOff>104775</xdr:rowOff>
    </xdr:from>
    <xdr:to>
      <xdr:col>4</xdr:col>
      <xdr:colOff>2211395</xdr:colOff>
      <xdr:row>2</xdr:row>
      <xdr:rowOff>228600</xdr:rowOff>
    </xdr:to>
    <xdr:sp macro="" textlink="">
      <xdr:nvSpPr>
        <xdr:cNvPr id="7202" name="Text Box 34">
          <a:extLst>
            <a:ext uri="{FF2B5EF4-FFF2-40B4-BE49-F238E27FC236}">
              <a16:creationId xmlns:a16="http://schemas.microsoft.com/office/drawing/2014/main" id="{5C83B4C6-9143-192E-051F-D956942DDDBD}"/>
            </a:ext>
          </a:extLst>
        </xdr:cNvPr>
        <xdr:cNvSpPr txBox="1">
          <a:spLocks noChangeArrowheads="1"/>
        </xdr:cNvSpPr>
      </xdr:nvSpPr>
      <xdr:spPr bwMode="auto">
        <a:xfrm>
          <a:off x="5210175" y="342900"/>
          <a:ext cx="600075" cy="1238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v4.2</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1144905</xdr:colOff>
      <xdr:row>26</xdr:row>
      <xdr:rowOff>57150</xdr:rowOff>
    </xdr:from>
    <xdr:to>
      <xdr:col>8</xdr:col>
      <xdr:colOff>255266</xdr:colOff>
      <xdr:row>29</xdr:row>
      <xdr:rowOff>66675</xdr:rowOff>
    </xdr:to>
    <xdr:sp macro="" textlink="">
      <xdr:nvSpPr>
        <xdr:cNvPr id="17420" name="Text Box 12">
          <a:extLst>
            <a:ext uri="{FF2B5EF4-FFF2-40B4-BE49-F238E27FC236}">
              <a16:creationId xmlns:a16="http://schemas.microsoft.com/office/drawing/2014/main" id="{3C2851BB-C68F-5251-877D-18066905CE07}"/>
            </a:ext>
          </a:extLst>
        </xdr:cNvPr>
        <xdr:cNvSpPr txBox="1">
          <a:spLocks noChangeArrowheads="1"/>
        </xdr:cNvSpPr>
      </xdr:nvSpPr>
      <xdr:spPr bwMode="auto">
        <a:xfrm>
          <a:off x="1323975" y="6029325"/>
          <a:ext cx="7010400" cy="495300"/>
        </a:xfrm>
        <a:prstGeom prst="rect">
          <a:avLst/>
        </a:prstGeom>
        <a:solidFill>
          <a:srgbClr val="FFFFFF"/>
        </a:solidFill>
        <a:ln w="12700" algn="ctr">
          <a:solidFill>
            <a:srgbClr val="000000"/>
          </a:solidFill>
          <a:miter lim="800000"/>
          <a:headEnd/>
          <a:tailEnd/>
        </a:ln>
        <a:effectLst/>
      </xdr:spPr>
      <xdr:txBody>
        <a:bodyPr vertOverflow="clip" wrap="square" lIns="54864" tIns="45720" rIns="54864" bIns="0" anchor="t" upright="1"/>
        <a:lstStyle/>
        <a:p>
          <a:pPr algn="ctr" rtl="0">
            <a:defRPr sz="1000"/>
          </a:pPr>
          <a:r>
            <a:rPr lang="en-US" sz="2600" b="0" i="0" u="none" strike="noStrike" baseline="0">
              <a:solidFill>
                <a:srgbClr val="000000"/>
              </a:solidFill>
              <a:latin typeface="Arial"/>
              <a:cs typeface="Arial"/>
            </a:rPr>
            <a:t>This worksheet will be hidden from the user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13</xdr:col>
      <xdr:colOff>57150</xdr:colOff>
      <xdr:row>1</xdr:row>
      <xdr:rowOff>114300</xdr:rowOff>
    </xdr:from>
    <xdr:to>
      <xdr:col>14</xdr:col>
      <xdr:colOff>19050</xdr:colOff>
      <xdr:row>1</xdr:row>
      <xdr:rowOff>371475</xdr:rowOff>
    </xdr:to>
    <xdr:sp macro="" textlink="">
      <xdr:nvSpPr>
        <xdr:cNvPr id="27649" name="AutoShape 1">
          <a:hlinkClick xmlns:r="http://schemas.openxmlformats.org/officeDocument/2006/relationships" r:id="rId1"/>
          <a:extLst>
            <a:ext uri="{FF2B5EF4-FFF2-40B4-BE49-F238E27FC236}">
              <a16:creationId xmlns:a16="http://schemas.microsoft.com/office/drawing/2014/main" id="{48A78082-8A84-AB46-9061-74597FFA47FC}"/>
            </a:ext>
          </a:extLst>
        </xdr:cNvPr>
        <xdr:cNvSpPr>
          <a:spLocks noChangeArrowheads="1"/>
        </xdr:cNvSpPr>
      </xdr:nvSpPr>
      <xdr:spPr bwMode="auto">
        <a:xfrm>
          <a:off x="12344400" y="219075"/>
          <a:ext cx="1485900" cy="2571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900" b="1" i="0" u="sng" strike="noStrike" baseline="0">
              <a:solidFill>
                <a:srgbClr val="FFFFFF"/>
              </a:solidFill>
              <a:latin typeface="Arial"/>
              <a:cs typeface="Arial"/>
            </a:rPr>
            <a:t>Back to Instructions</a:t>
          </a:r>
        </a:p>
      </xdr:txBody>
    </xdr:sp>
    <xdr:clientData/>
  </xdr:twoCellAnchor>
  <xdr:twoCellAnchor>
    <xdr:from>
      <xdr:col>5</xdr:col>
      <xdr:colOff>558165</xdr:colOff>
      <xdr:row>1</xdr:row>
      <xdr:rowOff>295275</xdr:rowOff>
    </xdr:from>
    <xdr:to>
      <xdr:col>9</xdr:col>
      <xdr:colOff>1247760</xdr:colOff>
      <xdr:row>2</xdr:row>
      <xdr:rowOff>11506</xdr:rowOff>
    </xdr:to>
    <xdr:sp macro="" textlink="">
      <xdr:nvSpPr>
        <xdr:cNvPr id="27650" name="Text Box 2">
          <a:extLst>
            <a:ext uri="{FF2B5EF4-FFF2-40B4-BE49-F238E27FC236}">
              <a16:creationId xmlns:a16="http://schemas.microsoft.com/office/drawing/2014/main" id="{B0FE7E8B-DD5C-BA7E-EAA1-04C4392DD69E}"/>
            </a:ext>
          </a:extLst>
        </xdr:cNvPr>
        <xdr:cNvSpPr txBox="1">
          <a:spLocks noChangeArrowheads="1"/>
        </xdr:cNvSpPr>
      </xdr:nvSpPr>
      <xdr:spPr bwMode="auto">
        <a:xfrm>
          <a:off x="4429125" y="400050"/>
          <a:ext cx="4895850" cy="190500"/>
        </a:xfrm>
        <a:prstGeom prst="rect">
          <a:avLst/>
        </a:prstGeom>
        <a:no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editAs="oneCell">
    <xdr:from>
      <xdr:col>11</xdr:col>
      <xdr:colOff>861060</xdr:colOff>
      <xdr:row>1</xdr:row>
      <xdr:rowOff>276225</xdr:rowOff>
    </xdr:from>
    <xdr:to>
      <xdr:col>11</xdr:col>
      <xdr:colOff>1447757</xdr:colOff>
      <xdr:row>1</xdr:row>
      <xdr:rowOff>419100</xdr:rowOff>
    </xdr:to>
    <xdr:sp macro="" textlink="">
      <xdr:nvSpPr>
        <xdr:cNvPr id="27652" name="Text Box 4">
          <a:extLst>
            <a:ext uri="{FF2B5EF4-FFF2-40B4-BE49-F238E27FC236}">
              <a16:creationId xmlns:a16="http://schemas.microsoft.com/office/drawing/2014/main" id="{CFA440AC-E12F-87A4-47DB-7EDA4F906BE1}"/>
            </a:ext>
          </a:extLst>
        </xdr:cNvPr>
        <xdr:cNvSpPr txBox="1">
          <a:spLocks noChangeArrowheads="1"/>
        </xdr:cNvSpPr>
      </xdr:nvSpPr>
      <xdr:spPr bwMode="auto">
        <a:xfrm>
          <a:off x="11049000" y="381000"/>
          <a:ext cx="581025" cy="14287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WASv 4.2</a:t>
          </a:r>
        </a:p>
      </xdr:txBody>
    </xdr:sp>
    <xdr:clientData/>
  </xdr:twoCellAnchor>
  <xdr:twoCellAnchor>
    <xdr:from>
      <xdr:col>13</xdr:col>
      <xdr:colOff>57150</xdr:colOff>
      <xdr:row>1</xdr:row>
      <xdr:rowOff>114300</xdr:rowOff>
    </xdr:from>
    <xdr:to>
      <xdr:col>14</xdr:col>
      <xdr:colOff>19050</xdr:colOff>
      <xdr:row>1</xdr:row>
      <xdr:rowOff>371475</xdr:rowOff>
    </xdr:to>
    <xdr:sp macro="" textlink="">
      <xdr:nvSpPr>
        <xdr:cNvPr id="27653" name="AutoShape 5">
          <a:hlinkClick xmlns:r="http://schemas.openxmlformats.org/officeDocument/2006/relationships" r:id="rId1"/>
          <a:extLst>
            <a:ext uri="{FF2B5EF4-FFF2-40B4-BE49-F238E27FC236}">
              <a16:creationId xmlns:a16="http://schemas.microsoft.com/office/drawing/2014/main" id="{ED404D6D-F4E2-78F8-C49E-362AB681E986}"/>
            </a:ext>
          </a:extLst>
        </xdr:cNvPr>
        <xdr:cNvSpPr>
          <a:spLocks noChangeArrowheads="1"/>
        </xdr:cNvSpPr>
      </xdr:nvSpPr>
      <xdr:spPr bwMode="auto">
        <a:xfrm>
          <a:off x="12344400" y="219075"/>
          <a:ext cx="1485900" cy="2571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900" b="1" i="0" u="sng" strike="noStrike" baseline="0">
              <a:solidFill>
                <a:srgbClr val="FFFFFF"/>
              </a:solidFill>
              <a:latin typeface="Arial"/>
              <a:cs typeface="Arial"/>
            </a:rPr>
            <a:t>Back to Instructions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38100</xdr:colOff>
      <xdr:row>2</xdr:row>
      <xdr:rowOff>285750</xdr:rowOff>
    </xdr:from>
    <xdr:to>
      <xdr:col>4</xdr:col>
      <xdr:colOff>302900</xdr:colOff>
      <xdr:row>2</xdr:row>
      <xdr:rowOff>447675</xdr:rowOff>
    </xdr:to>
    <xdr:sp macro="" textlink="">
      <xdr:nvSpPr>
        <xdr:cNvPr id="28708" name="Text Box 19">
          <a:extLst>
            <a:ext uri="{FF2B5EF4-FFF2-40B4-BE49-F238E27FC236}">
              <a16:creationId xmlns:a16="http://schemas.microsoft.com/office/drawing/2014/main" id="{F4FF8D1B-EAD4-3A32-6360-972780AFAEE2}"/>
            </a:ext>
          </a:extLst>
        </xdr:cNvPr>
        <xdr:cNvSpPr txBox="1">
          <a:spLocks noChangeArrowheads="1"/>
        </xdr:cNvSpPr>
      </xdr:nvSpPr>
      <xdr:spPr bwMode="auto">
        <a:xfrm>
          <a:off x="95250" y="523875"/>
          <a:ext cx="38100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editAs="oneCell">
    <xdr:from>
      <xdr:col>4</xdr:col>
      <xdr:colOff>1703070</xdr:colOff>
      <xdr:row>2</xdr:row>
      <xdr:rowOff>304800</xdr:rowOff>
    </xdr:from>
    <xdr:to>
      <xdr:col>4</xdr:col>
      <xdr:colOff>2299110</xdr:colOff>
      <xdr:row>2</xdr:row>
      <xdr:rowOff>428625</xdr:rowOff>
    </xdr:to>
    <xdr:sp macro="" textlink="">
      <xdr:nvSpPr>
        <xdr:cNvPr id="28693" name="Text Box 21">
          <a:extLst>
            <a:ext uri="{FF2B5EF4-FFF2-40B4-BE49-F238E27FC236}">
              <a16:creationId xmlns:a16="http://schemas.microsoft.com/office/drawing/2014/main" id="{496D7761-E949-D778-3B01-DC4F97F43EF6}"/>
            </a:ext>
          </a:extLst>
        </xdr:cNvPr>
        <xdr:cNvSpPr txBox="1">
          <a:spLocks noChangeArrowheads="1"/>
        </xdr:cNvSpPr>
      </xdr:nvSpPr>
      <xdr:spPr bwMode="auto">
        <a:xfrm>
          <a:off x="5305425" y="542925"/>
          <a:ext cx="600075" cy="1238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v4.2</a:t>
          </a:r>
        </a:p>
      </xdr:txBody>
    </xdr:sp>
    <xdr:clientData/>
  </xdr:twoCellAnchor>
  <xdr:twoCellAnchor editAs="oneCell">
    <xdr:from>
      <xdr:col>2</xdr:col>
      <xdr:colOff>752475</xdr:colOff>
      <xdr:row>3</xdr:row>
      <xdr:rowOff>38100</xdr:rowOff>
    </xdr:from>
    <xdr:to>
      <xdr:col>4</xdr:col>
      <xdr:colOff>3743325</xdr:colOff>
      <xdr:row>9</xdr:row>
      <xdr:rowOff>209550</xdr:rowOff>
    </xdr:to>
    <xdr:pic>
      <xdr:nvPicPr>
        <xdr:cNvPr id="49186" name="Picture 22" descr="Meter-at-curb-stop">
          <a:extLst>
            <a:ext uri="{FF2B5EF4-FFF2-40B4-BE49-F238E27FC236}">
              <a16:creationId xmlns:a16="http://schemas.microsoft.com/office/drawing/2014/main" id="{970950AD-72DF-ACD2-1AE9-7BDEE6924C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7875" y="762000"/>
          <a:ext cx="5295900" cy="297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752475</xdr:colOff>
      <xdr:row>9</xdr:row>
      <xdr:rowOff>228600</xdr:rowOff>
    </xdr:from>
    <xdr:to>
      <xdr:col>4</xdr:col>
      <xdr:colOff>3752850</xdr:colOff>
      <xdr:row>16</xdr:row>
      <xdr:rowOff>28575</xdr:rowOff>
    </xdr:to>
    <xdr:pic>
      <xdr:nvPicPr>
        <xdr:cNvPr id="49187" name="Picture 23" descr="Meter-Inside-Property">
          <a:extLst>
            <a:ext uri="{FF2B5EF4-FFF2-40B4-BE49-F238E27FC236}">
              <a16:creationId xmlns:a16="http://schemas.microsoft.com/office/drawing/2014/main" id="{977E9E65-693D-298E-7E49-DE62F16D71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47875" y="3752850"/>
          <a:ext cx="5305425" cy="306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762000</xdr:colOff>
      <xdr:row>16</xdr:row>
      <xdr:rowOff>47625</xdr:rowOff>
    </xdr:from>
    <xdr:to>
      <xdr:col>4</xdr:col>
      <xdr:colOff>3743325</xdr:colOff>
      <xdr:row>22</xdr:row>
      <xdr:rowOff>428625</xdr:rowOff>
    </xdr:to>
    <xdr:pic>
      <xdr:nvPicPr>
        <xdr:cNvPr id="49188" name="Picture 24" descr="Unmetered">
          <a:extLst>
            <a:ext uri="{FF2B5EF4-FFF2-40B4-BE49-F238E27FC236}">
              <a16:creationId xmlns:a16="http://schemas.microsoft.com/office/drawing/2014/main" id="{252DE0E1-EC76-CD4B-8FEF-51E862A4C36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57400" y="6838950"/>
          <a:ext cx="5286375" cy="3181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2478405</xdr:colOff>
      <xdr:row>2</xdr:row>
      <xdr:rowOff>152400</xdr:rowOff>
    </xdr:from>
    <xdr:to>
      <xdr:col>4</xdr:col>
      <xdr:colOff>3981362</xdr:colOff>
      <xdr:row>2</xdr:row>
      <xdr:rowOff>400050</xdr:rowOff>
    </xdr:to>
    <xdr:sp macro="" textlink="">
      <xdr:nvSpPr>
        <xdr:cNvPr id="28697" name="AutoShape 25">
          <a:hlinkClick xmlns:r="http://schemas.openxmlformats.org/officeDocument/2006/relationships" r:id="rId4"/>
          <a:extLst>
            <a:ext uri="{FF2B5EF4-FFF2-40B4-BE49-F238E27FC236}">
              <a16:creationId xmlns:a16="http://schemas.microsoft.com/office/drawing/2014/main" id="{DCE4903F-5008-F020-B399-7B58ABFB4DE2}"/>
            </a:ext>
          </a:extLst>
        </xdr:cNvPr>
        <xdr:cNvSpPr>
          <a:spLocks noChangeArrowheads="1"/>
        </xdr:cNvSpPr>
      </xdr:nvSpPr>
      <xdr:spPr bwMode="auto">
        <a:xfrm>
          <a:off x="6076950" y="390525"/>
          <a:ext cx="1504950" cy="24765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Back to Instructions</a:t>
          </a:r>
        </a:p>
      </xdr:txBody>
    </xdr:sp>
    <xdr:clientData/>
  </xdr:twoCellAnchor>
  <xdr:twoCellAnchor>
    <xdr:from>
      <xdr:col>1</xdr:col>
      <xdr:colOff>104775</xdr:colOff>
      <xdr:row>4</xdr:row>
      <xdr:rowOff>123825</xdr:rowOff>
    </xdr:from>
    <xdr:to>
      <xdr:col>2</xdr:col>
      <xdr:colOff>634318</xdr:colOff>
      <xdr:row>20</xdr:row>
      <xdr:rowOff>104775</xdr:rowOff>
    </xdr:to>
    <xdr:sp macro="" textlink="">
      <xdr:nvSpPr>
        <xdr:cNvPr id="28714" name="Text Box 26">
          <a:extLst>
            <a:ext uri="{FF2B5EF4-FFF2-40B4-BE49-F238E27FC236}">
              <a16:creationId xmlns:a16="http://schemas.microsoft.com/office/drawing/2014/main" id="{7A14A3D4-58DE-F340-3B97-B28480FBCA8D}"/>
            </a:ext>
          </a:extLst>
        </xdr:cNvPr>
        <xdr:cNvSpPr txBox="1">
          <a:spLocks noChangeArrowheads="1"/>
        </xdr:cNvSpPr>
      </xdr:nvSpPr>
      <xdr:spPr bwMode="auto">
        <a:xfrm>
          <a:off x="161925" y="1314450"/>
          <a:ext cx="1762125" cy="7448550"/>
        </a:xfrm>
        <a:prstGeom prst="rect">
          <a:avLst/>
        </a:prstGeom>
        <a:solidFill>
          <a:srgbClr val="FFFFFF"/>
        </a:solidFill>
        <a:ln w="12700" algn="ctr">
          <a:solidFill>
            <a:srgbClr val="000000"/>
          </a:solidFill>
          <a:miter lim="800000"/>
          <a:headEnd/>
          <a:tailEnd/>
        </a:ln>
      </xdr:spPr>
      <xdr:txBody>
        <a:bodyPr vertOverflow="clip" wrap="square" lIns="27432" tIns="22860" rIns="0" bIns="0" anchor="t"/>
        <a:lstStyle/>
        <a:p>
          <a:pPr algn="l" rtl="0">
            <a:defRPr sz="1000"/>
          </a:pPr>
          <a:r>
            <a:rPr lang="en-US" sz="1000" b="1" i="0" u="none" strike="noStrike" baseline="0">
              <a:solidFill>
                <a:srgbClr val="000000"/>
              </a:solidFill>
              <a:latin typeface="Arial"/>
              <a:cs typeface="Arial"/>
            </a:rPr>
            <a:t>Average Length of Customer Service Line</a:t>
          </a: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The three figures shown on this worksheet display the assignment of the Average Length of Customer Service Line, Lp, for the three most common piping configurations.</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1</a:t>
          </a:r>
          <a:r>
            <a:rPr lang="en-US" sz="1000" b="0" i="0" u="none" strike="noStrike" baseline="0">
              <a:solidFill>
                <a:srgbClr val="000000"/>
              </a:solidFill>
              <a:latin typeface="Arial"/>
              <a:cs typeface="Arial"/>
            </a:rPr>
            <a:t> shows the configuration of the water meter outside of the customer building next to the curbstop valve.  In this configuration Lp = 0 since the distance between the curbstop and the customer metering point is essentially zero.</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2</a:t>
          </a:r>
          <a:r>
            <a:rPr lang="en-US" sz="1000" b="0" i="0" u="none" strike="noStrike" baseline="0">
              <a:solidFill>
                <a:srgbClr val="000000"/>
              </a:solidFill>
              <a:latin typeface="Arial"/>
              <a:cs typeface="Arial"/>
            </a:rPr>
            <a:t> shows the configuration of the customer water meter located inside the customer building, where Lp is the distance from the curbstop to the water meter.</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3</a:t>
          </a:r>
          <a:r>
            <a:rPr lang="en-US" sz="1000" b="0" i="0" u="none" strike="noStrike" baseline="0">
              <a:solidFill>
                <a:srgbClr val="000000"/>
              </a:solidFill>
              <a:latin typeface="Arial"/>
              <a:cs typeface="Arial"/>
            </a:rPr>
            <a:t> shows the configuration of an unmetered customer building , where Lp is the distance from the curbstop to the first point of customer water consumption, or, more simply, the building line.</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In any water system the Lp will vary notably in a community of different structures, therefore the average Lp value is used and this should be approximated or calculated if a sample of service line measurements has been gathered.  </a:t>
          </a:r>
        </a:p>
      </xdr:txBody>
    </xdr:sp>
    <xdr:clientData/>
  </xdr:twoCellAnchor>
  <xdr:twoCellAnchor>
    <xdr:from>
      <xdr:col>1</xdr:col>
      <xdr:colOff>150495</xdr:colOff>
      <xdr:row>3</xdr:row>
      <xdr:rowOff>161925</xdr:rowOff>
    </xdr:from>
    <xdr:to>
      <xdr:col>2</xdr:col>
      <xdr:colOff>558167</xdr:colOff>
      <xdr:row>4</xdr:row>
      <xdr:rowOff>0</xdr:rowOff>
    </xdr:to>
    <xdr:sp macro="" textlink="">
      <xdr:nvSpPr>
        <xdr:cNvPr id="28702" name="Text Box 30">
          <a:hlinkClick xmlns:r="http://schemas.openxmlformats.org/officeDocument/2006/relationships" r:id="rId5"/>
          <a:extLst>
            <a:ext uri="{FF2B5EF4-FFF2-40B4-BE49-F238E27FC236}">
              <a16:creationId xmlns:a16="http://schemas.microsoft.com/office/drawing/2014/main" id="{A306F494-79D4-DACB-8A28-B320C79C36C4}"/>
            </a:ext>
          </a:extLst>
        </xdr:cNvPr>
        <xdr:cNvSpPr txBox="1">
          <a:spLocks noChangeArrowheads="1"/>
        </xdr:cNvSpPr>
      </xdr:nvSpPr>
      <xdr:spPr bwMode="auto">
        <a:xfrm>
          <a:off x="209550" y="885825"/>
          <a:ext cx="1647825" cy="304800"/>
        </a:xfrm>
        <a:prstGeom prst="rect">
          <a:avLst/>
        </a:prstGeom>
        <a:solidFill>
          <a:srgbClr val="3366FF"/>
        </a:solidFill>
        <a:ln w="9525">
          <a:solidFill>
            <a:srgbClr val="000000"/>
          </a:solidFill>
          <a:miter lim="800000"/>
          <a:headEnd/>
          <a:tailEnd/>
        </a:ln>
      </xdr:spPr>
      <xdr:txBody>
        <a:bodyPr vertOverflow="clip" wrap="square" lIns="91440" tIns="45720" rIns="91440" bIns="45720" anchor="t" upright="1"/>
        <a:lstStyle/>
        <a:p>
          <a:pPr algn="ctr" rtl="0">
            <a:defRPr sz="1000"/>
          </a:pPr>
          <a:r>
            <a:rPr lang="en-US" sz="800" b="0" i="0" u="none" strike="noStrike" baseline="0">
              <a:solidFill>
                <a:srgbClr val="FFFFFF"/>
              </a:solidFill>
              <a:latin typeface="Arial"/>
              <a:cs typeface="Arial"/>
            </a:rPr>
            <a:t>Return to Reporting Worksheet</a:t>
          </a:r>
          <a:endParaRPr lang="en-US" sz="1200" b="0" i="0" u="none" strike="noStrike" baseline="0">
            <a:solidFill>
              <a:srgbClr val="FFFFFF"/>
            </a:solidFill>
            <a:latin typeface="Arial"/>
            <a:cs typeface="Arial"/>
          </a:endParaRPr>
        </a:p>
        <a:p>
          <a:pPr algn="ctr" rtl="0">
            <a:defRPr sz="1000"/>
          </a:pPr>
          <a:endParaRPr lang="en-US" sz="1200" b="0" i="0" u="none" strike="noStrike" baseline="0">
            <a:solidFill>
              <a:srgbClr val="FFFFFF"/>
            </a:solidFill>
            <a:latin typeface="Arial"/>
            <a:cs typeface="Arial"/>
          </a:endParaRPr>
        </a:p>
      </xdr:txBody>
    </xdr:sp>
    <xdr:clientData/>
  </xdr:twoCellAnchor>
  <xdr:twoCellAnchor>
    <xdr:from>
      <xdr:col>2</xdr:col>
      <xdr:colOff>822960</xdr:colOff>
      <xdr:row>8</xdr:row>
      <xdr:rowOff>295275</xdr:rowOff>
    </xdr:from>
    <xdr:to>
      <xdr:col>3</xdr:col>
      <xdr:colOff>481988</xdr:colOff>
      <xdr:row>9</xdr:row>
      <xdr:rowOff>125778</xdr:rowOff>
    </xdr:to>
    <xdr:sp macro="" textlink="">
      <xdr:nvSpPr>
        <xdr:cNvPr id="28703" name="Text Box 31">
          <a:extLst>
            <a:ext uri="{FF2B5EF4-FFF2-40B4-BE49-F238E27FC236}">
              <a16:creationId xmlns:a16="http://schemas.microsoft.com/office/drawing/2014/main" id="{CA45C2CB-E32E-1FE9-2605-AA6255DAE82F}"/>
            </a:ext>
          </a:extLst>
        </xdr:cNvPr>
        <xdr:cNvSpPr txBox="1">
          <a:spLocks noChangeArrowheads="1"/>
        </xdr:cNvSpPr>
      </xdr:nvSpPr>
      <xdr:spPr bwMode="auto">
        <a:xfrm>
          <a:off x="2124075" y="3352800"/>
          <a:ext cx="800100" cy="304800"/>
        </a:xfrm>
        <a:prstGeom prst="rect">
          <a:avLst/>
        </a:prstGeom>
        <a:noFill/>
        <a:ln w="12700" algn="ctr">
          <a:noFill/>
          <a:miter lim="800000"/>
          <a:headEnd/>
          <a:tailEnd/>
        </a:ln>
        <a:effectLst/>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Figure 1</a:t>
          </a:r>
        </a:p>
      </xdr:txBody>
    </xdr:sp>
    <xdr:clientData/>
  </xdr:twoCellAnchor>
  <xdr:twoCellAnchor>
    <xdr:from>
      <xdr:col>2</xdr:col>
      <xdr:colOff>851535</xdr:colOff>
      <xdr:row>15</xdr:row>
      <xdr:rowOff>76200</xdr:rowOff>
    </xdr:from>
    <xdr:to>
      <xdr:col>3</xdr:col>
      <xdr:colOff>512538</xdr:colOff>
      <xdr:row>15</xdr:row>
      <xdr:rowOff>381000</xdr:rowOff>
    </xdr:to>
    <xdr:sp macro="" textlink="">
      <xdr:nvSpPr>
        <xdr:cNvPr id="28704" name="Text Box 32">
          <a:extLst>
            <a:ext uri="{FF2B5EF4-FFF2-40B4-BE49-F238E27FC236}">
              <a16:creationId xmlns:a16="http://schemas.microsoft.com/office/drawing/2014/main" id="{B5C36B08-5D2E-F5D8-AE2E-9A5D40C60858}"/>
            </a:ext>
          </a:extLst>
        </xdr:cNvPr>
        <xdr:cNvSpPr txBox="1">
          <a:spLocks noChangeArrowheads="1"/>
        </xdr:cNvSpPr>
      </xdr:nvSpPr>
      <xdr:spPr bwMode="auto">
        <a:xfrm>
          <a:off x="2152650" y="6400800"/>
          <a:ext cx="800100" cy="304800"/>
        </a:xfrm>
        <a:prstGeom prst="rect">
          <a:avLst/>
        </a:prstGeom>
        <a:noFill/>
        <a:ln w="12700" algn="ctr">
          <a:noFill/>
          <a:miter lim="800000"/>
          <a:headEnd/>
          <a:tailEnd/>
        </a:ln>
        <a:effectLst/>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Figure 2</a:t>
          </a:r>
        </a:p>
      </xdr:txBody>
    </xdr:sp>
    <xdr:clientData/>
  </xdr:twoCellAnchor>
  <xdr:twoCellAnchor>
    <xdr:from>
      <xdr:col>2</xdr:col>
      <xdr:colOff>889635</xdr:colOff>
      <xdr:row>21</xdr:row>
      <xdr:rowOff>457200</xdr:rowOff>
    </xdr:from>
    <xdr:to>
      <xdr:col>3</xdr:col>
      <xdr:colOff>548663</xdr:colOff>
      <xdr:row>22</xdr:row>
      <xdr:rowOff>295275</xdr:rowOff>
    </xdr:to>
    <xdr:sp macro="" textlink="">
      <xdr:nvSpPr>
        <xdr:cNvPr id="28705" name="Text Box 33">
          <a:extLst>
            <a:ext uri="{FF2B5EF4-FFF2-40B4-BE49-F238E27FC236}">
              <a16:creationId xmlns:a16="http://schemas.microsoft.com/office/drawing/2014/main" id="{366BFFD3-DD51-BADA-0E64-583C2E56738D}"/>
            </a:ext>
          </a:extLst>
        </xdr:cNvPr>
        <xdr:cNvSpPr txBox="1">
          <a:spLocks noChangeArrowheads="1"/>
        </xdr:cNvSpPr>
      </xdr:nvSpPr>
      <xdr:spPr bwMode="auto">
        <a:xfrm>
          <a:off x="2190750" y="9582150"/>
          <a:ext cx="800100" cy="304800"/>
        </a:xfrm>
        <a:prstGeom prst="rect">
          <a:avLst/>
        </a:prstGeom>
        <a:noFill/>
        <a:ln w="12700" algn="ctr">
          <a:noFill/>
          <a:miter lim="800000"/>
          <a:headEnd/>
          <a:tailEnd/>
        </a:ln>
        <a:effectLst/>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Figure 3</a:t>
          </a:r>
        </a:p>
      </xdr:txBody>
    </xdr:sp>
    <xdr:clientData/>
  </xdr:twoCellAnchor>
  <xdr:twoCellAnchor>
    <xdr:from>
      <xdr:col>1</xdr:col>
      <xdr:colOff>512445</xdr:colOff>
      <xdr:row>20</xdr:row>
      <xdr:rowOff>190500</xdr:rowOff>
    </xdr:from>
    <xdr:to>
      <xdr:col>2</xdr:col>
      <xdr:colOff>160020</xdr:colOff>
      <xdr:row>21</xdr:row>
      <xdr:rowOff>142875</xdr:rowOff>
    </xdr:to>
    <xdr:sp macro="" textlink="">
      <xdr:nvSpPr>
        <xdr:cNvPr id="28707" name="Text Box 35">
          <a:hlinkClick xmlns:r="http://schemas.openxmlformats.org/officeDocument/2006/relationships" r:id="rId6"/>
          <a:extLst>
            <a:ext uri="{FF2B5EF4-FFF2-40B4-BE49-F238E27FC236}">
              <a16:creationId xmlns:a16="http://schemas.microsoft.com/office/drawing/2014/main" id="{30296333-FE81-FC3F-E173-52ED906BEB38}"/>
            </a:ext>
          </a:extLst>
        </xdr:cNvPr>
        <xdr:cNvSpPr txBox="1">
          <a:spLocks noChangeArrowheads="1"/>
        </xdr:cNvSpPr>
      </xdr:nvSpPr>
      <xdr:spPr bwMode="auto">
        <a:xfrm>
          <a:off x="581025" y="8686800"/>
          <a:ext cx="885825" cy="419100"/>
        </a:xfrm>
        <a:prstGeom prst="rect">
          <a:avLst/>
        </a:prstGeom>
        <a:solidFill>
          <a:srgbClr val="3366FF"/>
        </a:solidFill>
        <a:ln w="9525">
          <a:solidFill>
            <a:srgbClr val="000000"/>
          </a:solidFill>
          <a:miter lim="800000"/>
          <a:headEnd/>
          <a:tailEnd/>
        </a:ln>
      </xdr:spPr>
      <xdr:txBody>
        <a:bodyPr vertOverflow="clip" wrap="square" lIns="91440" tIns="45720" rIns="91440" bIns="45720" anchor="t" upright="1"/>
        <a:lstStyle/>
        <a:p>
          <a:pPr algn="ctr" rtl="0">
            <a:defRPr sz="1000"/>
          </a:pPr>
          <a:r>
            <a:rPr lang="en-US" sz="800" b="0" i="0" u="none" strike="noStrike" baseline="0">
              <a:solidFill>
                <a:srgbClr val="FFFFFF"/>
              </a:solidFill>
              <a:latin typeface="Arial"/>
              <a:cs typeface="Arial"/>
            </a:rPr>
            <a:t>Click for more information</a:t>
          </a:r>
          <a:endParaRPr lang="en-US" sz="1200" b="0" i="0" u="none" strike="noStrike" baseline="0">
            <a:solidFill>
              <a:srgbClr val="FFFFFF"/>
            </a:solidFill>
            <a:latin typeface="Arial"/>
            <a:cs typeface="Arial"/>
          </a:endParaRPr>
        </a:p>
        <a:p>
          <a:pPr algn="ctr" rtl="0">
            <a:defRPr sz="1000"/>
          </a:pPr>
          <a:endParaRPr lang="en-US" sz="1200" b="0" i="0" u="none" strike="noStrike" baseline="0">
            <a:solidFill>
              <a:srgbClr val="FFFFFF"/>
            </a:solidFill>
            <a:latin typeface="Arial"/>
            <a:cs typeface="Arial"/>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47625</xdr:colOff>
      <xdr:row>15</xdr:row>
      <xdr:rowOff>619125</xdr:rowOff>
    </xdr:from>
    <xdr:to>
      <xdr:col>3</xdr:col>
      <xdr:colOff>350578</xdr:colOff>
      <xdr:row>15</xdr:row>
      <xdr:rowOff>762000</xdr:rowOff>
    </xdr:to>
    <xdr:sp macro="" textlink="">
      <xdr:nvSpPr>
        <xdr:cNvPr id="10248" name="Text Box 8">
          <a:hlinkClick xmlns:r="http://schemas.openxmlformats.org/officeDocument/2006/relationships" r:id="rId1"/>
          <a:extLst>
            <a:ext uri="{FF2B5EF4-FFF2-40B4-BE49-F238E27FC236}">
              <a16:creationId xmlns:a16="http://schemas.microsoft.com/office/drawing/2014/main" id="{92F6EA4F-C934-48AE-AF87-88E98A4076C0}"/>
            </a:ext>
          </a:extLst>
        </xdr:cNvPr>
        <xdr:cNvSpPr txBox="1">
          <a:spLocks noChangeArrowheads="1"/>
        </xdr:cNvSpPr>
      </xdr:nvSpPr>
      <xdr:spPr bwMode="auto">
        <a:xfrm>
          <a:off x="2971800" y="89249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47625</xdr:colOff>
      <xdr:row>50</xdr:row>
      <xdr:rowOff>238125</xdr:rowOff>
    </xdr:from>
    <xdr:to>
      <xdr:col>3</xdr:col>
      <xdr:colOff>350578</xdr:colOff>
      <xdr:row>50</xdr:row>
      <xdr:rowOff>381000</xdr:rowOff>
    </xdr:to>
    <xdr:sp macro="" textlink="">
      <xdr:nvSpPr>
        <xdr:cNvPr id="10251" name="Text Box 11">
          <a:hlinkClick xmlns:r="http://schemas.openxmlformats.org/officeDocument/2006/relationships" r:id="rId2"/>
          <a:extLst>
            <a:ext uri="{FF2B5EF4-FFF2-40B4-BE49-F238E27FC236}">
              <a16:creationId xmlns:a16="http://schemas.microsoft.com/office/drawing/2014/main" id="{727EBAD0-7D28-DEA5-D87C-F92769C05DA4}"/>
            </a:ext>
          </a:extLst>
        </xdr:cNvPr>
        <xdr:cNvSpPr txBox="1">
          <a:spLocks noChangeArrowheads="1"/>
        </xdr:cNvSpPr>
      </xdr:nvSpPr>
      <xdr:spPr bwMode="auto">
        <a:xfrm>
          <a:off x="2971800" y="306038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39</xdr:row>
      <xdr:rowOff>104775</xdr:rowOff>
    </xdr:from>
    <xdr:to>
      <xdr:col>3</xdr:col>
      <xdr:colOff>360103</xdr:colOff>
      <xdr:row>39</xdr:row>
      <xdr:rowOff>247650</xdr:rowOff>
    </xdr:to>
    <xdr:sp macro="" textlink="">
      <xdr:nvSpPr>
        <xdr:cNvPr id="10263" name="Text Box 23">
          <a:hlinkClick xmlns:r="http://schemas.openxmlformats.org/officeDocument/2006/relationships" r:id="rId3"/>
          <a:extLst>
            <a:ext uri="{FF2B5EF4-FFF2-40B4-BE49-F238E27FC236}">
              <a16:creationId xmlns:a16="http://schemas.microsoft.com/office/drawing/2014/main" id="{2BFAB9E0-5D6B-E230-DC58-8ABB0A68E542}"/>
            </a:ext>
          </a:extLst>
        </xdr:cNvPr>
        <xdr:cNvSpPr txBox="1">
          <a:spLocks noChangeArrowheads="1"/>
        </xdr:cNvSpPr>
      </xdr:nvSpPr>
      <xdr:spPr bwMode="auto">
        <a:xfrm>
          <a:off x="2981325" y="226123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33</xdr:row>
      <xdr:rowOff>266700</xdr:rowOff>
    </xdr:from>
    <xdr:to>
      <xdr:col>3</xdr:col>
      <xdr:colOff>360103</xdr:colOff>
      <xdr:row>33</xdr:row>
      <xdr:rowOff>409575</xdr:rowOff>
    </xdr:to>
    <xdr:sp macro="" textlink="">
      <xdr:nvSpPr>
        <xdr:cNvPr id="10265" name="Text Box 25">
          <a:hlinkClick xmlns:r="http://schemas.openxmlformats.org/officeDocument/2006/relationships" r:id="rId4"/>
          <a:extLst>
            <a:ext uri="{FF2B5EF4-FFF2-40B4-BE49-F238E27FC236}">
              <a16:creationId xmlns:a16="http://schemas.microsoft.com/office/drawing/2014/main" id="{5AC459F3-3670-8D79-497F-1441187E3BAD}"/>
            </a:ext>
          </a:extLst>
        </xdr:cNvPr>
        <xdr:cNvSpPr txBox="1">
          <a:spLocks noChangeArrowheads="1"/>
        </xdr:cNvSpPr>
      </xdr:nvSpPr>
      <xdr:spPr bwMode="auto">
        <a:xfrm>
          <a:off x="2981325" y="205549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60</xdr:row>
      <xdr:rowOff>1285875</xdr:rowOff>
    </xdr:from>
    <xdr:to>
      <xdr:col>3</xdr:col>
      <xdr:colOff>360103</xdr:colOff>
      <xdr:row>60</xdr:row>
      <xdr:rowOff>1428750</xdr:rowOff>
    </xdr:to>
    <xdr:sp macro="" textlink="">
      <xdr:nvSpPr>
        <xdr:cNvPr id="10269" name="Text Box 29">
          <a:hlinkClick xmlns:r="http://schemas.openxmlformats.org/officeDocument/2006/relationships" r:id="rId5"/>
          <a:extLst>
            <a:ext uri="{FF2B5EF4-FFF2-40B4-BE49-F238E27FC236}">
              <a16:creationId xmlns:a16="http://schemas.microsoft.com/office/drawing/2014/main" id="{7B20C270-7360-271C-AD18-237D7426595A}"/>
            </a:ext>
          </a:extLst>
        </xdr:cNvPr>
        <xdr:cNvSpPr txBox="1">
          <a:spLocks noChangeArrowheads="1"/>
        </xdr:cNvSpPr>
      </xdr:nvSpPr>
      <xdr:spPr bwMode="auto">
        <a:xfrm>
          <a:off x="2981325" y="369284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xdr:from>
      <xdr:col>9</xdr:col>
      <xdr:colOff>142875</xdr:colOff>
      <xdr:row>1</xdr:row>
      <xdr:rowOff>125730</xdr:rowOff>
    </xdr:from>
    <xdr:to>
      <xdr:col>12</xdr:col>
      <xdr:colOff>0</xdr:colOff>
      <xdr:row>1</xdr:row>
      <xdr:rowOff>390698</xdr:rowOff>
    </xdr:to>
    <xdr:sp macro="" textlink="">
      <xdr:nvSpPr>
        <xdr:cNvPr id="10271" name="AutoShape 31">
          <a:hlinkClick xmlns:r="http://schemas.openxmlformats.org/officeDocument/2006/relationships" r:id="rId6"/>
          <a:extLst>
            <a:ext uri="{FF2B5EF4-FFF2-40B4-BE49-F238E27FC236}">
              <a16:creationId xmlns:a16="http://schemas.microsoft.com/office/drawing/2014/main" id="{242980EA-7C2D-E0FC-368D-5F3392354150}"/>
            </a:ext>
          </a:extLst>
        </xdr:cNvPr>
        <xdr:cNvSpPr>
          <a:spLocks noChangeArrowheads="1"/>
        </xdr:cNvSpPr>
      </xdr:nvSpPr>
      <xdr:spPr bwMode="auto">
        <a:xfrm>
          <a:off x="6972300" y="209550"/>
          <a:ext cx="2190750" cy="2571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Back to Instructions</a:t>
          </a:r>
        </a:p>
      </xdr:txBody>
    </xdr:sp>
    <xdr:clientData/>
  </xdr:twoCellAnchor>
  <xdr:twoCellAnchor editAs="oneCell">
    <xdr:from>
      <xdr:col>3</xdr:col>
      <xdr:colOff>57150</xdr:colOff>
      <xdr:row>46</xdr:row>
      <xdr:rowOff>306705</xdr:rowOff>
    </xdr:from>
    <xdr:to>
      <xdr:col>3</xdr:col>
      <xdr:colOff>360103</xdr:colOff>
      <xdr:row>46</xdr:row>
      <xdr:rowOff>442060</xdr:rowOff>
    </xdr:to>
    <xdr:sp macro="" textlink="">
      <xdr:nvSpPr>
        <xdr:cNvPr id="10273" name="Text Box 33">
          <a:hlinkClick xmlns:r="http://schemas.openxmlformats.org/officeDocument/2006/relationships" r:id="rId7"/>
          <a:extLst>
            <a:ext uri="{FF2B5EF4-FFF2-40B4-BE49-F238E27FC236}">
              <a16:creationId xmlns:a16="http://schemas.microsoft.com/office/drawing/2014/main" id="{519193BF-0BF7-96C3-4045-F859BCE514CF}"/>
            </a:ext>
          </a:extLst>
        </xdr:cNvPr>
        <xdr:cNvSpPr txBox="1">
          <a:spLocks noChangeArrowheads="1"/>
        </xdr:cNvSpPr>
      </xdr:nvSpPr>
      <xdr:spPr bwMode="auto">
        <a:xfrm>
          <a:off x="2981325" y="2762250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64</xdr:row>
      <xdr:rowOff>38100</xdr:rowOff>
    </xdr:from>
    <xdr:to>
      <xdr:col>3</xdr:col>
      <xdr:colOff>360103</xdr:colOff>
      <xdr:row>64</xdr:row>
      <xdr:rowOff>180975</xdr:rowOff>
    </xdr:to>
    <xdr:sp macro="" textlink="">
      <xdr:nvSpPr>
        <xdr:cNvPr id="10275" name="Text Box 35">
          <a:hlinkClick xmlns:r="http://schemas.openxmlformats.org/officeDocument/2006/relationships" r:id="rId8"/>
          <a:extLst>
            <a:ext uri="{FF2B5EF4-FFF2-40B4-BE49-F238E27FC236}">
              <a16:creationId xmlns:a16="http://schemas.microsoft.com/office/drawing/2014/main" id="{25690766-35A4-6F7A-11E8-A6C6F03E397D}"/>
            </a:ext>
          </a:extLst>
        </xdr:cNvPr>
        <xdr:cNvSpPr txBox="1">
          <a:spLocks noChangeArrowheads="1"/>
        </xdr:cNvSpPr>
      </xdr:nvSpPr>
      <xdr:spPr bwMode="auto">
        <a:xfrm>
          <a:off x="2981325" y="391477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68</xdr:row>
      <xdr:rowOff>180975</xdr:rowOff>
    </xdr:from>
    <xdr:to>
      <xdr:col>3</xdr:col>
      <xdr:colOff>360103</xdr:colOff>
      <xdr:row>68</xdr:row>
      <xdr:rowOff>323850</xdr:rowOff>
    </xdr:to>
    <xdr:sp macro="" textlink="">
      <xdr:nvSpPr>
        <xdr:cNvPr id="10276" name="Text Box 36">
          <a:hlinkClick xmlns:r="http://schemas.openxmlformats.org/officeDocument/2006/relationships" r:id="rId9"/>
          <a:extLst>
            <a:ext uri="{FF2B5EF4-FFF2-40B4-BE49-F238E27FC236}">
              <a16:creationId xmlns:a16="http://schemas.microsoft.com/office/drawing/2014/main" id="{270B3209-C6F7-B57F-52F8-B81ECB387E7A}"/>
            </a:ext>
          </a:extLst>
        </xdr:cNvPr>
        <xdr:cNvSpPr txBox="1">
          <a:spLocks noChangeArrowheads="1"/>
        </xdr:cNvSpPr>
      </xdr:nvSpPr>
      <xdr:spPr bwMode="auto">
        <a:xfrm>
          <a:off x="2981325" y="401764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66675</xdr:colOff>
      <xdr:row>66</xdr:row>
      <xdr:rowOff>152400</xdr:rowOff>
    </xdr:from>
    <xdr:to>
      <xdr:col>3</xdr:col>
      <xdr:colOff>369628</xdr:colOff>
      <xdr:row>66</xdr:row>
      <xdr:rowOff>295275</xdr:rowOff>
    </xdr:to>
    <xdr:sp macro="" textlink="">
      <xdr:nvSpPr>
        <xdr:cNvPr id="10278" name="Text Box 38">
          <a:hlinkClick xmlns:r="http://schemas.openxmlformats.org/officeDocument/2006/relationships" r:id="rId10"/>
          <a:extLst>
            <a:ext uri="{FF2B5EF4-FFF2-40B4-BE49-F238E27FC236}">
              <a16:creationId xmlns:a16="http://schemas.microsoft.com/office/drawing/2014/main" id="{568BF900-46E8-9AC2-D59B-9CECD44049FB}"/>
            </a:ext>
          </a:extLst>
        </xdr:cNvPr>
        <xdr:cNvSpPr txBox="1">
          <a:spLocks noChangeArrowheads="1"/>
        </xdr:cNvSpPr>
      </xdr:nvSpPr>
      <xdr:spPr bwMode="auto">
        <a:xfrm>
          <a:off x="2990850" y="395668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62</xdr:row>
      <xdr:rowOff>276225</xdr:rowOff>
    </xdr:from>
    <xdr:to>
      <xdr:col>3</xdr:col>
      <xdr:colOff>360103</xdr:colOff>
      <xdr:row>62</xdr:row>
      <xdr:rowOff>419100</xdr:rowOff>
    </xdr:to>
    <xdr:sp macro="" textlink="">
      <xdr:nvSpPr>
        <xdr:cNvPr id="10281" name="Text Box 41">
          <a:hlinkClick xmlns:r="http://schemas.openxmlformats.org/officeDocument/2006/relationships" r:id="rId11"/>
          <a:extLst>
            <a:ext uri="{FF2B5EF4-FFF2-40B4-BE49-F238E27FC236}">
              <a16:creationId xmlns:a16="http://schemas.microsoft.com/office/drawing/2014/main" id="{DA634779-731B-33F7-961D-D2E0026E8892}"/>
            </a:ext>
          </a:extLst>
        </xdr:cNvPr>
        <xdr:cNvSpPr txBox="1">
          <a:spLocks noChangeArrowheads="1"/>
        </xdr:cNvSpPr>
      </xdr:nvSpPr>
      <xdr:spPr bwMode="auto">
        <a:xfrm>
          <a:off x="2981325" y="3866197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xdr:from>
      <xdr:col>2</xdr:col>
      <xdr:colOff>1466850</xdr:colOff>
      <xdr:row>1</xdr:row>
      <xdr:rowOff>314325</xdr:rowOff>
    </xdr:from>
    <xdr:to>
      <xdr:col>6</xdr:col>
      <xdr:colOff>1798334</xdr:colOff>
      <xdr:row>1</xdr:row>
      <xdr:rowOff>468890</xdr:rowOff>
    </xdr:to>
    <xdr:sp macro="" textlink="">
      <xdr:nvSpPr>
        <xdr:cNvPr id="10344" name="Text Box 44">
          <a:extLst>
            <a:ext uri="{FF2B5EF4-FFF2-40B4-BE49-F238E27FC236}">
              <a16:creationId xmlns:a16="http://schemas.microsoft.com/office/drawing/2014/main" id="{267F8C51-F997-77DC-3D76-2A044394D45B}"/>
            </a:ext>
          </a:extLst>
        </xdr:cNvPr>
        <xdr:cNvSpPr txBox="1">
          <a:spLocks noChangeArrowheads="1"/>
        </xdr:cNvSpPr>
      </xdr:nvSpPr>
      <xdr:spPr bwMode="auto">
        <a:xfrm>
          <a:off x="1638300" y="390525"/>
          <a:ext cx="42195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xdr:from>
      <xdr:col>4</xdr:col>
      <xdr:colOff>57150</xdr:colOff>
      <xdr:row>60</xdr:row>
      <xdr:rowOff>68580</xdr:rowOff>
    </xdr:from>
    <xdr:to>
      <xdr:col>6</xdr:col>
      <xdr:colOff>1192593</xdr:colOff>
      <xdr:row>60</xdr:row>
      <xdr:rowOff>421005</xdr:rowOff>
    </xdr:to>
    <xdr:sp macro="" textlink="">
      <xdr:nvSpPr>
        <xdr:cNvPr id="10288" name="Text Box 48">
          <a:extLst>
            <a:ext uri="{FF2B5EF4-FFF2-40B4-BE49-F238E27FC236}">
              <a16:creationId xmlns:a16="http://schemas.microsoft.com/office/drawing/2014/main" id="{BCA830E0-6FE4-6CBC-5486-EE73500DDCC4}"/>
            </a:ext>
          </a:extLst>
        </xdr:cNvPr>
        <xdr:cNvSpPr txBox="1">
          <a:spLocks noChangeArrowheads="1"/>
        </xdr:cNvSpPr>
      </xdr:nvSpPr>
      <xdr:spPr bwMode="auto">
        <a:xfrm>
          <a:off x="3409950" y="35709225"/>
          <a:ext cx="1838325" cy="3524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Courier New"/>
              <a:cs typeface="Courier New"/>
            </a:rPr>
            <a:t>To use the percent value choose this button</a:t>
          </a:r>
        </a:p>
      </xdr:txBody>
    </xdr:sp>
    <xdr:clientData/>
  </xdr:twoCellAnchor>
  <xdr:twoCellAnchor>
    <xdr:from>
      <xdr:col>6</xdr:col>
      <xdr:colOff>1590675</xdr:colOff>
      <xdr:row>60</xdr:row>
      <xdr:rowOff>87630</xdr:rowOff>
    </xdr:from>
    <xdr:to>
      <xdr:col>9</xdr:col>
      <xdr:colOff>1939299</xdr:colOff>
      <xdr:row>60</xdr:row>
      <xdr:rowOff>457281</xdr:rowOff>
    </xdr:to>
    <xdr:sp macro="" textlink="">
      <xdr:nvSpPr>
        <xdr:cNvPr id="10291" name="Text Box 51">
          <a:extLst>
            <a:ext uri="{FF2B5EF4-FFF2-40B4-BE49-F238E27FC236}">
              <a16:creationId xmlns:a16="http://schemas.microsoft.com/office/drawing/2014/main" id="{285D6680-0014-139A-3329-103716875644}"/>
            </a:ext>
          </a:extLst>
        </xdr:cNvPr>
        <xdr:cNvSpPr txBox="1">
          <a:spLocks noChangeArrowheads="1"/>
        </xdr:cNvSpPr>
      </xdr:nvSpPr>
      <xdr:spPr bwMode="auto">
        <a:xfrm>
          <a:off x="5648325" y="35737800"/>
          <a:ext cx="3124200" cy="36195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Courier New"/>
              <a:cs typeface="Courier New"/>
            </a:rPr>
            <a:t>To enter a value choose this button and enter the value in the cell to the right</a:t>
          </a:r>
        </a:p>
      </xdr:txBody>
    </xdr:sp>
    <xdr:clientData/>
  </xdr:twoCellAnchor>
  <xdr:twoCellAnchor editAs="oneCell">
    <xdr:from>
      <xdr:col>6</xdr:col>
      <xdr:colOff>142875</xdr:colOff>
      <xdr:row>60</xdr:row>
      <xdr:rowOff>666750</xdr:rowOff>
    </xdr:from>
    <xdr:to>
      <xdr:col>8</xdr:col>
      <xdr:colOff>361950</xdr:colOff>
      <xdr:row>60</xdr:row>
      <xdr:rowOff>1171575</xdr:rowOff>
    </xdr:to>
    <xdr:pic>
      <xdr:nvPicPr>
        <xdr:cNvPr id="47627" name="Picture 57">
          <a:extLst>
            <a:ext uri="{FF2B5EF4-FFF2-40B4-BE49-F238E27FC236}">
              <a16:creationId xmlns:a16="http://schemas.microsoft.com/office/drawing/2014/main" id="{1148A029-98E9-9E2C-4665-0FB0537D6B8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l="60703" t="49699" r="19531" b="45000"/>
        <a:stretch>
          <a:fillRect/>
        </a:stretch>
      </xdr:blipFill>
      <xdr:spPr bwMode="auto">
        <a:xfrm>
          <a:off x="4200525" y="37280850"/>
          <a:ext cx="2409825"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76200</xdr:colOff>
      <xdr:row>60</xdr:row>
      <xdr:rowOff>1363980</xdr:rowOff>
    </xdr:from>
    <xdr:to>
      <xdr:col>11</xdr:col>
      <xdr:colOff>83826</xdr:colOff>
      <xdr:row>60</xdr:row>
      <xdr:rowOff>2219350</xdr:rowOff>
    </xdr:to>
    <xdr:sp macro="" textlink="">
      <xdr:nvSpPr>
        <xdr:cNvPr id="10294" name="Text Box 54">
          <a:extLst>
            <a:ext uri="{FF2B5EF4-FFF2-40B4-BE49-F238E27FC236}">
              <a16:creationId xmlns:a16="http://schemas.microsoft.com/office/drawing/2014/main" id="{372F3818-BF4F-3820-0E63-B79E505D1889}"/>
            </a:ext>
          </a:extLst>
        </xdr:cNvPr>
        <xdr:cNvSpPr txBox="1">
          <a:spLocks noChangeArrowheads="1"/>
        </xdr:cNvSpPr>
      </xdr:nvSpPr>
      <xdr:spPr bwMode="auto">
        <a:xfrm>
          <a:off x="3429000" y="37004625"/>
          <a:ext cx="5657850" cy="866775"/>
        </a:xfrm>
        <a:prstGeom prst="rect">
          <a:avLst/>
        </a:prstGeom>
        <a:noFill/>
        <a:ln w="12700" algn="ctr">
          <a:noFill/>
          <a:miter lim="800000"/>
          <a:headEnd/>
          <a:tailEnd/>
        </a:ln>
        <a:effectLst/>
      </xdr:spPr>
      <xdr:txBody>
        <a:bodyPr vertOverflow="clip" wrap="square" lIns="27432" tIns="27432" rIns="0" bIns="0" anchor="t" upright="1"/>
        <a:lstStyle/>
        <a:p>
          <a:pPr algn="l" rtl="0">
            <a:defRPr sz="1000"/>
          </a:pPr>
          <a:r>
            <a:rPr lang="en-US" sz="900" b="1" i="0" u="none" strike="noStrike" baseline="0">
              <a:solidFill>
                <a:srgbClr val="000000"/>
              </a:solidFill>
              <a:latin typeface="Courier New"/>
              <a:cs typeface="Courier New"/>
            </a:rPr>
            <a:t>NOTE:</a:t>
          </a:r>
          <a:r>
            <a:rPr lang="en-US" sz="900" b="0" i="0" u="none" strike="noStrike" baseline="0">
              <a:solidFill>
                <a:srgbClr val="000000"/>
              </a:solidFill>
              <a:latin typeface="Courier New"/>
              <a:cs typeface="Courier New"/>
            </a:rPr>
            <a:t> For unbilled unmetered consumption and unauthorized consumption, a recommended default value can be applied by selecting the Percent option. The default values are based on fixed percentages of water supplied and are recommended for use in this audit unless the auditor has well validated data for their system. Default values are shown by purple cells, as shown in the example above.</a:t>
          </a:r>
        </a:p>
      </xdr:txBody>
    </xdr:sp>
    <xdr:clientData/>
  </xdr:twoCellAnchor>
  <xdr:twoCellAnchor>
    <xdr:from>
      <xdr:col>6</xdr:col>
      <xdr:colOff>1066800</xdr:colOff>
      <xdr:row>60</xdr:row>
      <xdr:rowOff>333375</xdr:rowOff>
    </xdr:from>
    <xdr:to>
      <xdr:col>6</xdr:col>
      <xdr:colOff>1543050</xdr:colOff>
      <xdr:row>60</xdr:row>
      <xdr:rowOff>800100</xdr:rowOff>
    </xdr:to>
    <xdr:sp macro="" textlink="">
      <xdr:nvSpPr>
        <xdr:cNvPr id="47629" name="Line 55">
          <a:extLst>
            <a:ext uri="{FF2B5EF4-FFF2-40B4-BE49-F238E27FC236}">
              <a16:creationId xmlns:a16="http://schemas.microsoft.com/office/drawing/2014/main" id="{2F6C3CA8-2DA9-F359-9502-CE37CF9CD430}"/>
            </a:ext>
          </a:extLst>
        </xdr:cNvPr>
        <xdr:cNvSpPr>
          <a:spLocks noChangeShapeType="1"/>
        </xdr:cNvSpPr>
      </xdr:nvSpPr>
      <xdr:spPr bwMode="auto">
        <a:xfrm flipH="1">
          <a:off x="5124450" y="36947475"/>
          <a:ext cx="476250" cy="46672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447675</xdr:colOff>
      <xdr:row>60</xdr:row>
      <xdr:rowOff>419100</xdr:rowOff>
    </xdr:from>
    <xdr:to>
      <xdr:col>6</xdr:col>
      <xdr:colOff>809625</xdr:colOff>
      <xdr:row>60</xdr:row>
      <xdr:rowOff>809625</xdr:rowOff>
    </xdr:to>
    <xdr:sp macro="" textlink="">
      <xdr:nvSpPr>
        <xdr:cNvPr id="47630" name="Line 49">
          <a:extLst>
            <a:ext uri="{FF2B5EF4-FFF2-40B4-BE49-F238E27FC236}">
              <a16:creationId xmlns:a16="http://schemas.microsoft.com/office/drawing/2014/main" id="{A4AB3F8A-4813-1AFF-5FD1-03A36A3B7F7A}"/>
            </a:ext>
          </a:extLst>
        </xdr:cNvPr>
        <xdr:cNvSpPr>
          <a:spLocks noChangeShapeType="1"/>
        </xdr:cNvSpPr>
      </xdr:nvSpPr>
      <xdr:spPr bwMode="auto">
        <a:xfrm>
          <a:off x="4505325" y="37033200"/>
          <a:ext cx="361950" cy="39052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152400</xdr:colOff>
      <xdr:row>60</xdr:row>
      <xdr:rowOff>409575</xdr:rowOff>
    </xdr:from>
    <xdr:to>
      <xdr:col>9</xdr:col>
      <xdr:colOff>876300</xdr:colOff>
      <xdr:row>60</xdr:row>
      <xdr:rowOff>971550</xdr:rowOff>
    </xdr:to>
    <xdr:sp macro="" textlink="">
      <xdr:nvSpPr>
        <xdr:cNvPr id="47631" name="Line 52">
          <a:extLst>
            <a:ext uri="{FF2B5EF4-FFF2-40B4-BE49-F238E27FC236}">
              <a16:creationId xmlns:a16="http://schemas.microsoft.com/office/drawing/2014/main" id="{BC17E08E-0C53-B54D-D573-53FBDF65E9B8}"/>
            </a:ext>
          </a:extLst>
        </xdr:cNvPr>
        <xdr:cNvSpPr>
          <a:spLocks noChangeShapeType="1"/>
        </xdr:cNvSpPr>
      </xdr:nvSpPr>
      <xdr:spPr bwMode="auto">
        <a:xfrm flipH="1">
          <a:off x="6191250" y="37023675"/>
          <a:ext cx="1514475" cy="56197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85725</xdr:colOff>
      <xdr:row>60</xdr:row>
      <xdr:rowOff>2245995</xdr:rowOff>
    </xdr:from>
    <xdr:to>
      <xdr:col>11</xdr:col>
      <xdr:colOff>104775</xdr:colOff>
      <xdr:row>60</xdr:row>
      <xdr:rowOff>2588895</xdr:rowOff>
    </xdr:to>
    <xdr:sp macro="" textlink="">
      <xdr:nvSpPr>
        <xdr:cNvPr id="10298" name="Text Box 58">
          <a:extLst>
            <a:ext uri="{FF2B5EF4-FFF2-40B4-BE49-F238E27FC236}">
              <a16:creationId xmlns:a16="http://schemas.microsoft.com/office/drawing/2014/main" id="{16DAC5C0-E308-C8D8-4A1A-62929607D9B7}"/>
            </a:ext>
          </a:extLst>
        </xdr:cNvPr>
        <xdr:cNvSpPr txBox="1">
          <a:spLocks noChangeArrowheads="1"/>
        </xdr:cNvSpPr>
      </xdr:nvSpPr>
      <xdr:spPr bwMode="auto">
        <a:xfrm>
          <a:off x="3438525" y="37890450"/>
          <a:ext cx="5667375" cy="3429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Courier New"/>
              <a:cs typeface="Courier New"/>
            </a:rPr>
            <a:t>If a default value is selected, the user does not need to grade the item; a grading value of 3 is automatically applied (however, this grade will not be displayed).</a:t>
          </a:r>
        </a:p>
      </xdr:txBody>
    </xdr:sp>
    <xdr:clientData/>
  </xdr:twoCellAnchor>
  <xdr:twoCellAnchor editAs="oneCell">
    <xdr:from>
      <xdr:col>3</xdr:col>
      <xdr:colOff>57150</xdr:colOff>
      <xdr:row>54</xdr:row>
      <xdr:rowOff>1000125</xdr:rowOff>
    </xdr:from>
    <xdr:to>
      <xdr:col>3</xdr:col>
      <xdr:colOff>360103</xdr:colOff>
      <xdr:row>54</xdr:row>
      <xdr:rowOff>1143000</xdr:rowOff>
    </xdr:to>
    <xdr:sp macro="" textlink="">
      <xdr:nvSpPr>
        <xdr:cNvPr id="10306" name="Text Box 66">
          <a:hlinkClick xmlns:r="http://schemas.openxmlformats.org/officeDocument/2006/relationships" r:id="rId13"/>
          <a:extLst>
            <a:ext uri="{FF2B5EF4-FFF2-40B4-BE49-F238E27FC236}">
              <a16:creationId xmlns:a16="http://schemas.microsoft.com/office/drawing/2014/main" id="{50B2DE60-936C-2950-4C89-96C90E7D1309}"/>
            </a:ext>
          </a:extLst>
        </xdr:cNvPr>
        <xdr:cNvSpPr txBox="1">
          <a:spLocks noChangeArrowheads="1"/>
        </xdr:cNvSpPr>
      </xdr:nvSpPr>
      <xdr:spPr bwMode="auto">
        <a:xfrm>
          <a:off x="2981325" y="3451860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7</xdr:col>
      <xdr:colOff>198120</xdr:colOff>
      <xdr:row>1</xdr:row>
      <xdr:rowOff>333375</xdr:rowOff>
    </xdr:from>
    <xdr:to>
      <xdr:col>9</xdr:col>
      <xdr:colOff>56</xdr:colOff>
      <xdr:row>1</xdr:row>
      <xdr:rowOff>495300</xdr:rowOff>
    </xdr:to>
    <xdr:sp macro="" textlink="">
      <xdr:nvSpPr>
        <xdr:cNvPr id="10310" name="Text Box 70">
          <a:extLst>
            <a:ext uri="{FF2B5EF4-FFF2-40B4-BE49-F238E27FC236}">
              <a16:creationId xmlns:a16="http://schemas.microsoft.com/office/drawing/2014/main" id="{8A27B0C6-DE66-9445-9F7B-243C7D2A886B}"/>
            </a:ext>
          </a:extLst>
        </xdr:cNvPr>
        <xdr:cNvSpPr txBox="1">
          <a:spLocks noChangeArrowheads="1"/>
        </xdr:cNvSpPr>
      </xdr:nvSpPr>
      <xdr:spPr bwMode="auto">
        <a:xfrm>
          <a:off x="6238875" y="409575"/>
          <a:ext cx="590550" cy="1619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v4.2 </a:t>
          </a:r>
        </a:p>
      </xdr:txBody>
    </xdr:sp>
    <xdr:clientData/>
  </xdr:twoCellAnchor>
  <xdr:twoCellAnchor editAs="oneCell">
    <xdr:from>
      <xdr:col>3</xdr:col>
      <xdr:colOff>47625</xdr:colOff>
      <xdr:row>11</xdr:row>
      <xdr:rowOff>504825</xdr:rowOff>
    </xdr:from>
    <xdr:to>
      <xdr:col>3</xdr:col>
      <xdr:colOff>350578</xdr:colOff>
      <xdr:row>11</xdr:row>
      <xdr:rowOff>647700</xdr:rowOff>
    </xdr:to>
    <xdr:sp macro="" textlink="">
      <xdr:nvSpPr>
        <xdr:cNvPr id="10311" name="Text Box 71">
          <a:hlinkClick xmlns:r="http://schemas.openxmlformats.org/officeDocument/2006/relationships" r:id="rId14"/>
          <a:extLst>
            <a:ext uri="{FF2B5EF4-FFF2-40B4-BE49-F238E27FC236}">
              <a16:creationId xmlns:a16="http://schemas.microsoft.com/office/drawing/2014/main" id="{4F980F80-7D52-3967-7910-609BE00609FE}"/>
            </a:ext>
          </a:extLst>
        </xdr:cNvPr>
        <xdr:cNvSpPr txBox="1">
          <a:spLocks noChangeArrowheads="1"/>
        </xdr:cNvSpPr>
      </xdr:nvSpPr>
      <xdr:spPr bwMode="auto">
        <a:xfrm>
          <a:off x="2971800" y="72104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31</xdr:row>
      <xdr:rowOff>85725</xdr:rowOff>
    </xdr:from>
    <xdr:to>
      <xdr:col>3</xdr:col>
      <xdr:colOff>360103</xdr:colOff>
      <xdr:row>31</xdr:row>
      <xdr:rowOff>228600</xdr:rowOff>
    </xdr:to>
    <xdr:sp macro="" textlink="">
      <xdr:nvSpPr>
        <xdr:cNvPr id="10312" name="Text Box 72">
          <a:hlinkClick xmlns:r="http://schemas.openxmlformats.org/officeDocument/2006/relationships" r:id="rId15"/>
          <a:extLst>
            <a:ext uri="{FF2B5EF4-FFF2-40B4-BE49-F238E27FC236}">
              <a16:creationId xmlns:a16="http://schemas.microsoft.com/office/drawing/2014/main" id="{C5349CFC-C8CA-4ECF-4D71-59F70C6B4433}"/>
            </a:ext>
          </a:extLst>
        </xdr:cNvPr>
        <xdr:cNvSpPr txBox="1">
          <a:spLocks noChangeArrowheads="1"/>
        </xdr:cNvSpPr>
      </xdr:nvSpPr>
      <xdr:spPr bwMode="auto">
        <a:xfrm>
          <a:off x="2981325" y="199358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41</xdr:row>
      <xdr:rowOff>447675</xdr:rowOff>
    </xdr:from>
    <xdr:to>
      <xdr:col>3</xdr:col>
      <xdr:colOff>360103</xdr:colOff>
      <xdr:row>41</xdr:row>
      <xdr:rowOff>590550</xdr:rowOff>
    </xdr:to>
    <xdr:sp macro="" textlink="">
      <xdr:nvSpPr>
        <xdr:cNvPr id="10314" name="Text Box 74">
          <a:hlinkClick xmlns:r="http://schemas.openxmlformats.org/officeDocument/2006/relationships" r:id="rId16"/>
          <a:extLst>
            <a:ext uri="{FF2B5EF4-FFF2-40B4-BE49-F238E27FC236}">
              <a16:creationId xmlns:a16="http://schemas.microsoft.com/office/drawing/2014/main" id="{754CFA97-19DF-DCE8-BF3A-84FE6B68D48B}"/>
            </a:ext>
          </a:extLst>
        </xdr:cNvPr>
        <xdr:cNvSpPr txBox="1">
          <a:spLocks noChangeArrowheads="1"/>
        </xdr:cNvSpPr>
      </xdr:nvSpPr>
      <xdr:spPr bwMode="auto">
        <a:xfrm>
          <a:off x="2981325" y="2339340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47625</xdr:colOff>
      <xdr:row>9</xdr:row>
      <xdr:rowOff>1297305</xdr:rowOff>
    </xdr:from>
    <xdr:to>
      <xdr:col>3</xdr:col>
      <xdr:colOff>350578</xdr:colOff>
      <xdr:row>9</xdr:row>
      <xdr:rowOff>1459230</xdr:rowOff>
    </xdr:to>
    <xdr:sp macro="" textlink="">
      <xdr:nvSpPr>
        <xdr:cNvPr id="10315" name="Text Box 75">
          <a:hlinkClick xmlns:r="http://schemas.openxmlformats.org/officeDocument/2006/relationships" r:id="rId17"/>
          <a:extLst>
            <a:ext uri="{FF2B5EF4-FFF2-40B4-BE49-F238E27FC236}">
              <a16:creationId xmlns:a16="http://schemas.microsoft.com/office/drawing/2014/main" id="{FDEB0ABF-1642-B27E-DDC9-B6681D436114}"/>
            </a:ext>
          </a:extLst>
        </xdr:cNvPr>
        <xdr:cNvSpPr txBox="1">
          <a:spLocks noChangeArrowheads="1"/>
        </xdr:cNvSpPr>
      </xdr:nvSpPr>
      <xdr:spPr bwMode="auto">
        <a:xfrm>
          <a:off x="2971800" y="517207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5</xdr:row>
      <xdr:rowOff>476250</xdr:rowOff>
    </xdr:from>
    <xdr:to>
      <xdr:col>3</xdr:col>
      <xdr:colOff>360103</xdr:colOff>
      <xdr:row>5</xdr:row>
      <xdr:rowOff>617637</xdr:rowOff>
    </xdr:to>
    <xdr:sp macro="" textlink="">
      <xdr:nvSpPr>
        <xdr:cNvPr id="10316" name="Text Box 76">
          <a:hlinkClick xmlns:r="http://schemas.openxmlformats.org/officeDocument/2006/relationships" r:id="rId18"/>
          <a:extLst>
            <a:ext uri="{FF2B5EF4-FFF2-40B4-BE49-F238E27FC236}">
              <a16:creationId xmlns:a16="http://schemas.microsoft.com/office/drawing/2014/main" id="{BDAE0394-2452-B1FF-ED4C-973EAE22887F}"/>
            </a:ext>
          </a:extLst>
        </xdr:cNvPr>
        <xdr:cNvSpPr txBox="1">
          <a:spLocks noChangeArrowheads="1"/>
        </xdr:cNvSpPr>
      </xdr:nvSpPr>
      <xdr:spPr bwMode="auto">
        <a:xfrm>
          <a:off x="2981325" y="14668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47625</xdr:colOff>
      <xdr:row>70</xdr:row>
      <xdr:rowOff>428625</xdr:rowOff>
    </xdr:from>
    <xdr:to>
      <xdr:col>3</xdr:col>
      <xdr:colOff>350578</xdr:colOff>
      <xdr:row>70</xdr:row>
      <xdr:rowOff>571500</xdr:rowOff>
    </xdr:to>
    <xdr:sp macro="" textlink="">
      <xdr:nvSpPr>
        <xdr:cNvPr id="10319" name="Text Box 79">
          <a:hlinkClick xmlns:r="http://schemas.openxmlformats.org/officeDocument/2006/relationships" r:id="rId19"/>
          <a:extLst>
            <a:ext uri="{FF2B5EF4-FFF2-40B4-BE49-F238E27FC236}">
              <a16:creationId xmlns:a16="http://schemas.microsoft.com/office/drawing/2014/main" id="{F5180D39-17A0-B6C4-1767-6203A3C86B9E}"/>
            </a:ext>
          </a:extLst>
        </xdr:cNvPr>
        <xdr:cNvSpPr txBox="1">
          <a:spLocks noChangeArrowheads="1"/>
        </xdr:cNvSpPr>
      </xdr:nvSpPr>
      <xdr:spPr bwMode="auto">
        <a:xfrm>
          <a:off x="2971800" y="410051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66675</xdr:colOff>
      <xdr:row>7</xdr:row>
      <xdr:rowOff>723900</xdr:rowOff>
    </xdr:from>
    <xdr:to>
      <xdr:col>3</xdr:col>
      <xdr:colOff>369628</xdr:colOff>
      <xdr:row>7</xdr:row>
      <xdr:rowOff>866775</xdr:rowOff>
    </xdr:to>
    <xdr:sp macro="" textlink="">
      <xdr:nvSpPr>
        <xdr:cNvPr id="10320" name="Text Box 80">
          <a:hlinkClick xmlns:r="http://schemas.openxmlformats.org/officeDocument/2006/relationships" r:id="rId20"/>
          <a:extLst>
            <a:ext uri="{FF2B5EF4-FFF2-40B4-BE49-F238E27FC236}">
              <a16:creationId xmlns:a16="http://schemas.microsoft.com/office/drawing/2014/main" id="{F6C8D7FE-9AB7-BE97-4F48-FA20E88B0F19}"/>
            </a:ext>
          </a:extLst>
        </xdr:cNvPr>
        <xdr:cNvSpPr txBox="1">
          <a:spLocks noChangeArrowheads="1"/>
        </xdr:cNvSpPr>
      </xdr:nvSpPr>
      <xdr:spPr bwMode="auto">
        <a:xfrm>
          <a:off x="2990850" y="293370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47625</xdr:colOff>
      <xdr:row>17</xdr:row>
      <xdr:rowOff>457200</xdr:rowOff>
    </xdr:from>
    <xdr:to>
      <xdr:col>3</xdr:col>
      <xdr:colOff>350578</xdr:colOff>
      <xdr:row>17</xdr:row>
      <xdr:rowOff>600075</xdr:rowOff>
    </xdr:to>
    <xdr:sp macro="" textlink="">
      <xdr:nvSpPr>
        <xdr:cNvPr id="10321" name="Text Box 81">
          <a:hlinkClick xmlns:r="http://schemas.openxmlformats.org/officeDocument/2006/relationships" r:id="rId21"/>
          <a:extLst>
            <a:ext uri="{FF2B5EF4-FFF2-40B4-BE49-F238E27FC236}">
              <a16:creationId xmlns:a16="http://schemas.microsoft.com/office/drawing/2014/main" id="{842716A2-B827-51D4-E714-27FE93DD28EC}"/>
            </a:ext>
          </a:extLst>
        </xdr:cNvPr>
        <xdr:cNvSpPr txBox="1">
          <a:spLocks noChangeArrowheads="1"/>
        </xdr:cNvSpPr>
      </xdr:nvSpPr>
      <xdr:spPr bwMode="auto">
        <a:xfrm>
          <a:off x="2971800" y="1021080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21</xdr:row>
      <xdr:rowOff>981075</xdr:rowOff>
    </xdr:from>
    <xdr:to>
      <xdr:col>3</xdr:col>
      <xdr:colOff>360103</xdr:colOff>
      <xdr:row>21</xdr:row>
      <xdr:rowOff>1123950</xdr:rowOff>
    </xdr:to>
    <xdr:sp macro="" textlink="">
      <xdr:nvSpPr>
        <xdr:cNvPr id="10322" name="Text Box 82">
          <a:hlinkClick xmlns:r="http://schemas.openxmlformats.org/officeDocument/2006/relationships" r:id="rId22"/>
          <a:extLst>
            <a:ext uri="{FF2B5EF4-FFF2-40B4-BE49-F238E27FC236}">
              <a16:creationId xmlns:a16="http://schemas.microsoft.com/office/drawing/2014/main" id="{F550B9AC-8674-506C-6C18-DC67F2F8DAD9}"/>
            </a:ext>
          </a:extLst>
        </xdr:cNvPr>
        <xdr:cNvSpPr txBox="1">
          <a:spLocks noChangeArrowheads="1"/>
        </xdr:cNvSpPr>
      </xdr:nvSpPr>
      <xdr:spPr bwMode="auto">
        <a:xfrm>
          <a:off x="2981325" y="121253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23</xdr:row>
      <xdr:rowOff>1009650</xdr:rowOff>
    </xdr:from>
    <xdr:to>
      <xdr:col>3</xdr:col>
      <xdr:colOff>360103</xdr:colOff>
      <xdr:row>23</xdr:row>
      <xdr:rowOff>1141431</xdr:rowOff>
    </xdr:to>
    <xdr:sp macro="" textlink="">
      <xdr:nvSpPr>
        <xdr:cNvPr id="10323" name="Text Box 83">
          <a:hlinkClick xmlns:r="http://schemas.openxmlformats.org/officeDocument/2006/relationships" r:id="rId23"/>
          <a:extLst>
            <a:ext uri="{FF2B5EF4-FFF2-40B4-BE49-F238E27FC236}">
              <a16:creationId xmlns:a16="http://schemas.microsoft.com/office/drawing/2014/main" id="{A67ECD23-1B5E-964E-5158-FE8D5B731C16}"/>
            </a:ext>
          </a:extLst>
        </xdr:cNvPr>
        <xdr:cNvSpPr txBox="1">
          <a:spLocks noChangeArrowheads="1"/>
        </xdr:cNvSpPr>
      </xdr:nvSpPr>
      <xdr:spPr bwMode="auto">
        <a:xfrm>
          <a:off x="2981325" y="14249400"/>
          <a:ext cx="304800"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25</xdr:row>
      <xdr:rowOff>171450</xdr:rowOff>
    </xdr:from>
    <xdr:to>
      <xdr:col>3</xdr:col>
      <xdr:colOff>360103</xdr:colOff>
      <xdr:row>25</xdr:row>
      <xdr:rowOff>312837</xdr:rowOff>
    </xdr:to>
    <xdr:sp macro="" textlink="">
      <xdr:nvSpPr>
        <xdr:cNvPr id="10324" name="Text Box 84">
          <a:hlinkClick xmlns:r="http://schemas.openxmlformats.org/officeDocument/2006/relationships" r:id="rId24"/>
          <a:extLst>
            <a:ext uri="{FF2B5EF4-FFF2-40B4-BE49-F238E27FC236}">
              <a16:creationId xmlns:a16="http://schemas.microsoft.com/office/drawing/2014/main" id="{274B52DE-1490-10BC-C5AD-0ACB562293A8}"/>
            </a:ext>
          </a:extLst>
        </xdr:cNvPr>
        <xdr:cNvSpPr txBox="1">
          <a:spLocks noChangeArrowheads="1"/>
        </xdr:cNvSpPr>
      </xdr:nvSpPr>
      <xdr:spPr bwMode="auto">
        <a:xfrm>
          <a:off x="2981325" y="159353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47625</xdr:colOff>
      <xdr:row>27</xdr:row>
      <xdr:rowOff>1200150</xdr:rowOff>
    </xdr:from>
    <xdr:to>
      <xdr:col>3</xdr:col>
      <xdr:colOff>350578</xdr:colOff>
      <xdr:row>27</xdr:row>
      <xdr:rowOff>1341537</xdr:rowOff>
    </xdr:to>
    <xdr:sp macro="" textlink="">
      <xdr:nvSpPr>
        <xdr:cNvPr id="10325" name="Text Box 85">
          <a:hlinkClick xmlns:r="http://schemas.openxmlformats.org/officeDocument/2006/relationships" r:id="rId25"/>
          <a:extLst>
            <a:ext uri="{FF2B5EF4-FFF2-40B4-BE49-F238E27FC236}">
              <a16:creationId xmlns:a16="http://schemas.microsoft.com/office/drawing/2014/main" id="{0ADEE3D2-4F41-EC25-C6F3-CED8F0D20253}"/>
            </a:ext>
          </a:extLst>
        </xdr:cNvPr>
        <xdr:cNvSpPr txBox="1">
          <a:spLocks noChangeArrowheads="1"/>
        </xdr:cNvSpPr>
      </xdr:nvSpPr>
      <xdr:spPr bwMode="auto">
        <a:xfrm>
          <a:off x="2971800" y="1755457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29</xdr:row>
      <xdr:rowOff>240030</xdr:rowOff>
    </xdr:from>
    <xdr:to>
      <xdr:col>3</xdr:col>
      <xdr:colOff>360103</xdr:colOff>
      <xdr:row>29</xdr:row>
      <xdr:rowOff>390843</xdr:rowOff>
    </xdr:to>
    <xdr:sp macro="" textlink="">
      <xdr:nvSpPr>
        <xdr:cNvPr id="10326" name="Text Box 86">
          <a:hlinkClick xmlns:r="http://schemas.openxmlformats.org/officeDocument/2006/relationships" r:id="rId26"/>
          <a:extLst>
            <a:ext uri="{FF2B5EF4-FFF2-40B4-BE49-F238E27FC236}">
              <a16:creationId xmlns:a16="http://schemas.microsoft.com/office/drawing/2014/main" id="{FAC8612B-6BDA-26E7-3B49-4701D2DD724A}"/>
            </a:ext>
          </a:extLst>
        </xdr:cNvPr>
        <xdr:cNvSpPr txBox="1">
          <a:spLocks noChangeArrowheads="1"/>
        </xdr:cNvSpPr>
      </xdr:nvSpPr>
      <xdr:spPr bwMode="auto">
        <a:xfrm>
          <a:off x="2981325" y="1919287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35</xdr:row>
      <xdr:rowOff>466725</xdr:rowOff>
    </xdr:from>
    <xdr:to>
      <xdr:col>3</xdr:col>
      <xdr:colOff>360103</xdr:colOff>
      <xdr:row>35</xdr:row>
      <xdr:rowOff>609600</xdr:rowOff>
    </xdr:to>
    <xdr:sp macro="" textlink="">
      <xdr:nvSpPr>
        <xdr:cNvPr id="10327" name="Text Box 87">
          <a:hlinkClick xmlns:r="http://schemas.openxmlformats.org/officeDocument/2006/relationships" r:id="rId27"/>
          <a:extLst>
            <a:ext uri="{FF2B5EF4-FFF2-40B4-BE49-F238E27FC236}">
              <a16:creationId xmlns:a16="http://schemas.microsoft.com/office/drawing/2014/main" id="{0F44C21F-3C9E-97EF-567D-7AD97F0DC024}"/>
            </a:ext>
          </a:extLst>
        </xdr:cNvPr>
        <xdr:cNvSpPr txBox="1">
          <a:spLocks noChangeArrowheads="1"/>
        </xdr:cNvSpPr>
      </xdr:nvSpPr>
      <xdr:spPr bwMode="auto">
        <a:xfrm>
          <a:off x="2981325" y="215074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47625</xdr:colOff>
      <xdr:row>43</xdr:row>
      <xdr:rowOff>723900</xdr:rowOff>
    </xdr:from>
    <xdr:to>
      <xdr:col>3</xdr:col>
      <xdr:colOff>350578</xdr:colOff>
      <xdr:row>43</xdr:row>
      <xdr:rowOff>859255</xdr:rowOff>
    </xdr:to>
    <xdr:sp macro="" textlink="">
      <xdr:nvSpPr>
        <xdr:cNvPr id="10328" name="Text Box 88">
          <a:hlinkClick xmlns:r="http://schemas.openxmlformats.org/officeDocument/2006/relationships" r:id="rId28"/>
          <a:extLst>
            <a:ext uri="{FF2B5EF4-FFF2-40B4-BE49-F238E27FC236}">
              <a16:creationId xmlns:a16="http://schemas.microsoft.com/office/drawing/2014/main" id="{77311F6F-397F-CBD7-D6D6-4EA178FD3698}"/>
            </a:ext>
          </a:extLst>
        </xdr:cNvPr>
        <xdr:cNvSpPr txBox="1">
          <a:spLocks noChangeArrowheads="1"/>
        </xdr:cNvSpPr>
      </xdr:nvSpPr>
      <xdr:spPr bwMode="auto">
        <a:xfrm>
          <a:off x="2971800" y="247364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66675</xdr:colOff>
      <xdr:row>52</xdr:row>
      <xdr:rowOff>1095375</xdr:rowOff>
    </xdr:from>
    <xdr:to>
      <xdr:col>3</xdr:col>
      <xdr:colOff>369628</xdr:colOff>
      <xdr:row>52</xdr:row>
      <xdr:rowOff>1238250</xdr:rowOff>
    </xdr:to>
    <xdr:sp macro="" textlink="">
      <xdr:nvSpPr>
        <xdr:cNvPr id="10329" name="Text Box 89">
          <a:hlinkClick xmlns:r="http://schemas.openxmlformats.org/officeDocument/2006/relationships" r:id="rId29"/>
          <a:extLst>
            <a:ext uri="{FF2B5EF4-FFF2-40B4-BE49-F238E27FC236}">
              <a16:creationId xmlns:a16="http://schemas.microsoft.com/office/drawing/2014/main" id="{2D62B205-46F7-70A3-51FA-5E68C51F3999}"/>
            </a:ext>
          </a:extLst>
        </xdr:cNvPr>
        <xdr:cNvSpPr txBox="1">
          <a:spLocks noChangeArrowheads="1"/>
        </xdr:cNvSpPr>
      </xdr:nvSpPr>
      <xdr:spPr bwMode="auto">
        <a:xfrm>
          <a:off x="2990850" y="322135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9</xdr:col>
      <xdr:colOff>150495</xdr:colOff>
      <xdr:row>45</xdr:row>
      <xdr:rowOff>1466850</xdr:rowOff>
    </xdr:from>
    <xdr:to>
      <xdr:col>11</xdr:col>
      <xdr:colOff>28591</xdr:colOff>
      <xdr:row>45</xdr:row>
      <xdr:rowOff>1611630</xdr:rowOff>
    </xdr:to>
    <xdr:sp macro="" textlink="">
      <xdr:nvSpPr>
        <xdr:cNvPr id="10330" name="Text Box 90">
          <a:hlinkClick xmlns:r="http://schemas.openxmlformats.org/officeDocument/2006/relationships" r:id="rId30"/>
          <a:extLst>
            <a:ext uri="{FF2B5EF4-FFF2-40B4-BE49-F238E27FC236}">
              <a16:creationId xmlns:a16="http://schemas.microsoft.com/office/drawing/2014/main" id="{991A5DBB-E2BD-A9A3-3619-ED25D4ECC85B}"/>
            </a:ext>
          </a:extLst>
        </xdr:cNvPr>
        <xdr:cNvSpPr txBox="1">
          <a:spLocks noChangeArrowheads="1"/>
        </xdr:cNvSpPr>
      </xdr:nvSpPr>
      <xdr:spPr bwMode="auto">
        <a:xfrm>
          <a:off x="6981825" y="27127200"/>
          <a:ext cx="2047875" cy="15240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Click to see Service Connection Diagram</a:t>
          </a:r>
        </a:p>
      </xdr:txBody>
    </xdr:sp>
    <xdr:clientData/>
  </xdr:twoCellAnchor>
  <xdr:twoCellAnchor editAs="oneCell">
    <xdr:from>
      <xdr:col>9</xdr:col>
      <xdr:colOff>236220</xdr:colOff>
      <xdr:row>9</xdr:row>
      <xdr:rowOff>3495675</xdr:rowOff>
    </xdr:from>
    <xdr:to>
      <xdr:col>11</xdr:col>
      <xdr:colOff>112395</xdr:colOff>
      <xdr:row>9</xdr:row>
      <xdr:rowOff>3657600</xdr:rowOff>
    </xdr:to>
    <xdr:sp macro="" textlink="">
      <xdr:nvSpPr>
        <xdr:cNvPr id="10332" name="Text Box 92">
          <a:hlinkClick xmlns:r="http://schemas.openxmlformats.org/officeDocument/2006/relationships" r:id="rId30"/>
          <a:extLst>
            <a:ext uri="{FF2B5EF4-FFF2-40B4-BE49-F238E27FC236}">
              <a16:creationId xmlns:a16="http://schemas.microsoft.com/office/drawing/2014/main" id="{6C8F84E4-224C-CF7B-2D31-F7A4DC3F57EF}"/>
            </a:ext>
          </a:extLst>
        </xdr:cNvPr>
        <xdr:cNvSpPr txBox="1">
          <a:spLocks noChangeArrowheads="1"/>
        </xdr:cNvSpPr>
      </xdr:nvSpPr>
      <xdr:spPr bwMode="auto">
        <a:xfrm>
          <a:off x="7058025" y="7267575"/>
          <a:ext cx="2047875" cy="15240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Click to see Service Connection Diagram</a:t>
          </a:r>
        </a:p>
      </xdr:txBody>
    </xdr:sp>
    <xdr:clientData/>
  </xdr:twoCellAnchor>
  <xdr:twoCellAnchor editAs="oneCell">
    <xdr:from>
      <xdr:col>4</xdr:col>
      <xdr:colOff>38100</xdr:colOff>
      <xdr:row>9</xdr:row>
      <xdr:rowOff>57150</xdr:rowOff>
    </xdr:from>
    <xdr:to>
      <xdr:col>11</xdr:col>
      <xdr:colOff>121925</xdr:colOff>
      <xdr:row>9</xdr:row>
      <xdr:rowOff>3478530</xdr:rowOff>
    </xdr:to>
    <xdr:sp macro="" textlink="">
      <xdr:nvSpPr>
        <xdr:cNvPr id="10374" name="Text Box 134">
          <a:extLst>
            <a:ext uri="{FF2B5EF4-FFF2-40B4-BE49-F238E27FC236}">
              <a16:creationId xmlns:a16="http://schemas.microsoft.com/office/drawing/2014/main" id="{94F69FD9-7C14-FFE0-B21D-D3A2A8F7852A}"/>
            </a:ext>
          </a:extLst>
        </xdr:cNvPr>
        <xdr:cNvSpPr txBox="1">
          <a:spLocks noChangeArrowheads="1"/>
        </xdr:cNvSpPr>
      </xdr:nvSpPr>
      <xdr:spPr bwMode="auto">
        <a:xfrm>
          <a:off x="3390900" y="3933825"/>
          <a:ext cx="5734050" cy="3429000"/>
        </a:xfrm>
        <a:prstGeom prst="rect">
          <a:avLst/>
        </a:prstGeom>
        <a:noFill/>
        <a:ln>
          <a:noFill/>
        </a:ln>
        <a:effectLst/>
        <a:extLst>
          <a:ext uri="{909E8E84-426E-40DD-AFC4-6F175D3DCCD1}">
            <a14:hiddenFill xmlns:a14="http://schemas.microsoft.com/office/drawing/2010/main">
              <a:solidFill>
                <a:srgbClr xmlns:mc="http://schemas.openxmlformats.org/markup-compatibility/2006" val="3366FF" mc:Ignorable="a14" a14:legacySpreadsheetColorIndex="48"/>
              </a:solidFill>
            </a14:hiddenFill>
          </a:ext>
          <a:ext uri="{91240B29-F687-4F45-9708-019B960494DF}">
            <a14:hiddenLine xmlns:a14="http://schemas.microsoft.com/office/drawing/2010/main" w="12700" algn="ctr">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0" bIns="0" anchor="t" upright="1"/>
        <a:lstStyle/>
        <a:p>
          <a:pPr algn="l" rtl="0">
            <a:defRPr sz="1000"/>
          </a:pPr>
          <a:r>
            <a:rPr lang="en-US" sz="900" b="0" i="0" u="none" strike="noStrike" baseline="0">
              <a:solidFill>
                <a:srgbClr val="000000"/>
              </a:solidFill>
              <a:latin typeface="Courier New"/>
              <a:cs typeface="Courier New"/>
            </a:rPr>
            <a:t>This is entered for unmetered services and in cold or other areas where meters are installed inside homes and buildings.  It is the length of customer service line either between the utility's service connection (often at the curbstop) and the meter, or to the building line (first point of customer consumption) if customers are unmetered.  Note that the length of service connection between the main and customer service line is owned by the utility and its length and potential leakage is accounted for in the UARL formula by the number of service connections.   </a:t>
          </a:r>
        </a:p>
        <a:p>
          <a:pPr algn="l" rtl="0">
            <a:defRPr sz="1000"/>
          </a:pPr>
          <a:endParaRPr lang="en-US" sz="900" b="0" i="0" u="none" strike="noStrike" baseline="0">
            <a:solidFill>
              <a:srgbClr val="000000"/>
            </a:solidFill>
            <a:latin typeface="Courier New"/>
            <a:cs typeface="Courier New"/>
          </a:endParaRPr>
        </a:p>
        <a:p>
          <a:pPr algn="l" rtl="0">
            <a:defRPr sz="1000"/>
          </a:pPr>
          <a:r>
            <a:rPr lang="en-US" sz="900" b="1" i="0" u="none" strike="noStrike" baseline="0">
              <a:solidFill>
                <a:srgbClr val="000000"/>
              </a:solidFill>
              <a:latin typeface="Courier New"/>
              <a:cs typeface="Courier New"/>
            </a:rPr>
            <a:t>What role does the "Average Length of Customer Service Line" parameter serve in the Water Audit?</a:t>
          </a:r>
          <a:endParaRPr lang="en-US" sz="900" b="0" i="0" u="none" strike="noStrike" baseline="0">
            <a:solidFill>
              <a:srgbClr val="000000"/>
            </a:solidFill>
            <a:latin typeface="Courier New"/>
            <a:cs typeface="Courier New"/>
          </a:endParaRPr>
        </a:p>
        <a:p>
          <a:pPr algn="l" rtl="0">
            <a:defRPr sz="1000"/>
          </a:pPr>
          <a:r>
            <a:rPr lang="en-US" sz="900" b="0" i="0" u="none" strike="noStrike" baseline="0">
              <a:solidFill>
                <a:srgbClr val="000000"/>
              </a:solidFill>
              <a:latin typeface="Courier New"/>
              <a:cs typeface="Courier New"/>
            </a:rPr>
            <a:t>In many water distribution systems the water utility has maintenance responsibility for a portion of the customer service piping from its connection point at the water main to the curbstop valve located midway to the customer building.  The customer is responsible to maintain the customer service piping from the curbstop to the building premises.  When leaks arise on customer service piping, water utilities respond faster to repair leaks than customers when the leak is on piping under their responsibility. Leak durations are longer on the customer-maintained piping than the utility-maintained piping. The total length of pipe maintained by customers is one of the components of the Unavoidable Annual Real Loss (UARL) equation and is determined by multiplying the average length of customer maintained pipe, Lp by the number of customer service connections.  Therefore this parameter is important to the calculation of the UARL and the Infrastructure leakage Index (ILI).</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15</xdr:col>
      <xdr:colOff>104775</xdr:colOff>
      <xdr:row>1</xdr:row>
      <xdr:rowOff>114300</xdr:rowOff>
    </xdr:from>
    <xdr:to>
      <xdr:col>18</xdr:col>
      <xdr:colOff>19050</xdr:colOff>
      <xdr:row>1</xdr:row>
      <xdr:rowOff>371475</xdr:rowOff>
    </xdr:to>
    <xdr:sp macro="" textlink="">
      <xdr:nvSpPr>
        <xdr:cNvPr id="19460" name="AutoShape 4">
          <a:hlinkClick xmlns:r="http://schemas.openxmlformats.org/officeDocument/2006/relationships" r:id="rId1"/>
          <a:extLst>
            <a:ext uri="{FF2B5EF4-FFF2-40B4-BE49-F238E27FC236}">
              <a16:creationId xmlns:a16="http://schemas.microsoft.com/office/drawing/2014/main" id="{43BAE3EC-4A8E-5D8D-E97E-74BC7434C34D}"/>
            </a:ext>
          </a:extLst>
        </xdr:cNvPr>
        <xdr:cNvSpPr>
          <a:spLocks noChangeArrowheads="1"/>
        </xdr:cNvSpPr>
      </xdr:nvSpPr>
      <xdr:spPr bwMode="auto">
        <a:xfrm>
          <a:off x="7991475" y="219075"/>
          <a:ext cx="1543050" cy="2571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900" b="1" i="0" u="sng" strike="noStrike" baseline="0">
              <a:solidFill>
                <a:srgbClr val="FFFFFF"/>
              </a:solidFill>
              <a:latin typeface="Arial"/>
              <a:cs typeface="Arial"/>
            </a:rPr>
            <a:t>Back to Instructions</a:t>
          </a:r>
        </a:p>
      </xdr:txBody>
    </xdr:sp>
    <xdr:clientData/>
  </xdr:twoCellAnchor>
  <xdr:twoCellAnchor>
    <xdr:from>
      <xdr:col>4</xdr:col>
      <xdr:colOff>133350</xdr:colOff>
      <xdr:row>1</xdr:row>
      <xdr:rowOff>285750</xdr:rowOff>
    </xdr:from>
    <xdr:to>
      <xdr:col>11</xdr:col>
      <xdr:colOff>95250</xdr:colOff>
      <xdr:row>1</xdr:row>
      <xdr:rowOff>447675</xdr:rowOff>
    </xdr:to>
    <xdr:sp macro="" textlink="">
      <xdr:nvSpPr>
        <xdr:cNvPr id="19469" name="Text Box 5">
          <a:extLst>
            <a:ext uri="{FF2B5EF4-FFF2-40B4-BE49-F238E27FC236}">
              <a16:creationId xmlns:a16="http://schemas.microsoft.com/office/drawing/2014/main" id="{13C39F41-71EE-B08E-F8F2-2543343E5B2D}"/>
            </a:ext>
          </a:extLst>
        </xdr:cNvPr>
        <xdr:cNvSpPr txBox="1">
          <a:spLocks noChangeArrowheads="1"/>
        </xdr:cNvSpPr>
      </xdr:nvSpPr>
      <xdr:spPr bwMode="auto">
        <a:xfrm>
          <a:off x="2152650" y="390525"/>
          <a:ext cx="36957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editAs="oneCell">
    <xdr:from>
      <xdr:col>13</xdr:col>
      <xdr:colOff>434340</xdr:colOff>
      <xdr:row>1</xdr:row>
      <xdr:rowOff>295275</xdr:rowOff>
    </xdr:from>
    <xdr:to>
      <xdr:col>14</xdr:col>
      <xdr:colOff>482116</xdr:colOff>
      <xdr:row>1</xdr:row>
      <xdr:rowOff>447675</xdr:rowOff>
    </xdr:to>
    <xdr:sp macro="" textlink="">
      <xdr:nvSpPr>
        <xdr:cNvPr id="19463" name="Text Box 7">
          <a:extLst>
            <a:ext uri="{FF2B5EF4-FFF2-40B4-BE49-F238E27FC236}">
              <a16:creationId xmlns:a16="http://schemas.microsoft.com/office/drawing/2014/main" id="{EBCC6F53-3140-BCE3-5EF8-B3F71F2AA21F}"/>
            </a:ext>
          </a:extLst>
        </xdr:cNvPr>
        <xdr:cNvSpPr txBox="1">
          <a:spLocks noChangeArrowheads="1"/>
        </xdr:cNvSpPr>
      </xdr:nvSpPr>
      <xdr:spPr bwMode="auto">
        <a:xfrm>
          <a:off x="7248525" y="400050"/>
          <a:ext cx="590550" cy="1524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v4.2</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3</xdr:col>
      <xdr:colOff>121920</xdr:colOff>
      <xdr:row>21</xdr:row>
      <xdr:rowOff>160020</xdr:rowOff>
    </xdr:from>
    <xdr:to>
      <xdr:col>3</xdr:col>
      <xdr:colOff>339106</xdr:colOff>
      <xdr:row>22</xdr:row>
      <xdr:rowOff>133793</xdr:rowOff>
    </xdr:to>
    <xdr:sp macro="" textlink="">
      <xdr:nvSpPr>
        <xdr:cNvPr id="32769" name="Text Box 1">
          <a:hlinkClick xmlns:r="http://schemas.openxmlformats.org/officeDocument/2006/relationships" r:id="rId1"/>
          <a:extLst>
            <a:ext uri="{FF2B5EF4-FFF2-40B4-BE49-F238E27FC236}">
              <a16:creationId xmlns:a16="http://schemas.microsoft.com/office/drawing/2014/main" id="{A1D0122D-2075-BB07-834F-DF5D57FCA092}"/>
            </a:ext>
          </a:extLst>
        </xdr:cNvPr>
        <xdr:cNvSpPr txBox="1">
          <a:spLocks noChangeArrowheads="1"/>
        </xdr:cNvSpPr>
      </xdr:nvSpPr>
      <xdr:spPr bwMode="auto">
        <a:xfrm>
          <a:off x="4152900" y="32099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23</xdr:row>
      <xdr:rowOff>0</xdr:rowOff>
    </xdr:from>
    <xdr:to>
      <xdr:col>3</xdr:col>
      <xdr:colOff>339106</xdr:colOff>
      <xdr:row>23</xdr:row>
      <xdr:rowOff>142875</xdr:rowOff>
    </xdr:to>
    <xdr:sp macro="" textlink="">
      <xdr:nvSpPr>
        <xdr:cNvPr id="32770" name="Text Box 2">
          <a:hlinkClick xmlns:r="http://schemas.openxmlformats.org/officeDocument/2006/relationships" r:id="rId2"/>
          <a:extLst>
            <a:ext uri="{FF2B5EF4-FFF2-40B4-BE49-F238E27FC236}">
              <a16:creationId xmlns:a16="http://schemas.microsoft.com/office/drawing/2014/main" id="{1EC47520-922A-C02E-15B7-7F1EFE60668A}"/>
            </a:ext>
          </a:extLst>
        </xdr:cNvPr>
        <xdr:cNvSpPr txBox="1">
          <a:spLocks noChangeArrowheads="1"/>
        </xdr:cNvSpPr>
      </xdr:nvSpPr>
      <xdr:spPr bwMode="auto">
        <a:xfrm>
          <a:off x="4152900" y="33909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25</xdr:row>
      <xdr:rowOff>19050</xdr:rowOff>
    </xdr:from>
    <xdr:to>
      <xdr:col>3</xdr:col>
      <xdr:colOff>339106</xdr:colOff>
      <xdr:row>25</xdr:row>
      <xdr:rowOff>160437</xdr:rowOff>
    </xdr:to>
    <xdr:sp macro="" textlink="">
      <xdr:nvSpPr>
        <xdr:cNvPr id="32771" name="Text Box 3">
          <a:hlinkClick xmlns:r="http://schemas.openxmlformats.org/officeDocument/2006/relationships" r:id="rId3"/>
          <a:extLst>
            <a:ext uri="{FF2B5EF4-FFF2-40B4-BE49-F238E27FC236}">
              <a16:creationId xmlns:a16="http://schemas.microsoft.com/office/drawing/2014/main" id="{47F60679-FC51-F60F-976B-5FE8DB0E98D9}"/>
            </a:ext>
          </a:extLst>
        </xdr:cNvPr>
        <xdr:cNvSpPr txBox="1">
          <a:spLocks noChangeArrowheads="1"/>
        </xdr:cNvSpPr>
      </xdr:nvSpPr>
      <xdr:spPr bwMode="auto">
        <a:xfrm>
          <a:off x="4152900" y="37528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13</xdr:row>
      <xdr:rowOff>19050</xdr:rowOff>
    </xdr:from>
    <xdr:to>
      <xdr:col>3</xdr:col>
      <xdr:colOff>339106</xdr:colOff>
      <xdr:row>13</xdr:row>
      <xdr:rowOff>160437</xdr:rowOff>
    </xdr:to>
    <xdr:sp macro="" textlink="">
      <xdr:nvSpPr>
        <xdr:cNvPr id="32772" name="Text Box 4">
          <a:hlinkClick xmlns:r="http://schemas.openxmlformats.org/officeDocument/2006/relationships" r:id="rId4"/>
          <a:extLst>
            <a:ext uri="{FF2B5EF4-FFF2-40B4-BE49-F238E27FC236}">
              <a16:creationId xmlns:a16="http://schemas.microsoft.com/office/drawing/2014/main" id="{83B745CB-8DB9-193B-CDDF-029B9FD20E5A}"/>
            </a:ext>
          </a:extLst>
        </xdr:cNvPr>
        <xdr:cNvSpPr txBox="1">
          <a:spLocks noChangeArrowheads="1"/>
        </xdr:cNvSpPr>
      </xdr:nvSpPr>
      <xdr:spPr bwMode="auto">
        <a:xfrm>
          <a:off x="4152900" y="19907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24</xdr:row>
      <xdr:rowOff>9525</xdr:rowOff>
    </xdr:from>
    <xdr:to>
      <xdr:col>3</xdr:col>
      <xdr:colOff>339106</xdr:colOff>
      <xdr:row>24</xdr:row>
      <xdr:rowOff>152400</xdr:rowOff>
    </xdr:to>
    <xdr:sp macro="" textlink="">
      <xdr:nvSpPr>
        <xdr:cNvPr id="32773" name="Text Box 5">
          <a:hlinkClick xmlns:r="http://schemas.openxmlformats.org/officeDocument/2006/relationships" r:id="rId5"/>
          <a:extLst>
            <a:ext uri="{FF2B5EF4-FFF2-40B4-BE49-F238E27FC236}">
              <a16:creationId xmlns:a16="http://schemas.microsoft.com/office/drawing/2014/main" id="{2A6EED86-E895-23EB-973F-0662429B7BEC}"/>
            </a:ext>
          </a:extLst>
        </xdr:cNvPr>
        <xdr:cNvSpPr txBox="1">
          <a:spLocks noChangeArrowheads="1"/>
        </xdr:cNvSpPr>
      </xdr:nvSpPr>
      <xdr:spPr bwMode="auto">
        <a:xfrm>
          <a:off x="4152900" y="35718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83820</xdr:colOff>
      <xdr:row>3</xdr:row>
      <xdr:rowOff>83820</xdr:rowOff>
    </xdr:from>
    <xdr:to>
      <xdr:col>2</xdr:col>
      <xdr:colOff>302895</xdr:colOff>
      <xdr:row>4</xdr:row>
      <xdr:rowOff>57593</xdr:rowOff>
    </xdr:to>
    <xdr:sp macro="" textlink="">
      <xdr:nvSpPr>
        <xdr:cNvPr id="32774" name="Text Box 6">
          <a:extLst>
            <a:ext uri="{FF2B5EF4-FFF2-40B4-BE49-F238E27FC236}">
              <a16:creationId xmlns:a16="http://schemas.microsoft.com/office/drawing/2014/main" id="{5FAC1C98-1EEA-B6E1-B1C8-2FEFB16D2112}"/>
            </a:ext>
          </a:extLst>
        </xdr:cNvPr>
        <xdr:cNvSpPr txBox="1">
          <a:spLocks noChangeArrowheads="1"/>
        </xdr:cNvSpPr>
      </xdr:nvSpPr>
      <xdr:spPr bwMode="auto">
        <a:xfrm>
          <a:off x="257175" y="7524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360045</xdr:colOff>
      <xdr:row>3</xdr:row>
      <xdr:rowOff>76200</xdr:rowOff>
    </xdr:from>
    <xdr:to>
      <xdr:col>2</xdr:col>
      <xdr:colOff>1731645</xdr:colOff>
      <xdr:row>4</xdr:row>
      <xdr:rowOff>76200</xdr:rowOff>
    </xdr:to>
    <xdr:sp macro="" textlink="">
      <xdr:nvSpPr>
        <xdr:cNvPr id="32775" name="Text Box 7">
          <a:extLst>
            <a:ext uri="{FF2B5EF4-FFF2-40B4-BE49-F238E27FC236}">
              <a16:creationId xmlns:a16="http://schemas.microsoft.com/office/drawing/2014/main" id="{E8A0AEA7-47FF-86AF-70D5-AB7D9B0671A8}"/>
            </a:ext>
          </a:extLst>
        </xdr:cNvPr>
        <xdr:cNvSpPr txBox="1">
          <a:spLocks noChangeArrowheads="1"/>
        </xdr:cNvSpPr>
      </xdr:nvSpPr>
      <xdr:spPr bwMode="auto">
        <a:xfrm>
          <a:off x="533400" y="742950"/>
          <a:ext cx="1371600" cy="171450"/>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000000"/>
              </a:solidFill>
              <a:latin typeface="Arial"/>
              <a:cs typeface="Arial"/>
            </a:rPr>
            <a:t>Click to access definition</a:t>
          </a:r>
        </a:p>
      </xdr:txBody>
    </xdr:sp>
    <xdr:clientData/>
  </xdr:twoCellAnchor>
  <xdr:twoCellAnchor>
    <xdr:from>
      <xdr:col>3</xdr:col>
      <xdr:colOff>112395</xdr:colOff>
      <xdr:row>62</xdr:row>
      <xdr:rowOff>28575</xdr:rowOff>
    </xdr:from>
    <xdr:to>
      <xdr:col>3</xdr:col>
      <xdr:colOff>331470</xdr:colOff>
      <xdr:row>63</xdr:row>
      <xdr:rowOff>0</xdr:rowOff>
    </xdr:to>
    <xdr:sp macro="" textlink="">
      <xdr:nvSpPr>
        <xdr:cNvPr id="32776" name="Text Box 8">
          <a:hlinkClick xmlns:r="http://schemas.openxmlformats.org/officeDocument/2006/relationships" r:id="rId6"/>
          <a:extLst>
            <a:ext uri="{FF2B5EF4-FFF2-40B4-BE49-F238E27FC236}">
              <a16:creationId xmlns:a16="http://schemas.microsoft.com/office/drawing/2014/main" id="{ABCBE77C-A92F-7E63-39ED-756DB8BA05B2}"/>
            </a:ext>
          </a:extLst>
        </xdr:cNvPr>
        <xdr:cNvSpPr txBox="1">
          <a:spLocks noChangeArrowheads="1"/>
        </xdr:cNvSpPr>
      </xdr:nvSpPr>
      <xdr:spPr bwMode="auto">
        <a:xfrm>
          <a:off x="4143375" y="82677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112395</xdr:colOff>
      <xdr:row>61</xdr:row>
      <xdr:rowOff>19050</xdr:rowOff>
    </xdr:from>
    <xdr:to>
      <xdr:col>3</xdr:col>
      <xdr:colOff>329581</xdr:colOff>
      <xdr:row>61</xdr:row>
      <xdr:rowOff>160437</xdr:rowOff>
    </xdr:to>
    <xdr:sp macro="" textlink="">
      <xdr:nvSpPr>
        <xdr:cNvPr id="32777" name="Text Box 9">
          <a:hlinkClick xmlns:r="http://schemas.openxmlformats.org/officeDocument/2006/relationships" r:id="rId7"/>
          <a:extLst>
            <a:ext uri="{FF2B5EF4-FFF2-40B4-BE49-F238E27FC236}">
              <a16:creationId xmlns:a16="http://schemas.microsoft.com/office/drawing/2014/main" id="{C8ADF81E-2E12-8EAA-3843-6392EE2441E2}"/>
            </a:ext>
          </a:extLst>
        </xdr:cNvPr>
        <xdr:cNvSpPr txBox="1">
          <a:spLocks noChangeArrowheads="1"/>
        </xdr:cNvSpPr>
      </xdr:nvSpPr>
      <xdr:spPr bwMode="auto">
        <a:xfrm>
          <a:off x="4143375" y="80867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42</xdr:row>
      <xdr:rowOff>28575</xdr:rowOff>
    </xdr:from>
    <xdr:to>
      <xdr:col>3</xdr:col>
      <xdr:colOff>339106</xdr:colOff>
      <xdr:row>43</xdr:row>
      <xdr:rowOff>0</xdr:rowOff>
    </xdr:to>
    <xdr:sp macro="" textlink="">
      <xdr:nvSpPr>
        <xdr:cNvPr id="32778" name="Text Box 10">
          <a:hlinkClick xmlns:r="http://schemas.openxmlformats.org/officeDocument/2006/relationships" r:id="rId8"/>
          <a:extLst>
            <a:ext uri="{FF2B5EF4-FFF2-40B4-BE49-F238E27FC236}">
              <a16:creationId xmlns:a16="http://schemas.microsoft.com/office/drawing/2014/main" id="{E68F61FD-EB22-28FC-59B6-9348D437897D}"/>
            </a:ext>
          </a:extLst>
        </xdr:cNvPr>
        <xdr:cNvSpPr txBox="1">
          <a:spLocks noChangeArrowheads="1"/>
        </xdr:cNvSpPr>
      </xdr:nvSpPr>
      <xdr:spPr bwMode="auto">
        <a:xfrm>
          <a:off x="4152900" y="57816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41</xdr:row>
      <xdr:rowOff>19050</xdr:rowOff>
    </xdr:from>
    <xdr:to>
      <xdr:col>3</xdr:col>
      <xdr:colOff>339106</xdr:colOff>
      <xdr:row>41</xdr:row>
      <xdr:rowOff>160437</xdr:rowOff>
    </xdr:to>
    <xdr:sp macro="" textlink="">
      <xdr:nvSpPr>
        <xdr:cNvPr id="32779" name="Text Box 11">
          <a:hlinkClick xmlns:r="http://schemas.openxmlformats.org/officeDocument/2006/relationships" r:id="rId9"/>
          <a:extLst>
            <a:ext uri="{FF2B5EF4-FFF2-40B4-BE49-F238E27FC236}">
              <a16:creationId xmlns:a16="http://schemas.microsoft.com/office/drawing/2014/main" id="{24034D99-78C6-67C8-5C2F-40900370E583}"/>
            </a:ext>
          </a:extLst>
        </xdr:cNvPr>
        <xdr:cNvSpPr txBox="1">
          <a:spLocks noChangeArrowheads="1"/>
        </xdr:cNvSpPr>
      </xdr:nvSpPr>
      <xdr:spPr bwMode="auto">
        <a:xfrm>
          <a:off x="4152900" y="55816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112395</xdr:colOff>
      <xdr:row>64</xdr:row>
      <xdr:rowOff>28575</xdr:rowOff>
    </xdr:from>
    <xdr:to>
      <xdr:col>3</xdr:col>
      <xdr:colOff>331470</xdr:colOff>
      <xdr:row>65</xdr:row>
      <xdr:rowOff>0</xdr:rowOff>
    </xdr:to>
    <xdr:sp macro="" textlink="">
      <xdr:nvSpPr>
        <xdr:cNvPr id="32780" name="Text Box 12">
          <a:hlinkClick xmlns:r="http://schemas.openxmlformats.org/officeDocument/2006/relationships" r:id="rId10"/>
          <a:extLst>
            <a:ext uri="{FF2B5EF4-FFF2-40B4-BE49-F238E27FC236}">
              <a16:creationId xmlns:a16="http://schemas.microsoft.com/office/drawing/2014/main" id="{A94DA753-30D2-0637-3F94-1B3C3A9773CC}"/>
            </a:ext>
          </a:extLst>
        </xdr:cNvPr>
        <xdr:cNvSpPr txBox="1">
          <a:spLocks noChangeArrowheads="1"/>
        </xdr:cNvSpPr>
      </xdr:nvSpPr>
      <xdr:spPr bwMode="auto">
        <a:xfrm>
          <a:off x="4143375" y="86106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112395</xdr:colOff>
      <xdr:row>66</xdr:row>
      <xdr:rowOff>28575</xdr:rowOff>
    </xdr:from>
    <xdr:to>
      <xdr:col>3</xdr:col>
      <xdr:colOff>331470</xdr:colOff>
      <xdr:row>67</xdr:row>
      <xdr:rowOff>0</xdr:rowOff>
    </xdr:to>
    <xdr:sp macro="" textlink="">
      <xdr:nvSpPr>
        <xdr:cNvPr id="32781" name="Text Box 13">
          <a:hlinkClick xmlns:r="http://schemas.openxmlformats.org/officeDocument/2006/relationships" r:id="rId11"/>
          <a:extLst>
            <a:ext uri="{FF2B5EF4-FFF2-40B4-BE49-F238E27FC236}">
              <a16:creationId xmlns:a16="http://schemas.microsoft.com/office/drawing/2014/main" id="{DC7CC193-D287-74D5-2367-CDFEB1676B62}"/>
            </a:ext>
          </a:extLst>
        </xdr:cNvPr>
        <xdr:cNvSpPr txBox="1">
          <a:spLocks noChangeArrowheads="1"/>
        </xdr:cNvSpPr>
      </xdr:nvSpPr>
      <xdr:spPr bwMode="auto">
        <a:xfrm>
          <a:off x="4143375" y="89535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10</xdr:col>
      <xdr:colOff>331470</xdr:colOff>
      <xdr:row>1</xdr:row>
      <xdr:rowOff>114300</xdr:rowOff>
    </xdr:from>
    <xdr:to>
      <xdr:col>12</xdr:col>
      <xdr:colOff>529614</xdr:colOff>
      <xdr:row>1</xdr:row>
      <xdr:rowOff>361950</xdr:rowOff>
    </xdr:to>
    <xdr:sp macro="" textlink="">
      <xdr:nvSpPr>
        <xdr:cNvPr id="32782" name="AutoShape 14">
          <a:hlinkClick xmlns:r="http://schemas.openxmlformats.org/officeDocument/2006/relationships" r:id="rId12"/>
          <a:extLst>
            <a:ext uri="{FF2B5EF4-FFF2-40B4-BE49-F238E27FC236}">
              <a16:creationId xmlns:a16="http://schemas.microsoft.com/office/drawing/2014/main" id="{D4D548EA-EAE5-A875-6F3B-AB1AAA30CC4C}"/>
            </a:ext>
          </a:extLst>
        </xdr:cNvPr>
        <xdr:cNvSpPr>
          <a:spLocks noChangeArrowheads="1"/>
        </xdr:cNvSpPr>
      </xdr:nvSpPr>
      <xdr:spPr bwMode="auto">
        <a:xfrm>
          <a:off x="8153400" y="200025"/>
          <a:ext cx="1333500" cy="24765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Back to Instructions</a:t>
          </a:r>
        </a:p>
      </xdr:txBody>
    </xdr:sp>
    <xdr:clientData/>
  </xdr:twoCellAnchor>
  <xdr:twoCellAnchor>
    <xdr:from>
      <xdr:col>2</xdr:col>
      <xdr:colOff>17145</xdr:colOff>
      <xdr:row>6</xdr:row>
      <xdr:rowOff>76200</xdr:rowOff>
    </xdr:from>
    <xdr:to>
      <xdr:col>13</xdr:col>
      <xdr:colOff>1</xdr:colOff>
      <xdr:row>7</xdr:row>
      <xdr:rowOff>152400</xdr:rowOff>
    </xdr:to>
    <xdr:sp macro="" textlink="">
      <xdr:nvSpPr>
        <xdr:cNvPr id="32783" name="Text Box 15">
          <a:extLst>
            <a:ext uri="{FF2B5EF4-FFF2-40B4-BE49-F238E27FC236}">
              <a16:creationId xmlns:a16="http://schemas.microsoft.com/office/drawing/2014/main" id="{339222DF-6F1B-807C-50EE-8E9F8D2A504B}"/>
            </a:ext>
          </a:extLst>
        </xdr:cNvPr>
        <xdr:cNvSpPr txBox="1">
          <a:spLocks noChangeArrowheads="1"/>
        </xdr:cNvSpPr>
      </xdr:nvSpPr>
      <xdr:spPr bwMode="auto">
        <a:xfrm>
          <a:off x="180975" y="1133475"/>
          <a:ext cx="9496425" cy="304800"/>
        </a:xfrm>
        <a:prstGeom prst="rect">
          <a:avLst/>
        </a:prstGeom>
        <a:solidFill>
          <a:srgbClr val="C0C0C0"/>
        </a:solid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Please enter data in the white cells below. Where available, metered values should be used; if metered values are unavailable please estimate a value. Indicate your confidence in the accuracy of the input data by grading each component (1-10) using the drop-down list to the left of the input cell. Hover the mouse over the cell to obtain a description of the grades</a:t>
          </a:r>
        </a:p>
      </xdr:txBody>
    </xdr:sp>
    <xdr:clientData/>
  </xdr:twoCellAnchor>
  <xdr:twoCellAnchor>
    <xdr:from>
      <xdr:col>3</xdr:col>
      <xdr:colOff>121920</xdr:colOff>
      <xdr:row>75</xdr:row>
      <xdr:rowOff>11430</xdr:rowOff>
    </xdr:from>
    <xdr:to>
      <xdr:col>3</xdr:col>
      <xdr:colOff>339106</xdr:colOff>
      <xdr:row>75</xdr:row>
      <xdr:rowOff>162243</xdr:rowOff>
    </xdr:to>
    <xdr:sp macro="" textlink="">
      <xdr:nvSpPr>
        <xdr:cNvPr id="32784" name="Text Box 16">
          <a:hlinkClick xmlns:r="http://schemas.openxmlformats.org/officeDocument/2006/relationships" r:id="rId13"/>
          <a:extLst>
            <a:ext uri="{FF2B5EF4-FFF2-40B4-BE49-F238E27FC236}">
              <a16:creationId xmlns:a16="http://schemas.microsoft.com/office/drawing/2014/main" id="{470B3185-340C-1FF9-7B56-3148AA3614E8}"/>
            </a:ext>
          </a:extLst>
        </xdr:cNvPr>
        <xdr:cNvSpPr txBox="1">
          <a:spLocks noChangeArrowheads="1"/>
        </xdr:cNvSpPr>
      </xdr:nvSpPr>
      <xdr:spPr bwMode="auto">
        <a:xfrm>
          <a:off x="4152900" y="100298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2373630</xdr:colOff>
      <xdr:row>98</xdr:row>
      <xdr:rowOff>19050</xdr:rowOff>
    </xdr:from>
    <xdr:to>
      <xdr:col>2</xdr:col>
      <xdr:colOff>2598573</xdr:colOff>
      <xdr:row>98</xdr:row>
      <xdr:rowOff>160437</xdr:rowOff>
    </xdr:to>
    <xdr:sp macro="" textlink="">
      <xdr:nvSpPr>
        <xdr:cNvPr id="32785" name="Text Box 17">
          <a:hlinkClick xmlns:r="http://schemas.openxmlformats.org/officeDocument/2006/relationships" r:id="rId14"/>
          <a:extLst>
            <a:ext uri="{FF2B5EF4-FFF2-40B4-BE49-F238E27FC236}">
              <a16:creationId xmlns:a16="http://schemas.microsoft.com/office/drawing/2014/main" id="{8DC5D313-68A2-15E3-4EF2-C242A26DC872}"/>
            </a:ext>
          </a:extLst>
        </xdr:cNvPr>
        <xdr:cNvSpPr txBox="1">
          <a:spLocks noChangeArrowheads="1"/>
        </xdr:cNvSpPr>
      </xdr:nvSpPr>
      <xdr:spPr bwMode="auto">
        <a:xfrm>
          <a:off x="2552700" y="130111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1192530</xdr:colOff>
      <xdr:row>104</xdr:row>
      <xdr:rowOff>11430</xdr:rowOff>
    </xdr:from>
    <xdr:to>
      <xdr:col>2</xdr:col>
      <xdr:colOff>1417473</xdr:colOff>
      <xdr:row>104</xdr:row>
      <xdr:rowOff>155038</xdr:rowOff>
    </xdr:to>
    <xdr:sp macro="" textlink="">
      <xdr:nvSpPr>
        <xdr:cNvPr id="32786" name="Text Box 18">
          <a:hlinkClick xmlns:r="http://schemas.openxmlformats.org/officeDocument/2006/relationships" r:id="rId15"/>
          <a:extLst>
            <a:ext uri="{FF2B5EF4-FFF2-40B4-BE49-F238E27FC236}">
              <a16:creationId xmlns:a16="http://schemas.microsoft.com/office/drawing/2014/main" id="{A8D383B7-5F29-B0D7-3BEA-2A009A940F26}"/>
            </a:ext>
          </a:extLst>
        </xdr:cNvPr>
        <xdr:cNvSpPr txBox="1">
          <a:spLocks noChangeArrowheads="1"/>
        </xdr:cNvSpPr>
      </xdr:nvSpPr>
      <xdr:spPr bwMode="auto">
        <a:xfrm>
          <a:off x="1371600" y="13687425"/>
          <a:ext cx="219075"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14</xdr:row>
      <xdr:rowOff>19050</xdr:rowOff>
    </xdr:from>
    <xdr:to>
      <xdr:col>3</xdr:col>
      <xdr:colOff>339106</xdr:colOff>
      <xdr:row>14</xdr:row>
      <xdr:rowOff>160437</xdr:rowOff>
    </xdr:to>
    <xdr:sp macro="" textlink="">
      <xdr:nvSpPr>
        <xdr:cNvPr id="32787" name="Text Box 19">
          <a:hlinkClick xmlns:r="http://schemas.openxmlformats.org/officeDocument/2006/relationships" r:id="rId16"/>
          <a:extLst>
            <a:ext uri="{FF2B5EF4-FFF2-40B4-BE49-F238E27FC236}">
              <a16:creationId xmlns:a16="http://schemas.microsoft.com/office/drawing/2014/main" id="{D33AD8E7-EEF8-BEBE-1D91-90A9B99C6807}"/>
            </a:ext>
          </a:extLst>
        </xdr:cNvPr>
        <xdr:cNvSpPr txBox="1">
          <a:spLocks noChangeArrowheads="1"/>
        </xdr:cNvSpPr>
      </xdr:nvSpPr>
      <xdr:spPr bwMode="auto">
        <a:xfrm>
          <a:off x="4152900" y="21621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15</xdr:row>
      <xdr:rowOff>19050</xdr:rowOff>
    </xdr:from>
    <xdr:to>
      <xdr:col>3</xdr:col>
      <xdr:colOff>339106</xdr:colOff>
      <xdr:row>15</xdr:row>
      <xdr:rowOff>160437</xdr:rowOff>
    </xdr:to>
    <xdr:sp macro="" textlink="">
      <xdr:nvSpPr>
        <xdr:cNvPr id="32788" name="Text Box 20">
          <a:hlinkClick xmlns:r="http://schemas.openxmlformats.org/officeDocument/2006/relationships" r:id="rId17"/>
          <a:extLst>
            <a:ext uri="{FF2B5EF4-FFF2-40B4-BE49-F238E27FC236}">
              <a16:creationId xmlns:a16="http://schemas.microsoft.com/office/drawing/2014/main" id="{390780AE-CA7E-0C76-CA31-4037F20D8F56}"/>
            </a:ext>
          </a:extLst>
        </xdr:cNvPr>
        <xdr:cNvSpPr txBox="1">
          <a:spLocks noChangeArrowheads="1"/>
        </xdr:cNvSpPr>
      </xdr:nvSpPr>
      <xdr:spPr bwMode="auto">
        <a:xfrm>
          <a:off x="4152900" y="23336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16</xdr:row>
      <xdr:rowOff>19050</xdr:rowOff>
    </xdr:from>
    <xdr:to>
      <xdr:col>3</xdr:col>
      <xdr:colOff>339106</xdr:colOff>
      <xdr:row>16</xdr:row>
      <xdr:rowOff>160437</xdr:rowOff>
    </xdr:to>
    <xdr:sp macro="" textlink="">
      <xdr:nvSpPr>
        <xdr:cNvPr id="32789" name="Text Box 21">
          <a:hlinkClick xmlns:r="http://schemas.openxmlformats.org/officeDocument/2006/relationships" r:id="rId18"/>
          <a:extLst>
            <a:ext uri="{FF2B5EF4-FFF2-40B4-BE49-F238E27FC236}">
              <a16:creationId xmlns:a16="http://schemas.microsoft.com/office/drawing/2014/main" id="{DCA25791-61E1-4161-B54E-5EFF08B5CCE8}"/>
            </a:ext>
          </a:extLst>
        </xdr:cNvPr>
        <xdr:cNvSpPr txBox="1">
          <a:spLocks noChangeArrowheads="1"/>
        </xdr:cNvSpPr>
      </xdr:nvSpPr>
      <xdr:spPr bwMode="auto">
        <a:xfrm>
          <a:off x="4152900" y="25050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37</xdr:row>
      <xdr:rowOff>19050</xdr:rowOff>
    </xdr:from>
    <xdr:to>
      <xdr:col>3</xdr:col>
      <xdr:colOff>339106</xdr:colOff>
      <xdr:row>37</xdr:row>
      <xdr:rowOff>160437</xdr:rowOff>
    </xdr:to>
    <xdr:sp macro="" textlink="">
      <xdr:nvSpPr>
        <xdr:cNvPr id="32790" name="Text Box 22">
          <a:hlinkClick xmlns:r="http://schemas.openxmlformats.org/officeDocument/2006/relationships" r:id="rId19"/>
          <a:extLst>
            <a:ext uri="{FF2B5EF4-FFF2-40B4-BE49-F238E27FC236}">
              <a16:creationId xmlns:a16="http://schemas.microsoft.com/office/drawing/2014/main" id="{E24CFAE0-6F62-A78F-5B37-55F2AAC3A5E2}"/>
            </a:ext>
          </a:extLst>
        </xdr:cNvPr>
        <xdr:cNvSpPr txBox="1">
          <a:spLocks noChangeArrowheads="1"/>
        </xdr:cNvSpPr>
      </xdr:nvSpPr>
      <xdr:spPr bwMode="auto">
        <a:xfrm>
          <a:off x="4152900" y="51435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74</xdr:row>
      <xdr:rowOff>19050</xdr:rowOff>
    </xdr:from>
    <xdr:to>
      <xdr:col>3</xdr:col>
      <xdr:colOff>339106</xdr:colOff>
      <xdr:row>74</xdr:row>
      <xdr:rowOff>160437</xdr:rowOff>
    </xdr:to>
    <xdr:sp macro="" textlink="">
      <xdr:nvSpPr>
        <xdr:cNvPr id="32791" name="Text Box 23">
          <a:hlinkClick xmlns:r="http://schemas.openxmlformats.org/officeDocument/2006/relationships" r:id="rId20"/>
          <a:extLst>
            <a:ext uri="{FF2B5EF4-FFF2-40B4-BE49-F238E27FC236}">
              <a16:creationId xmlns:a16="http://schemas.microsoft.com/office/drawing/2014/main" id="{568434E7-5C84-7B9C-B703-550E35847F49}"/>
            </a:ext>
          </a:extLst>
        </xdr:cNvPr>
        <xdr:cNvSpPr txBox="1">
          <a:spLocks noChangeArrowheads="1"/>
        </xdr:cNvSpPr>
      </xdr:nvSpPr>
      <xdr:spPr bwMode="auto">
        <a:xfrm>
          <a:off x="4152900" y="98488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73</xdr:row>
      <xdr:rowOff>19050</xdr:rowOff>
    </xdr:from>
    <xdr:to>
      <xdr:col>3</xdr:col>
      <xdr:colOff>339106</xdr:colOff>
      <xdr:row>73</xdr:row>
      <xdr:rowOff>160437</xdr:rowOff>
    </xdr:to>
    <xdr:sp macro="" textlink="">
      <xdr:nvSpPr>
        <xdr:cNvPr id="32792" name="Text Box 24">
          <a:hlinkClick xmlns:r="http://schemas.openxmlformats.org/officeDocument/2006/relationships" r:id="rId21"/>
          <a:extLst>
            <a:ext uri="{FF2B5EF4-FFF2-40B4-BE49-F238E27FC236}">
              <a16:creationId xmlns:a16="http://schemas.microsoft.com/office/drawing/2014/main" id="{E0113577-D706-AAEB-8D89-99543DB1A02F}"/>
            </a:ext>
          </a:extLst>
        </xdr:cNvPr>
        <xdr:cNvSpPr txBox="1">
          <a:spLocks noChangeArrowheads="1"/>
        </xdr:cNvSpPr>
      </xdr:nvSpPr>
      <xdr:spPr bwMode="auto">
        <a:xfrm>
          <a:off x="4152900" y="96678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1040130</xdr:colOff>
      <xdr:row>64</xdr:row>
      <xdr:rowOff>0</xdr:rowOff>
    </xdr:from>
    <xdr:to>
      <xdr:col>12</xdr:col>
      <xdr:colOff>558166</xdr:colOff>
      <xdr:row>65</xdr:row>
      <xdr:rowOff>160116</xdr:rowOff>
    </xdr:to>
    <xdr:sp macro="" textlink="">
      <xdr:nvSpPr>
        <xdr:cNvPr id="32793" name="Rectangle 25">
          <a:extLst>
            <a:ext uri="{FF2B5EF4-FFF2-40B4-BE49-F238E27FC236}">
              <a16:creationId xmlns:a16="http://schemas.microsoft.com/office/drawing/2014/main" id="{D1DD02BD-A00A-BBA0-F81F-E50E9183B000}"/>
            </a:ext>
          </a:extLst>
        </xdr:cNvPr>
        <xdr:cNvSpPr>
          <a:spLocks noChangeArrowheads="1"/>
        </xdr:cNvSpPr>
      </xdr:nvSpPr>
      <xdr:spPr bwMode="auto">
        <a:xfrm>
          <a:off x="7029450" y="8582025"/>
          <a:ext cx="2486025" cy="33337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000000"/>
              </a:solidFill>
              <a:latin typeface="Courier New"/>
              <a:cs typeface="Courier New"/>
            </a:rPr>
            <a:t>(pipe length between curbstop and customer meter or property boundary)</a:t>
          </a:r>
        </a:p>
      </xdr:txBody>
    </xdr:sp>
    <xdr:clientData/>
  </xdr:twoCellAnchor>
  <xdr:twoCellAnchor>
    <xdr:from>
      <xdr:col>10</xdr:col>
      <xdr:colOff>95250</xdr:colOff>
      <xdr:row>28</xdr:row>
      <xdr:rowOff>0</xdr:rowOff>
    </xdr:from>
    <xdr:to>
      <xdr:col>12</xdr:col>
      <xdr:colOff>596326</xdr:colOff>
      <xdr:row>34</xdr:row>
      <xdr:rowOff>104775</xdr:rowOff>
    </xdr:to>
    <xdr:sp macro="" textlink="">
      <xdr:nvSpPr>
        <xdr:cNvPr id="32806" name="Text Box 38">
          <a:extLst>
            <a:ext uri="{FF2B5EF4-FFF2-40B4-BE49-F238E27FC236}">
              <a16:creationId xmlns:a16="http://schemas.microsoft.com/office/drawing/2014/main" id="{930D5DF0-CEA2-7F93-D31C-E18208EE4066}"/>
            </a:ext>
          </a:extLst>
        </xdr:cNvPr>
        <xdr:cNvSpPr txBox="1">
          <a:spLocks noChangeArrowheads="1"/>
        </xdr:cNvSpPr>
      </xdr:nvSpPr>
      <xdr:spPr bwMode="auto">
        <a:xfrm>
          <a:off x="7915275" y="4143375"/>
          <a:ext cx="1638300" cy="657225"/>
        </a:xfrm>
        <a:prstGeom prst="rect">
          <a:avLst/>
        </a:prstGeom>
        <a:solidFill>
          <a:srgbClr val="C0C0C0"/>
        </a:solidFill>
        <a:ln w="12700" algn="ctr">
          <a:noFill/>
          <a:miter lim="800000"/>
          <a:headEnd/>
          <a:tailEnd/>
        </a:ln>
        <a:effectLst/>
      </xdr:spPr>
      <xdr:txBody>
        <a:bodyPr vertOverflow="clip" wrap="square" lIns="27432" tIns="22860" rIns="27432" bIns="0" anchor="t" upright="1"/>
        <a:lstStyle/>
        <a:p>
          <a:pPr algn="ctr" rtl="0">
            <a:defRPr sz="1000"/>
          </a:pPr>
          <a:r>
            <a:rPr lang="en-US" sz="900" b="0" i="0" u="none" strike="noStrike" baseline="0">
              <a:solidFill>
                <a:srgbClr val="000000"/>
              </a:solidFill>
              <a:latin typeface="Arial"/>
              <a:cs typeface="Arial"/>
            </a:rPr>
            <a:t>Use buttons to select</a:t>
          </a:r>
        </a:p>
        <a:p>
          <a:pPr algn="ctr" rtl="0">
            <a:defRPr sz="1000"/>
          </a:pPr>
          <a:r>
            <a:rPr lang="en-US" sz="900" b="0" i="0" u="none" strike="noStrike" baseline="0">
              <a:solidFill>
                <a:srgbClr val="000000"/>
              </a:solidFill>
              <a:latin typeface="Arial"/>
              <a:cs typeface="Arial"/>
            </a:rPr>
            <a:t>percentage of water supplied</a:t>
          </a:r>
        </a:p>
        <a:p>
          <a:pPr algn="ctr" rtl="0">
            <a:defRPr sz="1000"/>
          </a:pPr>
          <a:r>
            <a:rPr lang="en-US" sz="900" b="1" i="0" u="sng" strike="noStrike" baseline="0">
              <a:solidFill>
                <a:srgbClr val="000000"/>
              </a:solidFill>
              <a:latin typeface="Arial"/>
              <a:cs typeface="Arial"/>
            </a:rPr>
            <a:t>OR</a:t>
          </a:r>
        </a:p>
        <a:p>
          <a:pPr algn="ctr" rtl="0">
            <a:defRPr sz="1000"/>
          </a:pPr>
          <a:r>
            <a:rPr lang="en-US" sz="900" b="0" i="0" u="none" strike="noStrike" baseline="0">
              <a:solidFill>
                <a:srgbClr val="000000"/>
              </a:solidFill>
              <a:latin typeface="Arial"/>
              <a:cs typeface="Arial"/>
            </a:rPr>
            <a:t>value</a:t>
          </a:r>
        </a:p>
      </xdr:txBody>
    </xdr:sp>
    <xdr:clientData/>
  </xdr:twoCellAnchor>
  <xdr:twoCellAnchor>
    <xdr:from>
      <xdr:col>10</xdr:col>
      <xdr:colOff>409575</xdr:colOff>
      <xdr:row>34</xdr:row>
      <xdr:rowOff>85725</xdr:rowOff>
    </xdr:from>
    <xdr:to>
      <xdr:col>10</xdr:col>
      <xdr:colOff>409575</xdr:colOff>
      <xdr:row>36</xdr:row>
      <xdr:rowOff>152400</xdr:rowOff>
    </xdr:to>
    <xdr:sp macro="" textlink="">
      <xdr:nvSpPr>
        <xdr:cNvPr id="50177" name="Line 39">
          <a:extLst>
            <a:ext uri="{FF2B5EF4-FFF2-40B4-BE49-F238E27FC236}">
              <a16:creationId xmlns:a16="http://schemas.microsoft.com/office/drawing/2014/main" id="{7B4A2615-8107-5116-7E6C-3DBFDF5605C0}"/>
            </a:ext>
          </a:extLst>
        </xdr:cNvPr>
        <xdr:cNvSpPr>
          <a:spLocks noChangeShapeType="1"/>
        </xdr:cNvSpPr>
      </xdr:nvSpPr>
      <xdr:spPr bwMode="auto">
        <a:xfrm>
          <a:off x="8229600" y="4781550"/>
          <a:ext cx="0" cy="32385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409575</xdr:colOff>
      <xdr:row>34</xdr:row>
      <xdr:rowOff>57150</xdr:rowOff>
    </xdr:from>
    <xdr:to>
      <xdr:col>11</xdr:col>
      <xdr:colOff>114300</xdr:colOff>
      <xdr:row>34</xdr:row>
      <xdr:rowOff>57150</xdr:rowOff>
    </xdr:to>
    <xdr:sp macro="" textlink="">
      <xdr:nvSpPr>
        <xdr:cNvPr id="50178" name="Line 40">
          <a:extLst>
            <a:ext uri="{FF2B5EF4-FFF2-40B4-BE49-F238E27FC236}">
              <a16:creationId xmlns:a16="http://schemas.microsoft.com/office/drawing/2014/main" id="{50508C0C-D17A-7D37-C2C7-F02B62F3A004}"/>
            </a:ext>
          </a:extLst>
        </xdr:cNvPr>
        <xdr:cNvSpPr>
          <a:spLocks noChangeShapeType="1"/>
        </xdr:cNvSpPr>
      </xdr:nvSpPr>
      <xdr:spPr bwMode="auto">
        <a:xfrm>
          <a:off x="8229600" y="4752975"/>
          <a:ext cx="30480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171450</xdr:colOff>
      <xdr:row>29</xdr:row>
      <xdr:rowOff>66675</xdr:rowOff>
    </xdr:from>
    <xdr:to>
      <xdr:col>10</xdr:col>
      <xdr:colOff>333375</xdr:colOff>
      <xdr:row>29</xdr:row>
      <xdr:rowOff>66675</xdr:rowOff>
    </xdr:to>
    <xdr:sp macro="" textlink="">
      <xdr:nvSpPr>
        <xdr:cNvPr id="50179" name="Line 41">
          <a:extLst>
            <a:ext uri="{FF2B5EF4-FFF2-40B4-BE49-F238E27FC236}">
              <a16:creationId xmlns:a16="http://schemas.microsoft.com/office/drawing/2014/main" id="{B1A49596-5428-1E42-21E6-0FEEBF863BDF}"/>
            </a:ext>
          </a:extLst>
        </xdr:cNvPr>
        <xdr:cNvSpPr>
          <a:spLocks noChangeShapeType="1"/>
        </xdr:cNvSpPr>
      </xdr:nvSpPr>
      <xdr:spPr bwMode="auto">
        <a:xfrm flipV="1">
          <a:off x="7991475" y="4238625"/>
          <a:ext cx="161925"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171450</xdr:colOff>
      <xdr:row>27</xdr:row>
      <xdr:rowOff>0</xdr:rowOff>
    </xdr:from>
    <xdr:to>
      <xdr:col>10</xdr:col>
      <xdr:colOff>171450</xdr:colOff>
      <xdr:row>29</xdr:row>
      <xdr:rowOff>38100</xdr:rowOff>
    </xdr:to>
    <xdr:sp macro="" textlink="">
      <xdr:nvSpPr>
        <xdr:cNvPr id="50180" name="Line 42">
          <a:extLst>
            <a:ext uri="{FF2B5EF4-FFF2-40B4-BE49-F238E27FC236}">
              <a16:creationId xmlns:a16="http://schemas.microsoft.com/office/drawing/2014/main" id="{93D1C8F9-22F2-3AC6-3010-1E5F99869B15}"/>
            </a:ext>
          </a:extLst>
        </xdr:cNvPr>
        <xdr:cNvSpPr>
          <a:spLocks noChangeShapeType="1"/>
        </xdr:cNvSpPr>
      </xdr:nvSpPr>
      <xdr:spPr bwMode="auto">
        <a:xfrm flipV="1">
          <a:off x="7991475" y="3952875"/>
          <a:ext cx="0" cy="25717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434340</xdr:colOff>
      <xdr:row>21</xdr:row>
      <xdr:rowOff>19050</xdr:rowOff>
    </xdr:from>
    <xdr:to>
      <xdr:col>12</xdr:col>
      <xdr:colOff>112456</xdr:colOff>
      <xdr:row>21</xdr:row>
      <xdr:rowOff>160437</xdr:rowOff>
    </xdr:to>
    <xdr:sp macro="" textlink="">
      <xdr:nvSpPr>
        <xdr:cNvPr id="32811" name="Text Box 43">
          <a:hlinkClick xmlns:r="http://schemas.openxmlformats.org/officeDocument/2006/relationships" r:id="rId22" tooltip="Defaults"/>
          <a:extLst>
            <a:ext uri="{FF2B5EF4-FFF2-40B4-BE49-F238E27FC236}">
              <a16:creationId xmlns:a16="http://schemas.microsoft.com/office/drawing/2014/main" id="{0B6DE83B-EEEC-415C-851E-1C2CF491962A}"/>
            </a:ext>
          </a:extLst>
        </xdr:cNvPr>
        <xdr:cNvSpPr txBox="1">
          <a:spLocks noChangeArrowheads="1"/>
        </xdr:cNvSpPr>
      </xdr:nvSpPr>
      <xdr:spPr bwMode="auto">
        <a:xfrm>
          <a:off x="8848725" y="30670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10</xdr:col>
      <xdr:colOff>396240</xdr:colOff>
      <xdr:row>21</xdr:row>
      <xdr:rowOff>19050</xdr:rowOff>
    </xdr:from>
    <xdr:to>
      <xdr:col>11</xdr:col>
      <xdr:colOff>415432</xdr:colOff>
      <xdr:row>22</xdr:row>
      <xdr:rowOff>9525</xdr:rowOff>
    </xdr:to>
    <xdr:sp macro="" textlink="">
      <xdr:nvSpPr>
        <xdr:cNvPr id="32812" name="Text Box 44">
          <a:extLst>
            <a:ext uri="{FF2B5EF4-FFF2-40B4-BE49-F238E27FC236}">
              <a16:creationId xmlns:a16="http://schemas.microsoft.com/office/drawing/2014/main" id="{EDD74C8E-C5E3-3BC7-FD1F-FF4286492ECC}"/>
            </a:ext>
          </a:extLst>
        </xdr:cNvPr>
        <xdr:cNvSpPr txBox="1">
          <a:spLocks noChangeArrowheads="1"/>
        </xdr:cNvSpPr>
      </xdr:nvSpPr>
      <xdr:spPr bwMode="auto">
        <a:xfrm>
          <a:off x="8210550" y="3067050"/>
          <a:ext cx="628650" cy="1619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Click here: </a:t>
          </a:r>
        </a:p>
        <a:p>
          <a:pPr algn="l" rtl="0">
            <a:defRPr sz="1000"/>
          </a:pPr>
          <a:endParaRPr lang="en-US" sz="900" b="0" i="0" u="none" strike="noStrike" baseline="0">
            <a:solidFill>
              <a:srgbClr val="000000"/>
            </a:solidFill>
            <a:latin typeface="Arial"/>
            <a:cs typeface="Arial"/>
          </a:endParaRPr>
        </a:p>
      </xdr:txBody>
    </xdr:sp>
    <xdr:clientData/>
  </xdr:twoCellAnchor>
  <xdr:twoCellAnchor>
    <xdr:from>
      <xdr:col>10</xdr:col>
      <xdr:colOff>398145</xdr:colOff>
      <xdr:row>21</xdr:row>
      <xdr:rowOff>160020</xdr:rowOff>
    </xdr:from>
    <xdr:to>
      <xdr:col>12</xdr:col>
      <xdr:colOff>453429</xdr:colOff>
      <xdr:row>23</xdr:row>
      <xdr:rowOff>152499</xdr:rowOff>
    </xdr:to>
    <xdr:sp macro="" textlink="">
      <xdr:nvSpPr>
        <xdr:cNvPr id="32813" name="Text Box 45">
          <a:extLst>
            <a:ext uri="{FF2B5EF4-FFF2-40B4-BE49-F238E27FC236}">
              <a16:creationId xmlns:a16="http://schemas.microsoft.com/office/drawing/2014/main" id="{0EDE67CA-B445-932A-23E1-BB77F85C4644}"/>
            </a:ext>
          </a:extLst>
        </xdr:cNvPr>
        <xdr:cNvSpPr txBox="1">
          <a:spLocks noChangeArrowheads="1"/>
        </xdr:cNvSpPr>
      </xdr:nvSpPr>
      <xdr:spPr bwMode="auto">
        <a:xfrm>
          <a:off x="8220075" y="3209925"/>
          <a:ext cx="1190625" cy="333375"/>
        </a:xfrm>
        <a:prstGeom prst="rect">
          <a:avLst/>
        </a:prstGeom>
        <a:noFill/>
        <a:ln w="9525">
          <a:noFill/>
          <a:miter lim="800000"/>
          <a:headEnd/>
          <a:tailEnd/>
        </a:ln>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for help using option buttons below</a:t>
          </a:r>
        </a:p>
      </xdr:txBody>
    </xdr:sp>
    <xdr:clientData/>
  </xdr:twoCellAnchor>
  <xdr:twoCellAnchor>
    <xdr:from>
      <xdr:col>1</xdr:col>
      <xdr:colOff>57150</xdr:colOff>
      <xdr:row>106</xdr:row>
      <xdr:rowOff>190500</xdr:rowOff>
    </xdr:from>
    <xdr:to>
      <xdr:col>13</xdr:col>
      <xdr:colOff>95250</xdr:colOff>
      <xdr:row>119</xdr:row>
      <xdr:rowOff>85725</xdr:rowOff>
    </xdr:to>
    <xdr:sp macro="" textlink="">
      <xdr:nvSpPr>
        <xdr:cNvPr id="50184" name="Rectangle 46">
          <a:extLst>
            <a:ext uri="{FF2B5EF4-FFF2-40B4-BE49-F238E27FC236}">
              <a16:creationId xmlns:a16="http://schemas.microsoft.com/office/drawing/2014/main" id="{18565C22-CA91-E8E2-DC4D-255B76AFC07F}"/>
            </a:ext>
          </a:extLst>
        </xdr:cNvPr>
        <xdr:cNvSpPr>
          <a:spLocks noChangeArrowheads="1"/>
        </xdr:cNvSpPr>
      </xdr:nvSpPr>
      <xdr:spPr bwMode="auto">
        <a:xfrm>
          <a:off x="104775" y="14135100"/>
          <a:ext cx="9667875" cy="2228850"/>
        </a:xfrm>
        <a:prstGeom prst="rect">
          <a:avLst/>
        </a:prstGeom>
        <a:noFill/>
        <a:ln w="15875" algn="ctr">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358140</xdr:colOff>
      <xdr:row>115</xdr:row>
      <xdr:rowOff>28575</xdr:rowOff>
    </xdr:from>
    <xdr:to>
      <xdr:col>11</xdr:col>
      <xdr:colOff>407676</xdr:colOff>
      <xdr:row>118</xdr:row>
      <xdr:rowOff>0</xdr:rowOff>
    </xdr:to>
    <xdr:sp macro="" textlink="">
      <xdr:nvSpPr>
        <xdr:cNvPr id="32815" name="AutoShape 47">
          <a:hlinkClick xmlns:r="http://schemas.openxmlformats.org/officeDocument/2006/relationships" r:id="rId23"/>
          <a:extLst>
            <a:ext uri="{FF2B5EF4-FFF2-40B4-BE49-F238E27FC236}">
              <a16:creationId xmlns:a16="http://schemas.microsoft.com/office/drawing/2014/main" id="{54EDB6C0-1D49-875F-805E-2AEB70D0D4EB}"/>
            </a:ext>
          </a:extLst>
        </xdr:cNvPr>
        <xdr:cNvSpPr>
          <a:spLocks noChangeArrowheads="1"/>
        </xdr:cNvSpPr>
      </xdr:nvSpPr>
      <xdr:spPr bwMode="auto">
        <a:xfrm>
          <a:off x="4381500" y="15792450"/>
          <a:ext cx="4448175" cy="2952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For more information, click here to see the Grading Matrix worksheet</a:t>
          </a:r>
        </a:p>
      </xdr:txBody>
    </xdr:sp>
    <xdr:clientData/>
  </xdr:twoCellAnchor>
  <xdr:twoCellAnchor>
    <xdr:from>
      <xdr:col>10</xdr:col>
      <xdr:colOff>180975</xdr:colOff>
      <xdr:row>46</xdr:row>
      <xdr:rowOff>57150</xdr:rowOff>
    </xdr:from>
    <xdr:to>
      <xdr:col>10</xdr:col>
      <xdr:colOff>571500</xdr:colOff>
      <xdr:row>46</xdr:row>
      <xdr:rowOff>57150</xdr:rowOff>
    </xdr:to>
    <xdr:sp macro="" textlink="">
      <xdr:nvSpPr>
        <xdr:cNvPr id="50186" name="Line 51">
          <a:extLst>
            <a:ext uri="{FF2B5EF4-FFF2-40B4-BE49-F238E27FC236}">
              <a16:creationId xmlns:a16="http://schemas.microsoft.com/office/drawing/2014/main" id="{B6BA85BE-03EF-8261-CE4C-1325A14684A2}"/>
            </a:ext>
          </a:extLst>
        </xdr:cNvPr>
        <xdr:cNvSpPr>
          <a:spLocks noChangeShapeType="1"/>
        </xdr:cNvSpPr>
      </xdr:nvSpPr>
      <xdr:spPr bwMode="auto">
        <a:xfrm>
          <a:off x="8001000" y="6210300"/>
          <a:ext cx="390525"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171450</xdr:colOff>
      <xdr:row>42</xdr:row>
      <xdr:rowOff>28575</xdr:rowOff>
    </xdr:from>
    <xdr:to>
      <xdr:col>10</xdr:col>
      <xdr:colOff>171450</xdr:colOff>
      <xdr:row>46</xdr:row>
      <xdr:rowOff>38100</xdr:rowOff>
    </xdr:to>
    <xdr:sp macro="" textlink="">
      <xdr:nvSpPr>
        <xdr:cNvPr id="50187" name="Line 52">
          <a:extLst>
            <a:ext uri="{FF2B5EF4-FFF2-40B4-BE49-F238E27FC236}">
              <a16:creationId xmlns:a16="http://schemas.microsoft.com/office/drawing/2014/main" id="{2E18CF6A-9785-42BC-DC8D-A0652A7AC1C9}"/>
            </a:ext>
          </a:extLst>
        </xdr:cNvPr>
        <xdr:cNvSpPr>
          <a:spLocks noChangeShapeType="1"/>
        </xdr:cNvSpPr>
      </xdr:nvSpPr>
      <xdr:spPr bwMode="auto">
        <a:xfrm flipV="1">
          <a:off x="7991475" y="5781675"/>
          <a:ext cx="0" cy="40957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142875</xdr:colOff>
      <xdr:row>48</xdr:row>
      <xdr:rowOff>0</xdr:rowOff>
    </xdr:from>
    <xdr:to>
      <xdr:col>10</xdr:col>
      <xdr:colOff>369504</xdr:colOff>
      <xdr:row>48</xdr:row>
      <xdr:rowOff>125942</xdr:rowOff>
    </xdr:to>
    <xdr:sp macro="" textlink="">
      <xdr:nvSpPr>
        <xdr:cNvPr id="32821" name="Text Box 53">
          <a:hlinkClick xmlns:r="http://schemas.openxmlformats.org/officeDocument/2006/relationships" r:id="rId6"/>
          <a:extLst>
            <a:ext uri="{FF2B5EF4-FFF2-40B4-BE49-F238E27FC236}">
              <a16:creationId xmlns:a16="http://schemas.microsoft.com/office/drawing/2014/main" id="{F7878522-0407-5C8F-EAFB-76D5D2371E1A}"/>
            </a:ext>
          </a:extLst>
        </xdr:cNvPr>
        <xdr:cNvSpPr txBox="1">
          <a:spLocks noChangeArrowheads="1"/>
        </xdr:cNvSpPr>
      </xdr:nvSpPr>
      <xdr:spPr bwMode="auto">
        <a:xfrm>
          <a:off x="7962900" y="6353175"/>
          <a:ext cx="219075"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1588770</xdr:colOff>
      <xdr:row>1</xdr:row>
      <xdr:rowOff>295275</xdr:rowOff>
    </xdr:from>
    <xdr:to>
      <xdr:col>6</xdr:col>
      <xdr:colOff>861041</xdr:colOff>
      <xdr:row>2</xdr:row>
      <xdr:rowOff>0</xdr:rowOff>
    </xdr:to>
    <xdr:sp macro="" textlink="">
      <xdr:nvSpPr>
        <xdr:cNvPr id="32885" name="Text Box 54">
          <a:extLst>
            <a:ext uri="{FF2B5EF4-FFF2-40B4-BE49-F238E27FC236}">
              <a16:creationId xmlns:a16="http://schemas.microsoft.com/office/drawing/2014/main" id="{A09CA63D-093C-7D4C-F471-541F70B9035C}"/>
            </a:ext>
          </a:extLst>
        </xdr:cNvPr>
        <xdr:cNvSpPr txBox="1">
          <a:spLocks noChangeArrowheads="1"/>
        </xdr:cNvSpPr>
      </xdr:nvSpPr>
      <xdr:spPr bwMode="auto">
        <a:xfrm>
          <a:off x="1762125" y="381000"/>
          <a:ext cx="3838575"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xdr:from>
      <xdr:col>3</xdr:col>
      <xdr:colOff>133350</xdr:colOff>
      <xdr:row>51</xdr:row>
      <xdr:rowOff>0</xdr:rowOff>
    </xdr:from>
    <xdr:to>
      <xdr:col>3</xdr:col>
      <xdr:colOff>358293</xdr:colOff>
      <xdr:row>51</xdr:row>
      <xdr:rowOff>142875</xdr:rowOff>
    </xdr:to>
    <xdr:sp macro="" textlink="">
      <xdr:nvSpPr>
        <xdr:cNvPr id="32823" name="Text Box 55">
          <a:hlinkClick xmlns:r="http://schemas.openxmlformats.org/officeDocument/2006/relationships" r:id="rId24"/>
          <a:extLst>
            <a:ext uri="{FF2B5EF4-FFF2-40B4-BE49-F238E27FC236}">
              <a16:creationId xmlns:a16="http://schemas.microsoft.com/office/drawing/2014/main" id="{79FF0767-9607-9036-CA74-63744B7C6F88}"/>
            </a:ext>
          </a:extLst>
        </xdr:cNvPr>
        <xdr:cNvSpPr txBox="1">
          <a:spLocks noChangeArrowheads="1"/>
        </xdr:cNvSpPr>
      </xdr:nvSpPr>
      <xdr:spPr bwMode="auto">
        <a:xfrm>
          <a:off x="4162425" y="67056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29</xdr:row>
      <xdr:rowOff>28575</xdr:rowOff>
    </xdr:from>
    <xdr:to>
      <xdr:col>3</xdr:col>
      <xdr:colOff>339106</xdr:colOff>
      <xdr:row>29</xdr:row>
      <xdr:rowOff>171450</xdr:rowOff>
    </xdr:to>
    <xdr:sp macro="" textlink="">
      <xdr:nvSpPr>
        <xdr:cNvPr id="32824" name="Text Box 56">
          <a:hlinkClick xmlns:r="http://schemas.openxmlformats.org/officeDocument/2006/relationships" r:id="rId25"/>
          <a:extLst>
            <a:ext uri="{FF2B5EF4-FFF2-40B4-BE49-F238E27FC236}">
              <a16:creationId xmlns:a16="http://schemas.microsoft.com/office/drawing/2014/main" id="{BA191B67-7870-646C-B983-722445761C1A}"/>
            </a:ext>
          </a:extLst>
        </xdr:cNvPr>
        <xdr:cNvSpPr txBox="1">
          <a:spLocks noChangeArrowheads="1"/>
        </xdr:cNvSpPr>
      </xdr:nvSpPr>
      <xdr:spPr bwMode="auto">
        <a:xfrm>
          <a:off x="4152900" y="42005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133350</xdr:colOff>
      <xdr:row>57</xdr:row>
      <xdr:rowOff>0</xdr:rowOff>
    </xdr:from>
    <xdr:to>
      <xdr:col>3</xdr:col>
      <xdr:colOff>358293</xdr:colOff>
      <xdr:row>57</xdr:row>
      <xdr:rowOff>142875</xdr:rowOff>
    </xdr:to>
    <xdr:sp macro="" textlink="">
      <xdr:nvSpPr>
        <xdr:cNvPr id="32825" name="Text Box 57">
          <a:hlinkClick xmlns:r="http://schemas.openxmlformats.org/officeDocument/2006/relationships" r:id="rId26"/>
          <a:extLst>
            <a:ext uri="{FF2B5EF4-FFF2-40B4-BE49-F238E27FC236}">
              <a16:creationId xmlns:a16="http://schemas.microsoft.com/office/drawing/2014/main" id="{01A4450A-8B82-8E2E-E0F2-0BECB7C99E13}"/>
            </a:ext>
          </a:extLst>
        </xdr:cNvPr>
        <xdr:cNvSpPr txBox="1">
          <a:spLocks noChangeArrowheads="1"/>
        </xdr:cNvSpPr>
      </xdr:nvSpPr>
      <xdr:spPr bwMode="auto">
        <a:xfrm>
          <a:off x="4162425" y="74485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46</xdr:row>
      <xdr:rowOff>38100</xdr:rowOff>
    </xdr:from>
    <xdr:to>
      <xdr:col>3</xdr:col>
      <xdr:colOff>339106</xdr:colOff>
      <xdr:row>47</xdr:row>
      <xdr:rowOff>9525</xdr:rowOff>
    </xdr:to>
    <xdr:sp macro="" textlink="">
      <xdr:nvSpPr>
        <xdr:cNvPr id="32826" name="Text Box 58">
          <a:hlinkClick xmlns:r="http://schemas.openxmlformats.org/officeDocument/2006/relationships" r:id="rId27"/>
          <a:extLst>
            <a:ext uri="{FF2B5EF4-FFF2-40B4-BE49-F238E27FC236}">
              <a16:creationId xmlns:a16="http://schemas.microsoft.com/office/drawing/2014/main" id="{812AB3BF-EB07-9ABD-FA4E-ABF639270676}"/>
            </a:ext>
          </a:extLst>
        </xdr:cNvPr>
        <xdr:cNvSpPr txBox="1">
          <a:spLocks noChangeArrowheads="1"/>
        </xdr:cNvSpPr>
      </xdr:nvSpPr>
      <xdr:spPr bwMode="auto">
        <a:xfrm>
          <a:off x="4152900" y="61912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editAs="oneCell">
    <xdr:from>
      <xdr:col>8</xdr:col>
      <xdr:colOff>1219200</xdr:colOff>
      <xdr:row>1</xdr:row>
      <xdr:rowOff>295275</xdr:rowOff>
    </xdr:from>
    <xdr:to>
      <xdr:col>9</xdr:col>
      <xdr:colOff>396466</xdr:colOff>
      <xdr:row>1</xdr:row>
      <xdr:rowOff>447675</xdr:rowOff>
    </xdr:to>
    <xdr:sp macro="" textlink="">
      <xdr:nvSpPr>
        <xdr:cNvPr id="32845" name="Text Box 77">
          <a:extLst>
            <a:ext uri="{FF2B5EF4-FFF2-40B4-BE49-F238E27FC236}">
              <a16:creationId xmlns:a16="http://schemas.microsoft.com/office/drawing/2014/main" id="{672413A6-78C5-1CBA-74AB-D5BA22A2CCC6}"/>
            </a:ext>
          </a:extLst>
        </xdr:cNvPr>
        <xdr:cNvSpPr txBox="1">
          <a:spLocks noChangeArrowheads="1"/>
        </xdr:cNvSpPr>
      </xdr:nvSpPr>
      <xdr:spPr bwMode="auto">
        <a:xfrm>
          <a:off x="7210425" y="381000"/>
          <a:ext cx="571500" cy="1524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v4.2</a:t>
          </a:r>
        </a:p>
      </xdr:txBody>
    </xdr:sp>
    <xdr:clientData/>
  </xdr:twoCellAnchor>
  <mc:AlternateContent xmlns:mc="http://schemas.openxmlformats.org/markup-compatibility/2006">
    <mc:Choice xmlns:a14="http://schemas.microsoft.com/office/drawing/2010/main" Requires="a14">
      <xdr:twoCellAnchor>
        <xdr:from>
          <xdr:col>10</xdr:col>
          <xdr:colOff>9525</xdr:colOff>
          <xdr:row>37</xdr:row>
          <xdr:rowOff>0</xdr:rowOff>
        </xdr:from>
        <xdr:to>
          <xdr:col>10</xdr:col>
          <xdr:colOff>590550</xdr:colOff>
          <xdr:row>38</xdr:row>
          <xdr:rowOff>0</xdr:rowOff>
        </xdr:to>
        <xdr:grpSp>
          <xdr:nvGrpSpPr>
            <xdr:cNvPr id="50195" name="Group 26">
              <a:extLst>
                <a:ext uri="{FF2B5EF4-FFF2-40B4-BE49-F238E27FC236}">
                  <a16:creationId xmlns:a16="http://schemas.microsoft.com/office/drawing/2014/main" id="{515CB99B-01CB-5BD3-D9EC-1FA6F2C7BDF7}"/>
                </a:ext>
              </a:extLst>
            </xdr:cNvPr>
            <xdr:cNvGrpSpPr>
              <a:grpSpLocks/>
            </xdr:cNvGrpSpPr>
          </xdr:nvGrpSpPr>
          <xdr:grpSpPr bwMode="auto">
            <a:xfrm>
              <a:off x="7829550" y="5124450"/>
              <a:ext cx="581025" cy="190500"/>
              <a:chOff x="1005" y="345"/>
              <a:chExt cx="64" cy="29"/>
            </a:xfrm>
          </xdr:grpSpPr>
          <xdr:sp macro="" textlink="">
            <xdr:nvSpPr>
              <xdr:cNvPr id="32795" name="Group Box 27" hidden="1">
                <a:extLst>
                  <a:ext uri="{63B3BB69-23CF-44E3-9099-C40C66FF867C}">
                    <a14:compatExt spid="_x0000_s32795"/>
                  </a:ext>
                  <a:ext uri="{FF2B5EF4-FFF2-40B4-BE49-F238E27FC236}">
                    <a16:creationId xmlns:a16="http://schemas.microsoft.com/office/drawing/2014/main" id="{18AB026B-B907-D494-FC73-0E0726F444C8}"/>
                  </a:ext>
                </a:extLst>
              </xdr:cNvPr>
              <xdr:cNvSpPr/>
            </xdr:nvSpPr>
            <xdr:spPr bwMode="auto">
              <a:xfrm>
                <a:off x="1005" y="345"/>
                <a:ext cx="64"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32796" name="Option Button 28" hidden="1">
                <a:extLst>
                  <a:ext uri="{63B3BB69-23CF-44E3-9099-C40C66FF867C}">
                    <a14:compatExt spid="_x0000_s32796"/>
                  </a:ext>
                  <a:ext uri="{FF2B5EF4-FFF2-40B4-BE49-F238E27FC236}">
                    <a16:creationId xmlns:a16="http://schemas.microsoft.com/office/drawing/2014/main" id="{3A95582A-C0BA-716B-C602-4A1783D46A80}"/>
                  </a:ext>
                </a:extLst>
              </xdr:cNvPr>
              <xdr:cNvSpPr/>
            </xdr:nvSpPr>
            <xdr:spPr bwMode="auto">
              <a:xfrm>
                <a:off x="1010" y="349"/>
                <a:ext cx="32"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sp macro="" textlink="">
            <xdr:nvSpPr>
              <xdr:cNvPr id="32797" name="Option Button 29" hidden="1">
                <a:extLst>
                  <a:ext uri="{63B3BB69-23CF-44E3-9099-C40C66FF867C}">
                    <a14:compatExt spid="_x0000_s32797"/>
                  </a:ext>
                  <a:ext uri="{FF2B5EF4-FFF2-40B4-BE49-F238E27FC236}">
                    <a16:creationId xmlns:a16="http://schemas.microsoft.com/office/drawing/2014/main" id="{2E4240FD-AB65-5078-5941-64A626533E44}"/>
                  </a:ext>
                </a:extLst>
              </xdr:cNvPr>
              <xdr:cNvSpPr/>
            </xdr:nvSpPr>
            <xdr:spPr bwMode="auto">
              <a:xfrm>
                <a:off x="1037" y="349"/>
                <a:ext cx="32"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10</xdr:col>
          <xdr:colOff>9525</xdr:colOff>
          <xdr:row>41</xdr:row>
          <xdr:rowOff>0</xdr:rowOff>
        </xdr:from>
        <xdr:to>
          <xdr:col>10</xdr:col>
          <xdr:colOff>590550</xdr:colOff>
          <xdr:row>42</xdr:row>
          <xdr:rowOff>0</xdr:rowOff>
        </xdr:to>
        <xdr:grpSp>
          <xdr:nvGrpSpPr>
            <xdr:cNvPr id="50196" name="Group 30">
              <a:extLst>
                <a:ext uri="{FF2B5EF4-FFF2-40B4-BE49-F238E27FC236}">
                  <a16:creationId xmlns:a16="http://schemas.microsoft.com/office/drawing/2014/main" id="{E8036454-7D6C-6DAA-51FF-E693A6BE83ED}"/>
                </a:ext>
              </a:extLst>
            </xdr:cNvPr>
            <xdr:cNvGrpSpPr>
              <a:grpSpLocks/>
            </xdr:cNvGrpSpPr>
          </xdr:nvGrpSpPr>
          <xdr:grpSpPr bwMode="auto">
            <a:xfrm>
              <a:off x="7829550" y="5562600"/>
              <a:ext cx="581025" cy="190500"/>
              <a:chOff x="762" y="543"/>
              <a:chExt cx="61" cy="29"/>
            </a:xfrm>
          </xdr:grpSpPr>
          <xdr:sp macro="" textlink="">
            <xdr:nvSpPr>
              <xdr:cNvPr id="32799" name="Group Box 31" hidden="1">
                <a:extLst>
                  <a:ext uri="{63B3BB69-23CF-44E3-9099-C40C66FF867C}">
                    <a14:compatExt spid="_x0000_s32799"/>
                  </a:ext>
                  <a:ext uri="{FF2B5EF4-FFF2-40B4-BE49-F238E27FC236}">
                    <a16:creationId xmlns:a16="http://schemas.microsoft.com/office/drawing/2014/main" id="{0354C54E-CA61-1312-9327-FB886D242C31}"/>
                  </a:ext>
                </a:extLst>
              </xdr:cNvPr>
              <xdr:cNvSpPr/>
            </xdr:nvSpPr>
            <xdr:spPr bwMode="auto">
              <a:xfrm>
                <a:off x="762" y="543"/>
                <a:ext cx="61"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32800" name="Option Button 32" hidden="1">
                <a:extLst>
                  <a:ext uri="{63B3BB69-23CF-44E3-9099-C40C66FF867C}">
                    <a14:compatExt spid="_x0000_s32800"/>
                  </a:ext>
                  <a:ext uri="{FF2B5EF4-FFF2-40B4-BE49-F238E27FC236}">
                    <a16:creationId xmlns:a16="http://schemas.microsoft.com/office/drawing/2014/main" id="{01F0BD89-E90A-F5F3-85F5-213A4474B4DC}"/>
                  </a:ext>
                </a:extLst>
              </xdr:cNvPr>
              <xdr:cNvSpPr/>
            </xdr:nvSpPr>
            <xdr:spPr bwMode="auto">
              <a:xfrm>
                <a:off x="767" y="547"/>
                <a:ext cx="30"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sp macro="" textlink="">
            <xdr:nvSpPr>
              <xdr:cNvPr id="32801" name="Option Button 33" hidden="1">
                <a:extLst>
                  <a:ext uri="{63B3BB69-23CF-44E3-9099-C40C66FF867C}">
                    <a14:compatExt spid="_x0000_s32801"/>
                  </a:ext>
                  <a:ext uri="{FF2B5EF4-FFF2-40B4-BE49-F238E27FC236}">
                    <a16:creationId xmlns:a16="http://schemas.microsoft.com/office/drawing/2014/main" id="{57692F86-20E0-116E-94C8-C4B363993F85}"/>
                  </a:ext>
                </a:extLst>
              </xdr:cNvPr>
              <xdr:cNvSpPr/>
            </xdr:nvSpPr>
            <xdr:spPr bwMode="auto">
              <a:xfrm>
                <a:off x="793" y="547"/>
                <a:ext cx="30"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10</xdr:col>
          <xdr:colOff>9525</xdr:colOff>
          <xdr:row>25</xdr:row>
          <xdr:rowOff>0</xdr:rowOff>
        </xdr:from>
        <xdr:to>
          <xdr:col>10</xdr:col>
          <xdr:colOff>590550</xdr:colOff>
          <xdr:row>26</xdr:row>
          <xdr:rowOff>0</xdr:rowOff>
        </xdr:to>
        <xdr:grpSp>
          <xdr:nvGrpSpPr>
            <xdr:cNvPr id="50197" name="Group 34">
              <a:extLst>
                <a:ext uri="{FF2B5EF4-FFF2-40B4-BE49-F238E27FC236}">
                  <a16:creationId xmlns:a16="http://schemas.microsoft.com/office/drawing/2014/main" id="{10453610-4B5F-3B1F-A528-25EEE1119E1C}"/>
                </a:ext>
              </a:extLst>
            </xdr:cNvPr>
            <xdr:cNvGrpSpPr>
              <a:grpSpLocks/>
            </xdr:cNvGrpSpPr>
          </xdr:nvGrpSpPr>
          <xdr:grpSpPr bwMode="auto">
            <a:xfrm>
              <a:off x="7829550" y="3733800"/>
              <a:ext cx="581025" cy="190500"/>
              <a:chOff x="758" y="403"/>
              <a:chExt cx="61" cy="29"/>
            </a:xfrm>
          </xdr:grpSpPr>
          <xdr:sp macro="" textlink="">
            <xdr:nvSpPr>
              <xdr:cNvPr id="32803" name="Group Box 35" hidden="1">
                <a:extLst>
                  <a:ext uri="{63B3BB69-23CF-44E3-9099-C40C66FF867C}">
                    <a14:compatExt spid="_x0000_s32803"/>
                  </a:ext>
                  <a:ext uri="{FF2B5EF4-FFF2-40B4-BE49-F238E27FC236}">
                    <a16:creationId xmlns:a16="http://schemas.microsoft.com/office/drawing/2014/main" id="{B2C8212F-D088-482D-2CA6-3C456A0325CC}"/>
                  </a:ext>
                </a:extLst>
              </xdr:cNvPr>
              <xdr:cNvSpPr/>
            </xdr:nvSpPr>
            <xdr:spPr bwMode="auto">
              <a:xfrm>
                <a:off x="758" y="403"/>
                <a:ext cx="61"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32804" name="Option Button 36" hidden="1">
                <a:extLst>
                  <a:ext uri="{63B3BB69-23CF-44E3-9099-C40C66FF867C}">
                    <a14:compatExt spid="_x0000_s32804"/>
                  </a:ext>
                  <a:ext uri="{FF2B5EF4-FFF2-40B4-BE49-F238E27FC236}">
                    <a16:creationId xmlns:a16="http://schemas.microsoft.com/office/drawing/2014/main" id="{13BA119A-1575-A9B9-EC9C-55E2EA47364F}"/>
                  </a:ext>
                </a:extLst>
              </xdr:cNvPr>
              <xdr:cNvSpPr/>
            </xdr:nvSpPr>
            <xdr:spPr bwMode="auto">
              <a:xfrm>
                <a:off x="763" y="407"/>
                <a:ext cx="30" cy="23"/>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sp macro="" textlink="">
            <xdr:nvSpPr>
              <xdr:cNvPr id="32805" name="Option Button 37" hidden="1">
                <a:extLst>
                  <a:ext uri="{63B3BB69-23CF-44E3-9099-C40C66FF867C}">
                    <a14:compatExt spid="_x0000_s32805"/>
                  </a:ext>
                  <a:ext uri="{FF2B5EF4-FFF2-40B4-BE49-F238E27FC236}">
                    <a16:creationId xmlns:a16="http://schemas.microsoft.com/office/drawing/2014/main" id="{78B5BF79-6542-5D16-5FD3-7DE92EC59C8C}"/>
                  </a:ext>
                </a:extLst>
              </xdr:cNvPr>
              <xdr:cNvSpPr/>
            </xdr:nvSpPr>
            <xdr:spPr bwMode="auto">
              <a:xfrm>
                <a:off x="789" y="407"/>
                <a:ext cx="30" cy="23"/>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xdr:wsDr>
</file>

<file path=xl/drawings/drawing10.xml><?xml version="1.0" encoding="utf-8"?>
<xdr:wsDr xmlns:xdr="http://schemas.openxmlformats.org/drawingml/2006/spreadsheetDrawing" xmlns:a="http://schemas.openxmlformats.org/drawingml/2006/main">
  <xdr:twoCellAnchor>
    <xdr:from>
      <xdr:col>3</xdr:col>
      <xdr:colOff>121920</xdr:colOff>
      <xdr:row>21</xdr:row>
      <xdr:rowOff>160020</xdr:rowOff>
    </xdr:from>
    <xdr:to>
      <xdr:col>3</xdr:col>
      <xdr:colOff>339106</xdr:colOff>
      <xdr:row>22</xdr:row>
      <xdr:rowOff>133793</xdr:rowOff>
    </xdr:to>
    <xdr:sp macro="" textlink="">
      <xdr:nvSpPr>
        <xdr:cNvPr id="33793" name="Text Box 1">
          <a:hlinkClick xmlns:r="http://schemas.openxmlformats.org/officeDocument/2006/relationships" r:id="rId1"/>
          <a:extLst>
            <a:ext uri="{FF2B5EF4-FFF2-40B4-BE49-F238E27FC236}">
              <a16:creationId xmlns:a16="http://schemas.microsoft.com/office/drawing/2014/main" id="{CC86FE5A-CE6F-BB2E-DB55-8929FE406D50}"/>
            </a:ext>
          </a:extLst>
        </xdr:cNvPr>
        <xdr:cNvSpPr txBox="1">
          <a:spLocks noChangeArrowheads="1"/>
        </xdr:cNvSpPr>
      </xdr:nvSpPr>
      <xdr:spPr bwMode="auto">
        <a:xfrm>
          <a:off x="4152900" y="32099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23</xdr:row>
      <xdr:rowOff>0</xdr:rowOff>
    </xdr:from>
    <xdr:to>
      <xdr:col>3</xdr:col>
      <xdr:colOff>339106</xdr:colOff>
      <xdr:row>23</xdr:row>
      <xdr:rowOff>142875</xdr:rowOff>
    </xdr:to>
    <xdr:sp macro="" textlink="">
      <xdr:nvSpPr>
        <xdr:cNvPr id="33794" name="Text Box 2">
          <a:hlinkClick xmlns:r="http://schemas.openxmlformats.org/officeDocument/2006/relationships" r:id="rId2"/>
          <a:extLst>
            <a:ext uri="{FF2B5EF4-FFF2-40B4-BE49-F238E27FC236}">
              <a16:creationId xmlns:a16="http://schemas.microsoft.com/office/drawing/2014/main" id="{4E79E1C1-4B51-C0B7-93EB-DE42CD2D3E97}"/>
            </a:ext>
          </a:extLst>
        </xdr:cNvPr>
        <xdr:cNvSpPr txBox="1">
          <a:spLocks noChangeArrowheads="1"/>
        </xdr:cNvSpPr>
      </xdr:nvSpPr>
      <xdr:spPr bwMode="auto">
        <a:xfrm>
          <a:off x="4152900" y="33909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25</xdr:row>
      <xdr:rowOff>19050</xdr:rowOff>
    </xdr:from>
    <xdr:to>
      <xdr:col>3</xdr:col>
      <xdr:colOff>339106</xdr:colOff>
      <xdr:row>25</xdr:row>
      <xdr:rowOff>160437</xdr:rowOff>
    </xdr:to>
    <xdr:sp macro="" textlink="">
      <xdr:nvSpPr>
        <xdr:cNvPr id="33795" name="Text Box 3">
          <a:hlinkClick xmlns:r="http://schemas.openxmlformats.org/officeDocument/2006/relationships" r:id="rId3"/>
          <a:extLst>
            <a:ext uri="{FF2B5EF4-FFF2-40B4-BE49-F238E27FC236}">
              <a16:creationId xmlns:a16="http://schemas.microsoft.com/office/drawing/2014/main" id="{E5CE8320-8EB8-4022-1C78-55F740A99B58}"/>
            </a:ext>
          </a:extLst>
        </xdr:cNvPr>
        <xdr:cNvSpPr txBox="1">
          <a:spLocks noChangeArrowheads="1"/>
        </xdr:cNvSpPr>
      </xdr:nvSpPr>
      <xdr:spPr bwMode="auto">
        <a:xfrm>
          <a:off x="4152900" y="37528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13</xdr:row>
      <xdr:rowOff>19050</xdr:rowOff>
    </xdr:from>
    <xdr:to>
      <xdr:col>3</xdr:col>
      <xdr:colOff>339106</xdr:colOff>
      <xdr:row>13</xdr:row>
      <xdr:rowOff>160437</xdr:rowOff>
    </xdr:to>
    <xdr:sp macro="" textlink="">
      <xdr:nvSpPr>
        <xdr:cNvPr id="33796" name="Text Box 4">
          <a:hlinkClick xmlns:r="http://schemas.openxmlformats.org/officeDocument/2006/relationships" r:id="rId4"/>
          <a:extLst>
            <a:ext uri="{FF2B5EF4-FFF2-40B4-BE49-F238E27FC236}">
              <a16:creationId xmlns:a16="http://schemas.microsoft.com/office/drawing/2014/main" id="{E8D8902A-B706-B6AA-C254-CD788797E3C3}"/>
            </a:ext>
          </a:extLst>
        </xdr:cNvPr>
        <xdr:cNvSpPr txBox="1">
          <a:spLocks noChangeArrowheads="1"/>
        </xdr:cNvSpPr>
      </xdr:nvSpPr>
      <xdr:spPr bwMode="auto">
        <a:xfrm>
          <a:off x="4152900" y="19907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24</xdr:row>
      <xdr:rowOff>9525</xdr:rowOff>
    </xdr:from>
    <xdr:to>
      <xdr:col>3</xdr:col>
      <xdr:colOff>339106</xdr:colOff>
      <xdr:row>24</xdr:row>
      <xdr:rowOff>152400</xdr:rowOff>
    </xdr:to>
    <xdr:sp macro="" textlink="">
      <xdr:nvSpPr>
        <xdr:cNvPr id="33797" name="Text Box 5">
          <a:hlinkClick xmlns:r="http://schemas.openxmlformats.org/officeDocument/2006/relationships" r:id="rId5"/>
          <a:extLst>
            <a:ext uri="{FF2B5EF4-FFF2-40B4-BE49-F238E27FC236}">
              <a16:creationId xmlns:a16="http://schemas.microsoft.com/office/drawing/2014/main" id="{33E1ECA7-596F-B173-C4A8-79FADF2ED097}"/>
            </a:ext>
          </a:extLst>
        </xdr:cNvPr>
        <xdr:cNvSpPr txBox="1">
          <a:spLocks noChangeArrowheads="1"/>
        </xdr:cNvSpPr>
      </xdr:nvSpPr>
      <xdr:spPr bwMode="auto">
        <a:xfrm>
          <a:off x="4152900" y="35718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83820</xdr:colOff>
      <xdr:row>3</xdr:row>
      <xdr:rowOff>83820</xdr:rowOff>
    </xdr:from>
    <xdr:to>
      <xdr:col>2</xdr:col>
      <xdr:colOff>302895</xdr:colOff>
      <xdr:row>4</xdr:row>
      <xdr:rowOff>57593</xdr:rowOff>
    </xdr:to>
    <xdr:sp macro="" textlink="">
      <xdr:nvSpPr>
        <xdr:cNvPr id="33798" name="Text Box 6">
          <a:extLst>
            <a:ext uri="{FF2B5EF4-FFF2-40B4-BE49-F238E27FC236}">
              <a16:creationId xmlns:a16="http://schemas.microsoft.com/office/drawing/2014/main" id="{90003F9D-0AE4-7258-BB7C-5E5CFA360EE2}"/>
            </a:ext>
          </a:extLst>
        </xdr:cNvPr>
        <xdr:cNvSpPr txBox="1">
          <a:spLocks noChangeArrowheads="1"/>
        </xdr:cNvSpPr>
      </xdr:nvSpPr>
      <xdr:spPr bwMode="auto">
        <a:xfrm>
          <a:off x="257175" y="7524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360045</xdr:colOff>
      <xdr:row>3</xdr:row>
      <xdr:rowOff>76200</xdr:rowOff>
    </xdr:from>
    <xdr:to>
      <xdr:col>2</xdr:col>
      <xdr:colOff>1731645</xdr:colOff>
      <xdr:row>4</xdr:row>
      <xdr:rowOff>76200</xdr:rowOff>
    </xdr:to>
    <xdr:sp macro="" textlink="">
      <xdr:nvSpPr>
        <xdr:cNvPr id="33799" name="Text Box 7">
          <a:extLst>
            <a:ext uri="{FF2B5EF4-FFF2-40B4-BE49-F238E27FC236}">
              <a16:creationId xmlns:a16="http://schemas.microsoft.com/office/drawing/2014/main" id="{3006CB70-120D-83D9-F379-C12D9531E418}"/>
            </a:ext>
          </a:extLst>
        </xdr:cNvPr>
        <xdr:cNvSpPr txBox="1">
          <a:spLocks noChangeArrowheads="1"/>
        </xdr:cNvSpPr>
      </xdr:nvSpPr>
      <xdr:spPr bwMode="auto">
        <a:xfrm>
          <a:off x="533400" y="742950"/>
          <a:ext cx="1371600" cy="171450"/>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000000"/>
              </a:solidFill>
              <a:latin typeface="Arial"/>
              <a:cs typeface="Arial"/>
            </a:rPr>
            <a:t>Click to access definition</a:t>
          </a:r>
        </a:p>
      </xdr:txBody>
    </xdr:sp>
    <xdr:clientData/>
  </xdr:twoCellAnchor>
  <xdr:twoCellAnchor>
    <xdr:from>
      <xdr:col>3</xdr:col>
      <xdr:colOff>112395</xdr:colOff>
      <xdr:row>62</xdr:row>
      <xdr:rowOff>28575</xdr:rowOff>
    </xdr:from>
    <xdr:to>
      <xdr:col>3</xdr:col>
      <xdr:colOff>331470</xdr:colOff>
      <xdr:row>63</xdr:row>
      <xdr:rowOff>0</xdr:rowOff>
    </xdr:to>
    <xdr:sp macro="" textlink="">
      <xdr:nvSpPr>
        <xdr:cNvPr id="33800" name="Text Box 8">
          <a:hlinkClick xmlns:r="http://schemas.openxmlformats.org/officeDocument/2006/relationships" r:id="rId6"/>
          <a:extLst>
            <a:ext uri="{FF2B5EF4-FFF2-40B4-BE49-F238E27FC236}">
              <a16:creationId xmlns:a16="http://schemas.microsoft.com/office/drawing/2014/main" id="{83688D0D-91D4-3400-C7C3-A51E611E150A}"/>
            </a:ext>
          </a:extLst>
        </xdr:cNvPr>
        <xdr:cNvSpPr txBox="1">
          <a:spLocks noChangeArrowheads="1"/>
        </xdr:cNvSpPr>
      </xdr:nvSpPr>
      <xdr:spPr bwMode="auto">
        <a:xfrm>
          <a:off x="4143375" y="82677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112395</xdr:colOff>
      <xdr:row>61</xdr:row>
      <xdr:rowOff>19050</xdr:rowOff>
    </xdr:from>
    <xdr:to>
      <xdr:col>3</xdr:col>
      <xdr:colOff>329581</xdr:colOff>
      <xdr:row>61</xdr:row>
      <xdr:rowOff>160437</xdr:rowOff>
    </xdr:to>
    <xdr:sp macro="" textlink="">
      <xdr:nvSpPr>
        <xdr:cNvPr id="33801" name="Text Box 9">
          <a:hlinkClick xmlns:r="http://schemas.openxmlformats.org/officeDocument/2006/relationships" r:id="rId7"/>
          <a:extLst>
            <a:ext uri="{FF2B5EF4-FFF2-40B4-BE49-F238E27FC236}">
              <a16:creationId xmlns:a16="http://schemas.microsoft.com/office/drawing/2014/main" id="{621657F8-23CD-12D2-ECD5-6E15215806A6}"/>
            </a:ext>
          </a:extLst>
        </xdr:cNvPr>
        <xdr:cNvSpPr txBox="1">
          <a:spLocks noChangeArrowheads="1"/>
        </xdr:cNvSpPr>
      </xdr:nvSpPr>
      <xdr:spPr bwMode="auto">
        <a:xfrm>
          <a:off x="4143375" y="80867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42</xdr:row>
      <xdr:rowOff>28575</xdr:rowOff>
    </xdr:from>
    <xdr:to>
      <xdr:col>3</xdr:col>
      <xdr:colOff>339106</xdr:colOff>
      <xdr:row>43</xdr:row>
      <xdr:rowOff>0</xdr:rowOff>
    </xdr:to>
    <xdr:sp macro="" textlink="">
      <xdr:nvSpPr>
        <xdr:cNvPr id="33802" name="Text Box 10">
          <a:hlinkClick xmlns:r="http://schemas.openxmlformats.org/officeDocument/2006/relationships" r:id="rId8"/>
          <a:extLst>
            <a:ext uri="{FF2B5EF4-FFF2-40B4-BE49-F238E27FC236}">
              <a16:creationId xmlns:a16="http://schemas.microsoft.com/office/drawing/2014/main" id="{8D13A750-8AB5-4465-B5F7-F317256F8EC0}"/>
            </a:ext>
          </a:extLst>
        </xdr:cNvPr>
        <xdr:cNvSpPr txBox="1">
          <a:spLocks noChangeArrowheads="1"/>
        </xdr:cNvSpPr>
      </xdr:nvSpPr>
      <xdr:spPr bwMode="auto">
        <a:xfrm>
          <a:off x="4152900" y="57816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41</xdr:row>
      <xdr:rowOff>19050</xdr:rowOff>
    </xdr:from>
    <xdr:to>
      <xdr:col>3</xdr:col>
      <xdr:colOff>339106</xdr:colOff>
      <xdr:row>41</xdr:row>
      <xdr:rowOff>160437</xdr:rowOff>
    </xdr:to>
    <xdr:sp macro="" textlink="">
      <xdr:nvSpPr>
        <xdr:cNvPr id="33803" name="Text Box 11">
          <a:hlinkClick xmlns:r="http://schemas.openxmlformats.org/officeDocument/2006/relationships" r:id="rId9"/>
          <a:extLst>
            <a:ext uri="{FF2B5EF4-FFF2-40B4-BE49-F238E27FC236}">
              <a16:creationId xmlns:a16="http://schemas.microsoft.com/office/drawing/2014/main" id="{C0427786-77AC-792D-F523-18465139C6A3}"/>
            </a:ext>
          </a:extLst>
        </xdr:cNvPr>
        <xdr:cNvSpPr txBox="1">
          <a:spLocks noChangeArrowheads="1"/>
        </xdr:cNvSpPr>
      </xdr:nvSpPr>
      <xdr:spPr bwMode="auto">
        <a:xfrm>
          <a:off x="4152900" y="55816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112395</xdr:colOff>
      <xdr:row>64</xdr:row>
      <xdr:rowOff>28575</xdr:rowOff>
    </xdr:from>
    <xdr:to>
      <xdr:col>3</xdr:col>
      <xdr:colOff>331470</xdr:colOff>
      <xdr:row>65</xdr:row>
      <xdr:rowOff>0</xdr:rowOff>
    </xdr:to>
    <xdr:sp macro="" textlink="">
      <xdr:nvSpPr>
        <xdr:cNvPr id="33804" name="Text Box 12">
          <a:hlinkClick xmlns:r="http://schemas.openxmlformats.org/officeDocument/2006/relationships" r:id="rId10"/>
          <a:extLst>
            <a:ext uri="{FF2B5EF4-FFF2-40B4-BE49-F238E27FC236}">
              <a16:creationId xmlns:a16="http://schemas.microsoft.com/office/drawing/2014/main" id="{4939643F-4010-ED9F-B7FD-1B23464AE188}"/>
            </a:ext>
          </a:extLst>
        </xdr:cNvPr>
        <xdr:cNvSpPr txBox="1">
          <a:spLocks noChangeArrowheads="1"/>
        </xdr:cNvSpPr>
      </xdr:nvSpPr>
      <xdr:spPr bwMode="auto">
        <a:xfrm>
          <a:off x="4143375" y="86106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112395</xdr:colOff>
      <xdr:row>66</xdr:row>
      <xdr:rowOff>28575</xdr:rowOff>
    </xdr:from>
    <xdr:to>
      <xdr:col>3</xdr:col>
      <xdr:colOff>331470</xdr:colOff>
      <xdr:row>67</xdr:row>
      <xdr:rowOff>0</xdr:rowOff>
    </xdr:to>
    <xdr:sp macro="" textlink="">
      <xdr:nvSpPr>
        <xdr:cNvPr id="33805" name="Text Box 13">
          <a:hlinkClick xmlns:r="http://schemas.openxmlformats.org/officeDocument/2006/relationships" r:id="rId11"/>
          <a:extLst>
            <a:ext uri="{FF2B5EF4-FFF2-40B4-BE49-F238E27FC236}">
              <a16:creationId xmlns:a16="http://schemas.microsoft.com/office/drawing/2014/main" id="{4972FCE5-DBAE-8D92-0259-7EC00ACE1564}"/>
            </a:ext>
          </a:extLst>
        </xdr:cNvPr>
        <xdr:cNvSpPr txBox="1">
          <a:spLocks noChangeArrowheads="1"/>
        </xdr:cNvSpPr>
      </xdr:nvSpPr>
      <xdr:spPr bwMode="auto">
        <a:xfrm>
          <a:off x="4143375" y="89535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10</xdr:col>
      <xdr:colOff>331470</xdr:colOff>
      <xdr:row>1</xdr:row>
      <xdr:rowOff>114300</xdr:rowOff>
    </xdr:from>
    <xdr:to>
      <xdr:col>12</xdr:col>
      <xdr:colOff>529614</xdr:colOff>
      <xdr:row>1</xdr:row>
      <xdr:rowOff>361950</xdr:rowOff>
    </xdr:to>
    <xdr:sp macro="" textlink="">
      <xdr:nvSpPr>
        <xdr:cNvPr id="33806" name="AutoShape 14">
          <a:hlinkClick xmlns:r="http://schemas.openxmlformats.org/officeDocument/2006/relationships" r:id="rId12"/>
          <a:extLst>
            <a:ext uri="{FF2B5EF4-FFF2-40B4-BE49-F238E27FC236}">
              <a16:creationId xmlns:a16="http://schemas.microsoft.com/office/drawing/2014/main" id="{378F680C-9893-41F0-2241-6110E1F38FE9}"/>
            </a:ext>
          </a:extLst>
        </xdr:cNvPr>
        <xdr:cNvSpPr>
          <a:spLocks noChangeArrowheads="1"/>
        </xdr:cNvSpPr>
      </xdr:nvSpPr>
      <xdr:spPr bwMode="auto">
        <a:xfrm>
          <a:off x="8153400" y="200025"/>
          <a:ext cx="1333500" cy="24765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Back to Instructions</a:t>
          </a:r>
        </a:p>
      </xdr:txBody>
    </xdr:sp>
    <xdr:clientData/>
  </xdr:twoCellAnchor>
  <xdr:twoCellAnchor>
    <xdr:from>
      <xdr:col>2</xdr:col>
      <xdr:colOff>17145</xdr:colOff>
      <xdr:row>6</xdr:row>
      <xdr:rowOff>76200</xdr:rowOff>
    </xdr:from>
    <xdr:to>
      <xdr:col>13</xdr:col>
      <xdr:colOff>1</xdr:colOff>
      <xdr:row>7</xdr:row>
      <xdr:rowOff>152400</xdr:rowOff>
    </xdr:to>
    <xdr:sp macro="" textlink="">
      <xdr:nvSpPr>
        <xdr:cNvPr id="33807" name="Text Box 15">
          <a:extLst>
            <a:ext uri="{FF2B5EF4-FFF2-40B4-BE49-F238E27FC236}">
              <a16:creationId xmlns:a16="http://schemas.microsoft.com/office/drawing/2014/main" id="{79E6968C-7351-BB36-88B5-8353EE276367}"/>
            </a:ext>
          </a:extLst>
        </xdr:cNvPr>
        <xdr:cNvSpPr txBox="1">
          <a:spLocks noChangeArrowheads="1"/>
        </xdr:cNvSpPr>
      </xdr:nvSpPr>
      <xdr:spPr bwMode="auto">
        <a:xfrm>
          <a:off x="180975" y="1133475"/>
          <a:ext cx="9496425" cy="304800"/>
        </a:xfrm>
        <a:prstGeom prst="rect">
          <a:avLst/>
        </a:prstGeom>
        <a:solidFill>
          <a:srgbClr val="C0C0C0"/>
        </a:solid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Please enter data in the white cells below. Where available, metered values should be used; if metered values are unavailable please estimate a value. Indicate your confidence in the accuracy of the input data by grading each component (1-10) using the drop-down list to the left of the input cell. Hover the mouse over the cell to obtain a description of the grades</a:t>
          </a:r>
        </a:p>
      </xdr:txBody>
    </xdr:sp>
    <xdr:clientData/>
  </xdr:twoCellAnchor>
  <xdr:twoCellAnchor>
    <xdr:from>
      <xdr:col>3</xdr:col>
      <xdr:colOff>121920</xdr:colOff>
      <xdr:row>75</xdr:row>
      <xdr:rowOff>11430</xdr:rowOff>
    </xdr:from>
    <xdr:to>
      <xdr:col>3</xdr:col>
      <xdr:colOff>339106</xdr:colOff>
      <xdr:row>75</xdr:row>
      <xdr:rowOff>162243</xdr:rowOff>
    </xdr:to>
    <xdr:sp macro="" textlink="">
      <xdr:nvSpPr>
        <xdr:cNvPr id="33808" name="Text Box 16">
          <a:hlinkClick xmlns:r="http://schemas.openxmlformats.org/officeDocument/2006/relationships" r:id="rId13"/>
          <a:extLst>
            <a:ext uri="{FF2B5EF4-FFF2-40B4-BE49-F238E27FC236}">
              <a16:creationId xmlns:a16="http://schemas.microsoft.com/office/drawing/2014/main" id="{65957D90-3C0D-C928-B28E-14A085A4935E}"/>
            </a:ext>
          </a:extLst>
        </xdr:cNvPr>
        <xdr:cNvSpPr txBox="1">
          <a:spLocks noChangeArrowheads="1"/>
        </xdr:cNvSpPr>
      </xdr:nvSpPr>
      <xdr:spPr bwMode="auto">
        <a:xfrm>
          <a:off x="4152900" y="100298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2373630</xdr:colOff>
      <xdr:row>98</xdr:row>
      <xdr:rowOff>19050</xdr:rowOff>
    </xdr:from>
    <xdr:to>
      <xdr:col>2</xdr:col>
      <xdr:colOff>2598573</xdr:colOff>
      <xdr:row>98</xdr:row>
      <xdr:rowOff>160437</xdr:rowOff>
    </xdr:to>
    <xdr:sp macro="" textlink="">
      <xdr:nvSpPr>
        <xdr:cNvPr id="33809" name="Text Box 17">
          <a:hlinkClick xmlns:r="http://schemas.openxmlformats.org/officeDocument/2006/relationships" r:id="rId14"/>
          <a:extLst>
            <a:ext uri="{FF2B5EF4-FFF2-40B4-BE49-F238E27FC236}">
              <a16:creationId xmlns:a16="http://schemas.microsoft.com/office/drawing/2014/main" id="{C17D0DC4-16C7-4099-13DC-2CD9D5F8EAE7}"/>
            </a:ext>
          </a:extLst>
        </xdr:cNvPr>
        <xdr:cNvSpPr txBox="1">
          <a:spLocks noChangeArrowheads="1"/>
        </xdr:cNvSpPr>
      </xdr:nvSpPr>
      <xdr:spPr bwMode="auto">
        <a:xfrm>
          <a:off x="2552700" y="130111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1192530</xdr:colOff>
      <xdr:row>104</xdr:row>
      <xdr:rowOff>11430</xdr:rowOff>
    </xdr:from>
    <xdr:to>
      <xdr:col>2</xdr:col>
      <xdr:colOff>1417473</xdr:colOff>
      <xdr:row>104</xdr:row>
      <xdr:rowOff>155038</xdr:rowOff>
    </xdr:to>
    <xdr:sp macro="" textlink="">
      <xdr:nvSpPr>
        <xdr:cNvPr id="33810" name="Text Box 18">
          <a:hlinkClick xmlns:r="http://schemas.openxmlformats.org/officeDocument/2006/relationships" r:id="rId15"/>
          <a:extLst>
            <a:ext uri="{FF2B5EF4-FFF2-40B4-BE49-F238E27FC236}">
              <a16:creationId xmlns:a16="http://schemas.microsoft.com/office/drawing/2014/main" id="{D2622DF4-2067-7D8A-768B-9D735239A1FF}"/>
            </a:ext>
          </a:extLst>
        </xdr:cNvPr>
        <xdr:cNvSpPr txBox="1">
          <a:spLocks noChangeArrowheads="1"/>
        </xdr:cNvSpPr>
      </xdr:nvSpPr>
      <xdr:spPr bwMode="auto">
        <a:xfrm>
          <a:off x="1371600" y="13687425"/>
          <a:ext cx="219075"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14</xdr:row>
      <xdr:rowOff>19050</xdr:rowOff>
    </xdr:from>
    <xdr:to>
      <xdr:col>3</xdr:col>
      <xdr:colOff>339106</xdr:colOff>
      <xdr:row>14</xdr:row>
      <xdr:rowOff>160437</xdr:rowOff>
    </xdr:to>
    <xdr:sp macro="" textlink="">
      <xdr:nvSpPr>
        <xdr:cNvPr id="33811" name="Text Box 19">
          <a:hlinkClick xmlns:r="http://schemas.openxmlformats.org/officeDocument/2006/relationships" r:id="rId16"/>
          <a:extLst>
            <a:ext uri="{FF2B5EF4-FFF2-40B4-BE49-F238E27FC236}">
              <a16:creationId xmlns:a16="http://schemas.microsoft.com/office/drawing/2014/main" id="{7BB4DF4C-F9CE-25E9-1EB6-4AE908B7ED74}"/>
            </a:ext>
          </a:extLst>
        </xdr:cNvPr>
        <xdr:cNvSpPr txBox="1">
          <a:spLocks noChangeArrowheads="1"/>
        </xdr:cNvSpPr>
      </xdr:nvSpPr>
      <xdr:spPr bwMode="auto">
        <a:xfrm>
          <a:off x="4152900" y="21621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15</xdr:row>
      <xdr:rowOff>19050</xdr:rowOff>
    </xdr:from>
    <xdr:to>
      <xdr:col>3</xdr:col>
      <xdr:colOff>339106</xdr:colOff>
      <xdr:row>15</xdr:row>
      <xdr:rowOff>160437</xdr:rowOff>
    </xdr:to>
    <xdr:sp macro="" textlink="">
      <xdr:nvSpPr>
        <xdr:cNvPr id="33812" name="Text Box 20">
          <a:hlinkClick xmlns:r="http://schemas.openxmlformats.org/officeDocument/2006/relationships" r:id="rId17"/>
          <a:extLst>
            <a:ext uri="{FF2B5EF4-FFF2-40B4-BE49-F238E27FC236}">
              <a16:creationId xmlns:a16="http://schemas.microsoft.com/office/drawing/2014/main" id="{38F1170A-464A-2C5A-E036-5BAF89037526}"/>
            </a:ext>
          </a:extLst>
        </xdr:cNvPr>
        <xdr:cNvSpPr txBox="1">
          <a:spLocks noChangeArrowheads="1"/>
        </xdr:cNvSpPr>
      </xdr:nvSpPr>
      <xdr:spPr bwMode="auto">
        <a:xfrm>
          <a:off x="4152900" y="23336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16</xdr:row>
      <xdr:rowOff>19050</xdr:rowOff>
    </xdr:from>
    <xdr:to>
      <xdr:col>3</xdr:col>
      <xdr:colOff>339106</xdr:colOff>
      <xdr:row>16</xdr:row>
      <xdr:rowOff>160437</xdr:rowOff>
    </xdr:to>
    <xdr:sp macro="" textlink="">
      <xdr:nvSpPr>
        <xdr:cNvPr id="33813" name="Text Box 21">
          <a:hlinkClick xmlns:r="http://schemas.openxmlformats.org/officeDocument/2006/relationships" r:id="rId18"/>
          <a:extLst>
            <a:ext uri="{FF2B5EF4-FFF2-40B4-BE49-F238E27FC236}">
              <a16:creationId xmlns:a16="http://schemas.microsoft.com/office/drawing/2014/main" id="{D8D6FD4A-50EF-EA44-B9F4-8A9EE92ABF2E}"/>
            </a:ext>
          </a:extLst>
        </xdr:cNvPr>
        <xdr:cNvSpPr txBox="1">
          <a:spLocks noChangeArrowheads="1"/>
        </xdr:cNvSpPr>
      </xdr:nvSpPr>
      <xdr:spPr bwMode="auto">
        <a:xfrm>
          <a:off x="4152900" y="25050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37</xdr:row>
      <xdr:rowOff>19050</xdr:rowOff>
    </xdr:from>
    <xdr:to>
      <xdr:col>3</xdr:col>
      <xdr:colOff>339106</xdr:colOff>
      <xdr:row>37</xdr:row>
      <xdr:rowOff>160437</xdr:rowOff>
    </xdr:to>
    <xdr:sp macro="" textlink="">
      <xdr:nvSpPr>
        <xdr:cNvPr id="33814" name="Text Box 22">
          <a:hlinkClick xmlns:r="http://schemas.openxmlformats.org/officeDocument/2006/relationships" r:id="rId19"/>
          <a:extLst>
            <a:ext uri="{FF2B5EF4-FFF2-40B4-BE49-F238E27FC236}">
              <a16:creationId xmlns:a16="http://schemas.microsoft.com/office/drawing/2014/main" id="{A780535A-4668-BE8B-9314-C56C033CD90E}"/>
            </a:ext>
          </a:extLst>
        </xdr:cNvPr>
        <xdr:cNvSpPr txBox="1">
          <a:spLocks noChangeArrowheads="1"/>
        </xdr:cNvSpPr>
      </xdr:nvSpPr>
      <xdr:spPr bwMode="auto">
        <a:xfrm>
          <a:off x="4152900" y="51435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74</xdr:row>
      <xdr:rowOff>19050</xdr:rowOff>
    </xdr:from>
    <xdr:to>
      <xdr:col>3</xdr:col>
      <xdr:colOff>339106</xdr:colOff>
      <xdr:row>74</xdr:row>
      <xdr:rowOff>160437</xdr:rowOff>
    </xdr:to>
    <xdr:sp macro="" textlink="">
      <xdr:nvSpPr>
        <xdr:cNvPr id="33815" name="Text Box 23">
          <a:hlinkClick xmlns:r="http://schemas.openxmlformats.org/officeDocument/2006/relationships" r:id="rId20"/>
          <a:extLst>
            <a:ext uri="{FF2B5EF4-FFF2-40B4-BE49-F238E27FC236}">
              <a16:creationId xmlns:a16="http://schemas.microsoft.com/office/drawing/2014/main" id="{F1329C96-C1FB-FFDA-E31E-C3999057BB28}"/>
            </a:ext>
          </a:extLst>
        </xdr:cNvPr>
        <xdr:cNvSpPr txBox="1">
          <a:spLocks noChangeArrowheads="1"/>
        </xdr:cNvSpPr>
      </xdr:nvSpPr>
      <xdr:spPr bwMode="auto">
        <a:xfrm>
          <a:off x="4152900" y="98488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73</xdr:row>
      <xdr:rowOff>19050</xdr:rowOff>
    </xdr:from>
    <xdr:to>
      <xdr:col>3</xdr:col>
      <xdr:colOff>339106</xdr:colOff>
      <xdr:row>73</xdr:row>
      <xdr:rowOff>160437</xdr:rowOff>
    </xdr:to>
    <xdr:sp macro="" textlink="">
      <xdr:nvSpPr>
        <xdr:cNvPr id="33816" name="Text Box 24">
          <a:hlinkClick xmlns:r="http://schemas.openxmlformats.org/officeDocument/2006/relationships" r:id="rId21"/>
          <a:extLst>
            <a:ext uri="{FF2B5EF4-FFF2-40B4-BE49-F238E27FC236}">
              <a16:creationId xmlns:a16="http://schemas.microsoft.com/office/drawing/2014/main" id="{02044903-9933-B50E-8020-E01618E51D6F}"/>
            </a:ext>
          </a:extLst>
        </xdr:cNvPr>
        <xdr:cNvSpPr txBox="1">
          <a:spLocks noChangeArrowheads="1"/>
        </xdr:cNvSpPr>
      </xdr:nvSpPr>
      <xdr:spPr bwMode="auto">
        <a:xfrm>
          <a:off x="4152900" y="96678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1040130</xdr:colOff>
      <xdr:row>64</xdr:row>
      <xdr:rowOff>0</xdr:rowOff>
    </xdr:from>
    <xdr:to>
      <xdr:col>12</xdr:col>
      <xdr:colOff>558166</xdr:colOff>
      <xdr:row>65</xdr:row>
      <xdr:rowOff>160116</xdr:rowOff>
    </xdr:to>
    <xdr:sp macro="" textlink="">
      <xdr:nvSpPr>
        <xdr:cNvPr id="33817" name="Rectangle 25">
          <a:extLst>
            <a:ext uri="{FF2B5EF4-FFF2-40B4-BE49-F238E27FC236}">
              <a16:creationId xmlns:a16="http://schemas.microsoft.com/office/drawing/2014/main" id="{E53A90B5-CE9D-5B29-4EE4-03BD5B1D1E62}"/>
            </a:ext>
          </a:extLst>
        </xdr:cNvPr>
        <xdr:cNvSpPr>
          <a:spLocks noChangeArrowheads="1"/>
        </xdr:cNvSpPr>
      </xdr:nvSpPr>
      <xdr:spPr bwMode="auto">
        <a:xfrm>
          <a:off x="7029450" y="8582025"/>
          <a:ext cx="2486025" cy="33337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000000"/>
              </a:solidFill>
              <a:latin typeface="Courier New"/>
              <a:cs typeface="Courier New"/>
            </a:rPr>
            <a:t>(pipe length between curbstop and customer meter or property boundary)</a:t>
          </a:r>
        </a:p>
      </xdr:txBody>
    </xdr:sp>
    <xdr:clientData/>
  </xdr:twoCellAnchor>
  <xdr:twoCellAnchor>
    <xdr:from>
      <xdr:col>10</xdr:col>
      <xdr:colOff>95250</xdr:colOff>
      <xdr:row>28</xdr:row>
      <xdr:rowOff>0</xdr:rowOff>
    </xdr:from>
    <xdr:to>
      <xdr:col>12</xdr:col>
      <xdr:colOff>596326</xdr:colOff>
      <xdr:row>34</xdr:row>
      <xdr:rowOff>104775</xdr:rowOff>
    </xdr:to>
    <xdr:sp macro="" textlink="">
      <xdr:nvSpPr>
        <xdr:cNvPr id="33830" name="Text Box 38">
          <a:extLst>
            <a:ext uri="{FF2B5EF4-FFF2-40B4-BE49-F238E27FC236}">
              <a16:creationId xmlns:a16="http://schemas.microsoft.com/office/drawing/2014/main" id="{072E633E-B062-CE6D-37B2-1A6540CD73F9}"/>
            </a:ext>
          </a:extLst>
        </xdr:cNvPr>
        <xdr:cNvSpPr txBox="1">
          <a:spLocks noChangeArrowheads="1"/>
        </xdr:cNvSpPr>
      </xdr:nvSpPr>
      <xdr:spPr bwMode="auto">
        <a:xfrm>
          <a:off x="7915275" y="4143375"/>
          <a:ext cx="1638300" cy="657225"/>
        </a:xfrm>
        <a:prstGeom prst="rect">
          <a:avLst/>
        </a:prstGeom>
        <a:solidFill>
          <a:srgbClr val="C0C0C0"/>
        </a:solidFill>
        <a:ln w="12700" algn="ctr">
          <a:noFill/>
          <a:miter lim="800000"/>
          <a:headEnd/>
          <a:tailEnd/>
        </a:ln>
        <a:effectLst/>
      </xdr:spPr>
      <xdr:txBody>
        <a:bodyPr vertOverflow="clip" wrap="square" lIns="27432" tIns="22860" rIns="27432" bIns="0" anchor="t" upright="1"/>
        <a:lstStyle/>
        <a:p>
          <a:pPr algn="ctr" rtl="0">
            <a:defRPr sz="1000"/>
          </a:pPr>
          <a:r>
            <a:rPr lang="en-US" sz="900" b="0" i="0" u="none" strike="noStrike" baseline="0">
              <a:solidFill>
                <a:srgbClr val="000000"/>
              </a:solidFill>
              <a:latin typeface="Arial"/>
              <a:cs typeface="Arial"/>
            </a:rPr>
            <a:t>Use buttons to select</a:t>
          </a:r>
        </a:p>
        <a:p>
          <a:pPr algn="ctr" rtl="0">
            <a:defRPr sz="1000"/>
          </a:pPr>
          <a:r>
            <a:rPr lang="en-US" sz="900" b="0" i="0" u="none" strike="noStrike" baseline="0">
              <a:solidFill>
                <a:srgbClr val="000000"/>
              </a:solidFill>
              <a:latin typeface="Arial"/>
              <a:cs typeface="Arial"/>
            </a:rPr>
            <a:t>percentage of water supplied</a:t>
          </a:r>
        </a:p>
        <a:p>
          <a:pPr algn="ctr" rtl="0">
            <a:defRPr sz="1000"/>
          </a:pPr>
          <a:r>
            <a:rPr lang="en-US" sz="900" b="1" i="0" u="sng" strike="noStrike" baseline="0">
              <a:solidFill>
                <a:srgbClr val="000000"/>
              </a:solidFill>
              <a:latin typeface="Arial"/>
              <a:cs typeface="Arial"/>
            </a:rPr>
            <a:t>OR</a:t>
          </a:r>
        </a:p>
        <a:p>
          <a:pPr algn="ctr" rtl="0">
            <a:defRPr sz="1000"/>
          </a:pPr>
          <a:r>
            <a:rPr lang="en-US" sz="900" b="0" i="0" u="none" strike="noStrike" baseline="0">
              <a:solidFill>
                <a:srgbClr val="000000"/>
              </a:solidFill>
              <a:latin typeface="Arial"/>
              <a:cs typeface="Arial"/>
            </a:rPr>
            <a:t>value</a:t>
          </a:r>
        </a:p>
      </xdr:txBody>
    </xdr:sp>
    <xdr:clientData/>
  </xdr:twoCellAnchor>
  <xdr:twoCellAnchor>
    <xdr:from>
      <xdr:col>10</xdr:col>
      <xdr:colOff>409575</xdr:colOff>
      <xdr:row>34</xdr:row>
      <xdr:rowOff>85725</xdr:rowOff>
    </xdr:from>
    <xdr:to>
      <xdr:col>10</xdr:col>
      <xdr:colOff>409575</xdr:colOff>
      <xdr:row>36</xdr:row>
      <xdr:rowOff>152400</xdr:rowOff>
    </xdr:to>
    <xdr:sp macro="" textlink="">
      <xdr:nvSpPr>
        <xdr:cNvPr id="51201" name="Line 39">
          <a:extLst>
            <a:ext uri="{FF2B5EF4-FFF2-40B4-BE49-F238E27FC236}">
              <a16:creationId xmlns:a16="http://schemas.microsoft.com/office/drawing/2014/main" id="{13576065-6DC8-9628-4444-B30485372CB0}"/>
            </a:ext>
          </a:extLst>
        </xdr:cNvPr>
        <xdr:cNvSpPr>
          <a:spLocks noChangeShapeType="1"/>
        </xdr:cNvSpPr>
      </xdr:nvSpPr>
      <xdr:spPr bwMode="auto">
        <a:xfrm>
          <a:off x="8229600" y="4781550"/>
          <a:ext cx="0" cy="32385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409575</xdr:colOff>
      <xdr:row>34</xdr:row>
      <xdr:rowOff>57150</xdr:rowOff>
    </xdr:from>
    <xdr:to>
      <xdr:col>11</xdr:col>
      <xdr:colOff>114300</xdr:colOff>
      <xdr:row>34</xdr:row>
      <xdr:rowOff>57150</xdr:rowOff>
    </xdr:to>
    <xdr:sp macro="" textlink="">
      <xdr:nvSpPr>
        <xdr:cNvPr id="51202" name="Line 40">
          <a:extLst>
            <a:ext uri="{FF2B5EF4-FFF2-40B4-BE49-F238E27FC236}">
              <a16:creationId xmlns:a16="http://schemas.microsoft.com/office/drawing/2014/main" id="{D7E25C79-EC8E-3315-74FF-F37E7B555C04}"/>
            </a:ext>
          </a:extLst>
        </xdr:cNvPr>
        <xdr:cNvSpPr>
          <a:spLocks noChangeShapeType="1"/>
        </xdr:cNvSpPr>
      </xdr:nvSpPr>
      <xdr:spPr bwMode="auto">
        <a:xfrm>
          <a:off x="8229600" y="4752975"/>
          <a:ext cx="30480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171450</xdr:colOff>
      <xdr:row>29</xdr:row>
      <xdr:rowOff>66675</xdr:rowOff>
    </xdr:from>
    <xdr:to>
      <xdr:col>10</xdr:col>
      <xdr:colOff>333375</xdr:colOff>
      <xdr:row>29</xdr:row>
      <xdr:rowOff>66675</xdr:rowOff>
    </xdr:to>
    <xdr:sp macro="" textlink="">
      <xdr:nvSpPr>
        <xdr:cNvPr id="51203" name="Line 41">
          <a:extLst>
            <a:ext uri="{FF2B5EF4-FFF2-40B4-BE49-F238E27FC236}">
              <a16:creationId xmlns:a16="http://schemas.microsoft.com/office/drawing/2014/main" id="{E64D7A83-CB72-7BA2-E36D-209196891726}"/>
            </a:ext>
          </a:extLst>
        </xdr:cNvPr>
        <xdr:cNvSpPr>
          <a:spLocks noChangeShapeType="1"/>
        </xdr:cNvSpPr>
      </xdr:nvSpPr>
      <xdr:spPr bwMode="auto">
        <a:xfrm flipV="1">
          <a:off x="7991475" y="4238625"/>
          <a:ext cx="161925"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171450</xdr:colOff>
      <xdr:row>27</xdr:row>
      <xdr:rowOff>0</xdr:rowOff>
    </xdr:from>
    <xdr:to>
      <xdr:col>10</xdr:col>
      <xdr:colOff>171450</xdr:colOff>
      <xdr:row>29</xdr:row>
      <xdr:rowOff>38100</xdr:rowOff>
    </xdr:to>
    <xdr:sp macro="" textlink="">
      <xdr:nvSpPr>
        <xdr:cNvPr id="51204" name="Line 42">
          <a:extLst>
            <a:ext uri="{FF2B5EF4-FFF2-40B4-BE49-F238E27FC236}">
              <a16:creationId xmlns:a16="http://schemas.microsoft.com/office/drawing/2014/main" id="{87FC322F-C353-8BD3-E14A-CD54468C1713}"/>
            </a:ext>
          </a:extLst>
        </xdr:cNvPr>
        <xdr:cNvSpPr>
          <a:spLocks noChangeShapeType="1"/>
        </xdr:cNvSpPr>
      </xdr:nvSpPr>
      <xdr:spPr bwMode="auto">
        <a:xfrm flipV="1">
          <a:off x="7991475" y="3952875"/>
          <a:ext cx="0" cy="25717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434340</xdr:colOff>
      <xdr:row>21</xdr:row>
      <xdr:rowOff>19050</xdr:rowOff>
    </xdr:from>
    <xdr:to>
      <xdr:col>12</xdr:col>
      <xdr:colOff>112456</xdr:colOff>
      <xdr:row>21</xdr:row>
      <xdr:rowOff>160437</xdr:rowOff>
    </xdr:to>
    <xdr:sp macro="" textlink="">
      <xdr:nvSpPr>
        <xdr:cNvPr id="33835" name="Text Box 43">
          <a:hlinkClick xmlns:r="http://schemas.openxmlformats.org/officeDocument/2006/relationships" r:id="rId22" tooltip="Defaults"/>
          <a:extLst>
            <a:ext uri="{FF2B5EF4-FFF2-40B4-BE49-F238E27FC236}">
              <a16:creationId xmlns:a16="http://schemas.microsoft.com/office/drawing/2014/main" id="{08294DCC-229A-BD19-7ECA-28FC36A38C80}"/>
            </a:ext>
          </a:extLst>
        </xdr:cNvPr>
        <xdr:cNvSpPr txBox="1">
          <a:spLocks noChangeArrowheads="1"/>
        </xdr:cNvSpPr>
      </xdr:nvSpPr>
      <xdr:spPr bwMode="auto">
        <a:xfrm>
          <a:off x="8848725" y="30670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10</xdr:col>
      <xdr:colOff>396240</xdr:colOff>
      <xdr:row>21</xdr:row>
      <xdr:rowOff>19050</xdr:rowOff>
    </xdr:from>
    <xdr:to>
      <xdr:col>11</xdr:col>
      <xdr:colOff>415432</xdr:colOff>
      <xdr:row>22</xdr:row>
      <xdr:rowOff>9525</xdr:rowOff>
    </xdr:to>
    <xdr:sp macro="" textlink="">
      <xdr:nvSpPr>
        <xdr:cNvPr id="33836" name="Text Box 44">
          <a:extLst>
            <a:ext uri="{FF2B5EF4-FFF2-40B4-BE49-F238E27FC236}">
              <a16:creationId xmlns:a16="http://schemas.microsoft.com/office/drawing/2014/main" id="{F9E2FDFA-CE8C-7EE5-4096-0AB0DDC94E0F}"/>
            </a:ext>
          </a:extLst>
        </xdr:cNvPr>
        <xdr:cNvSpPr txBox="1">
          <a:spLocks noChangeArrowheads="1"/>
        </xdr:cNvSpPr>
      </xdr:nvSpPr>
      <xdr:spPr bwMode="auto">
        <a:xfrm>
          <a:off x="8210550" y="3067050"/>
          <a:ext cx="628650" cy="1619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Click here: </a:t>
          </a:r>
        </a:p>
        <a:p>
          <a:pPr algn="l" rtl="0">
            <a:defRPr sz="1000"/>
          </a:pPr>
          <a:endParaRPr lang="en-US" sz="900" b="0" i="0" u="none" strike="noStrike" baseline="0">
            <a:solidFill>
              <a:srgbClr val="000000"/>
            </a:solidFill>
            <a:latin typeface="Arial"/>
            <a:cs typeface="Arial"/>
          </a:endParaRPr>
        </a:p>
      </xdr:txBody>
    </xdr:sp>
    <xdr:clientData/>
  </xdr:twoCellAnchor>
  <xdr:twoCellAnchor>
    <xdr:from>
      <xdr:col>10</xdr:col>
      <xdr:colOff>398145</xdr:colOff>
      <xdr:row>21</xdr:row>
      <xdr:rowOff>160020</xdr:rowOff>
    </xdr:from>
    <xdr:to>
      <xdr:col>12</xdr:col>
      <xdr:colOff>453429</xdr:colOff>
      <xdr:row>23</xdr:row>
      <xdr:rowOff>152499</xdr:rowOff>
    </xdr:to>
    <xdr:sp macro="" textlink="">
      <xdr:nvSpPr>
        <xdr:cNvPr id="33837" name="Text Box 45">
          <a:extLst>
            <a:ext uri="{FF2B5EF4-FFF2-40B4-BE49-F238E27FC236}">
              <a16:creationId xmlns:a16="http://schemas.microsoft.com/office/drawing/2014/main" id="{2B022DBF-7D67-8EB2-4FA0-1094CAFEC6A7}"/>
            </a:ext>
          </a:extLst>
        </xdr:cNvPr>
        <xdr:cNvSpPr txBox="1">
          <a:spLocks noChangeArrowheads="1"/>
        </xdr:cNvSpPr>
      </xdr:nvSpPr>
      <xdr:spPr bwMode="auto">
        <a:xfrm>
          <a:off x="8220075" y="3209925"/>
          <a:ext cx="1190625" cy="333375"/>
        </a:xfrm>
        <a:prstGeom prst="rect">
          <a:avLst/>
        </a:prstGeom>
        <a:noFill/>
        <a:ln w="9525">
          <a:noFill/>
          <a:miter lim="800000"/>
          <a:headEnd/>
          <a:tailEnd/>
        </a:ln>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for help using option buttons below</a:t>
          </a:r>
        </a:p>
      </xdr:txBody>
    </xdr:sp>
    <xdr:clientData/>
  </xdr:twoCellAnchor>
  <xdr:twoCellAnchor>
    <xdr:from>
      <xdr:col>1</xdr:col>
      <xdr:colOff>57150</xdr:colOff>
      <xdr:row>106</xdr:row>
      <xdr:rowOff>190500</xdr:rowOff>
    </xdr:from>
    <xdr:to>
      <xdr:col>13</xdr:col>
      <xdr:colOff>95250</xdr:colOff>
      <xdr:row>119</xdr:row>
      <xdr:rowOff>85725</xdr:rowOff>
    </xdr:to>
    <xdr:sp macro="" textlink="">
      <xdr:nvSpPr>
        <xdr:cNvPr id="51208" name="Rectangle 46">
          <a:extLst>
            <a:ext uri="{FF2B5EF4-FFF2-40B4-BE49-F238E27FC236}">
              <a16:creationId xmlns:a16="http://schemas.microsoft.com/office/drawing/2014/main" id="{08A3F388-30D0-1537-DA96-AA2F21703E30}"/>
            </a:ext>
          </a:extLst>
        </xdr:cNvPr>
        <xdr:cNvSpPr>
          <a:spLocks noChangeArrowheads="1"/>
        </xdr:cNvSpPr>
      </xdr:nvSpPr>
      <xdr:spPr bwMode="auto">
        <a:xfrm>
          <a:off x="104775" y="14135100"/>
          <a:ext cx="9667875" cy="2228850"/>
        </a:xfrm>
        <a:prstGeom prst="rect">
          <a:avLst/>
        </a:prstGeom>
        <a:noFill/>
        <a:ln w="15875" algn="ctr">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358140</xdr:colOff>
      <xdr:row>115</xdr:row>
      <xdr:rowOff>28575</xdr:rowOff>
    </xdr:from>
    <xdr:to>
      <xdr:col>11</xdr:col>
      <xdr:colOff>407676</xdr:colOff>
      <xdr:row>118</xdr:row>
      <xdr:rowOff>0</xdr:rowOff>
    </xdr:to>
    <xdr:sp macro="" textlink="">
      <xdr:nvSpPr>
        <xdr:cNvPr id="33839" name="AutoShape 47">
          <a:hlinkClick xmlns:r="http://schemas.openxmlformats.org/officeDocument/2006/relationships" r:id="rId23"/>
          <a:extLst>
            <a:ext uri="{FF2B5EF4-FFF2-40B4-BE49-F238E27FC236}">
              <a16:creationId xmlns:a16="http://schemas.microsoft.com/office/drawing/2014/main" id="{FCFD5F8D-41C5-CBFC-FE40-9C289A30F5AB}"/>
            </a:ext>
          </a:extLst>
        </xdr:cNvPr>
        <xdr:cNvSpPr>
          <a:spLocks noChangeArrowheads="1"/>
        </xdr:cNvSpPr>
      </xdr:nvSpPr>
      <xdr:spPr bwMode="auto">
        <a:xfrm>
          <a:off x="4381500" y="15792450"/>
          <a:ext cx="4448175" cy="2952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For more information, click here to see the Grading Matrix worksheet</a:t>
          </a:r>
        </a:p>
      </xdr:txBody>
    </xdr:sp>
    <xdr:clientData/>
  </xdr:twoCellAnchor>
  <xdr:twoCellAnchor>
    <xdr:from>
      <xdr:col>10</xdr:col>
      <xdr:colOff>180975</xdr:colOff>
      <xdr:row>46</xdr:row>
      <xdr:rowOff>57150</xdr:rowOff>
    </xdr:from>
    <xdr:to>
      <xdr:col>10</xdr:col>
      <xdr:colOff>571500</xdr:colOff>
      <xdr:row>46</xdr:row>
      <xdr:rowOff>57150</xdr:rowOff>
    </xdr:to>
    <xdr:sp macro="" textlink="">
      <xdr:nvSpPr>
        <xdr:cNvPr id="51210" name="Line 51">
          <a:extLst>
            <a:ext uri="{FF2B5EF4-FFF2-40B4-BE49-F238E27FC236}">
              <a16:creationId xmlns:a16="http://schemas.microsoft.com/office/drawing/2014/main" id="{85262116-A3DE-FF33-6975-1CB045ECA4F5}"/>
            </a:ext>
          </a:extLst>
        </xdr:cNvPr>
        <xdr:cNvSpPr>
          <a:spLocks noChangeShapeType="1"/>
        </xdr:cNvSpPr>
      </xdr:nvSpPr>
      <xdr:spPr bwMode="auto">
        <a:xfrm>
          <a:off x="8001000" y="6210300"/>
          <a:ext cx="390525"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171450</xdr:colOff>
      <xdr:row>42</xdr:row>
      <xdr:rowOff>28575</xdr:rowOff>
    </xdr:from>
    <xdr:to>
      <xdr:col>10</xdr:col>
      <xdr:colOff>171450</xdr:colOff>
      <xdr:row>46</xdr:row>
      <xdr:rowOff>38100</xdr:rowOff>
    </xdr:to>
    <xdr:sp macro="" textlink="">
      <xdr:nvSpPr>
        <xdr:cNvPr id="51211" name="Line 52">
          <a:extLst>
            <a:ext uri="{FF2B5EF4-FFF2-40B4-BE49-F238E27FC236}">
              <a16:creationId xmlns:a16="http://schemas.microsoft.com/office/drawing/2014/main" id="{2DD0FB24-6E17-29EB-3C54-D89EC6DDC2D6}"/>
            </a:ext>
          </a:extLst>
        </xdr:cNvPr>
        <xdr:cNvSpPr>
          <a:spLocks noChangeShapeType="1"/>
        </xdr:cNvSpPr>
      </xdr:nvSpPr>
      <xdr:spPr bwMode="auto">
        <a:xfrm flipV="1">
          <a:off x="7991475" y="5781675"/>
          <a:ext cx="0" cy="40957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142875</xdr:colOff>
      <xdr:row>48</xdr:row>
      <xdr:rowOff>0</xdr:rowOff>
    </xdr:from>
    <xdr:to>
      <xdr:col>10</xdr:col>
      <xdr:colOff>369504</xdr:colOff>
      <xdr:row>48</xdr:row>
      <xdr:rowOff>125942</xdr:rowOff>
    </xdr:to>
    <xdr:sp macro="" textlink="">
      <xdr:nvSpPr>
        <xdr:cNvPr id="33845" name="Text Box 53">
          <a:hlinkClick xmlns:r="http://schemas.openxmlformats.org/officeDocument/2006/relationships" r:id="rId6"/>
          <a:extLst>
            <a:ext uri="{FF2B5EF4-FFF2-40B4-BE49-F238E27FC236}">
              <a16:creationId xmlns:a16="http://schemas.microsoft.com/office/drawing/2014/main" id="{79E7E9C4-4C7C-5C48-CFBC-2A3CFD375403}"/>
            </a:ext>
          </a:extLst>
        </xdr:cNvPr>
        <xdr:cNvSpPr txBox="1">
          <a:spLocks noChangeArrowheads="1"/>
        </xdr:cNvSpPr>
      </xdr:nvSpPr>
      <xdr:spPr bwMode="auto">
        <a:xfrm>
          <a:off x="7962900" y="6353175"/>
          <a:ext cx="219075"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1588770</xdr:colOff>
      <xdr:row>1</xdr:row>
      <xdr:rowOff>304800</xdr:rowOff>
    </xdr:from>
    <xdr:to>
      <xdr:col>6</xdr:col>
      <xdr:colOff>861041</xdr:colOff>
      <xdr:row>1</xdr:row>
      <xdr:rowOff>466725</xdr:rowOff>
    </xdr:to>
    <xdr:sp macro="" textlink="">
      <xdr:nvSpPr>
        <xdr:cNvPr id="33909" name="Text Box 54">
          <a:extLst>
            <a:ext uri="{FF2B5EF4-FFF2-40B4-BE49-F238E27FC236}">
              <a16:creationId xmlns:a16="http://schemas.microsoft.com/office/drawing/2014/main" id="{CDF94C37-3C61-50FC-2645-466BB4423527}"/>
            </a:ext>
          </a:extLst>
        </xdr:cNvPr>
        <xdr:cNvSpPr txBox="1">
          <a:spLocks noChangeArrowheads="1"/>
        </xdr:cNvSpPr>
      </xdr:nvSpPr>
      <xdr:spPr bwMode="auto">
        <a:xfrm>
          <a:off x="1762125" y="390525"/>
          <a:ext cx="383857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xdr:from>
      <xdr:col>3</xdr:col>
      <xdr:colOff>133350</xdr:colOff>
      <xdr:row>51</xdr:row>
      <xdr:rowOff>0</xdr:rowOff>
    </xdr:from>
    <xdr:to>
      <xdr:col>3</xdr:col>
      <xdr:colOff>358293</xdr:colOff>
      <xdr:row>51</xdr:row>
      <xdr:rowOff>142875</xdr:rowOff>
    </xdr:to>
    <xdr:sp macro="" textlink="">
      <xdr:nvSpPr>
        <xdr:cNvPr id="33847" name="Text Box 55">
          <a:hlinkClick xmlns:r="http://schemas.openxmlformats.org/officeDocument/2006/relationships" r:id="rId24"/>
          <a:extLst>
            <a:ext uri="{FF2B5EF4-FFF2-40B4-BE49-F238E27FC236}">
              <a16:creationId xmlns:a16="http://schemas.microsoft.com/office/drawing/2014/main" id="{AC14338B-E2C9-5F14-76C8-B635772A03B6}"/>
            </a:ext>
          </a:extLst>
        </xdr:cNvPr>
        <xdr:cNvSpPr txBox="1">
          <a:spLocks noChangeArrowheads="1"/>
        </xdr:cNvSpPr>
      </xdr:nvSpPr>
      <xdr:spPr bwMode="auto">
        <a:xfrm>
          <a:off x="4162425" y="67056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29</xdr:row>
      <xdr:rowOff>28575</xdr:rowOff>
    </xdr:from>
    <xdr:to>
      <xdr:col>3</xdr:col>
      <xdr:colOff>339106</xdr:colOff>
      <xdr:row>29</xdr:row>
      <xdr:rowOff>171450</xdr:rowOff>
    </xdr:to>
    <xdr:sp macro="" textlink="">
      <xdr:nvSpPr>
        <xdr:cNvPr id="33848" name="Text Box 56">
          <a:hlinkClick xmlns:r="http://schemas.openxmlformats.org/officeDocument/2006/relationships" r:id="rId25"/>
          <a:extLst>
            <a:ext uri="{FF2B5EF4-FFF2-40B4-BE49-F238E27FC236}">
              <a16:creationId xmlns:a16="http://schemas.microsoft.com/office/drawing/2014/main" id="{8E5145B9-AD52-3685-875E-3345725F5DCF}"/>
            </a:ext>
          </a:extLst>
        </xdr:cNvPr>
        <xdr:cNvSpPr txBox="1">
          <a:spLocks noChangeArrowheads="1"/>
        </xdr:cNvSpPr>
      </xdr:nvSpPr>
      <xdr:spPr bwMode="auto">
        <a:xfrm>
          <a:off x="4152900" y="42005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133350</xdr:colOff>
      <xdr:row>57</xdr:row>
      <xdr:rowOff>0</xdr:rowOff>
    </xdr:from>
    <xdr:to>
      <xdr:col>3</xdr:col>
      <xdr:colOff>358293</xdr:colOff>
      <xdr:row>57</xdr:row>
      <xdr:rowOff>142875</xdr:rowOff>
    </xdr:to>
    <xdr:sp macro="" textlink="">
      <xdr:nvSpPr>
        <xdr:cNvPr id="33849" name="Text Box 57">
          <a:hlinkClick xmlns:r="http://schemas.openxmlformats.org/officeDocument/2006/relationships" r:id="rId26"/>
          <a:extLst>
            <a:ext uri="{FF2B5EF4-FFF2-40B4-BE49-F238E27FC236}">
              <a16:creationId xmlns:a16="http://schemas.microsoft.com/office/drawing/2014/main" id="{F9AF3151-8F5F-5509-3AC2-E975FAD98E3D}"/>
            </a:ext>
          </a:extLst>
        </xdr:cNvPr>
        <xdr:cNvSpPr txBox="1">
          <a:spLocks noChangeArrowheads="1"/>
        </xdr:cNvSpPr>
      </xdr:nvSpPr>
      <xdr:spPr bwMode="auto">
        <a:xfrm>
          <a:off x="4162425" y="74485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46</xdr:row>
      <xdr:rowOff>38100</xdr:rowOff>
    </xdr:from>
    <xdr:to>
      <xdr:col>3</xdr:col>
      <xdr:colOff>339106</xdr:colOff>
      <xdr:row>47</xdr:row>
      <xdr:rowOff>9525</xdr:rowOff>
    </xdr:to>
    <xdr:sp macro="" textlink="">
      <xdr:nvSpPr>
        <xdr:cNvPr id="33850" name="Text Box 58">
          <a:hlinkClick xmlns:r="http://schemas.openxmlformats.org/officeDocument/2006/relationships" r:id="rId27"/>
          <a:extLst>
            <a:ext uri="{FF2B5EF4-FFF2-40B4-BE49-F238E27FC236}">
              <a16:creationId xmlns:a16="http://schemas.microsoft.com/office/drawing/2014/main" id="{3CE3B455-C644-795E-C967-431DE5230C1A}"/>
            </a:ext>
          </a:extLst>
        </xdr:cNvPr>
        <xdr:cNvSpPr txBox="1">
          <a:spLocks noChangeArrowheads="1"/>
        </xdr:cNvSpPr>
      </xdr:nvSpPr>
      <xdr:spPr bwMode="auto">
        <a:xfrm>
          <a:off x="4152900" y="61912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editAs="oneCell">
    <xdr:from>
      <xdr:col>8</xdr:col>
      <xdr:colOff>1219200</xdr:colOff>
      <xdr:row>1</xdr:row>
      <xdr:rowOff>295275</xdr:rowOff>
    </xdr:from>
    <xdr:to>
      <xdr:col>9</xdr:col>
      <xdr:colOff>396466</xdr:colOff>
      <xdr:row>1</xdr:row>
      <xdr:rowOff>447675</xdr:rowOff>
    </xdr:to>
    <xdr:sp macro="" textlink="">
      <xdr:nvSpPr>
        <xdr:cNvPr id="33869" name="Text Box 77">
          <a:extLst>
            <a:ext uri="{FF2B5EF4-FFF2-40B4-BE49-F238E27FC236}">
              <a16:creationId xmlns:a16="http://schemas.microsoft.com/office/drawing/2014/main" id="{FF70568B-8C22-79E0-1DEB-22068ACE086B}"/>
            </a:ext>
          </a:extLst>
        </xdr:cNvPr>
        <xdr:cNvSpPr txBox="1">
          <a:spLocks noChangeArrowheads="1"/>
        </xdr:cNvSpPr>
      </xdr:nvSpPr>
      <xdr:spPr bwMode="auto">
        <a:xfrm>
          <a:off x="7210425" y="381000"/>
          <a:ext cx="571500" cy="1524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v4.2</a:t>
          </a:r>
        </a:p>
      </xdr:txBody>
    </xdr:sp>
    <xdr:clientData/>
  </xdr:twoCellAnchor>
  <mc:AlternateContent xmlns:mc="http://schemas.openxmlformats.org/markup-compatibility/2006">
    <mc:Choice xmlns:a14="http://schemas.microsoft.com/office/drawing/2010/main" Requires="a14">
      <xdr:twoCellAnchor>
        <xdr:from>
          <xdr:col>10</xdr:col>
          <xdr:colOff>9525</xdr:colOff>
          <xdr:row>37</xdr:row>
          <xdr:rowOff>0</xdr:rowOff>
        </xdr:from>
        <xdr:to>
          <xdr:col>10</xdr:col>
          <xdr:colOff>590550</xdr:colOff>
          <xdr:row>38</xdr:row>
          <xdr:rowOff>0</xdr:rowOff>
        </xdr:to>
        <xdr:grpSp>
          <xdr:nvGrpSpPr>
            <xdr:cNvPr id="51219" name="Group 26">
              <a:extLst>
                <a:ext uri="{FF2B5EF4-FFF2-40B4-BE49-F238E27FC236}">
                  <a16:creationId xmlns:a16="http://schemas.microsoft.com/office/drawing/2014/main" id="{AD45AC55-9F89-9859-FC56-90BE70F71C51}"/>
                </a:ext>
              </a:extLst>
            </xdr:cNvPr>
            <xdr:cNvGrpSpPr>
              <a:grpSpLocks/>
            </xdr:cNvGrpSpPr>
          </xdr:nvGrpSpPr>
          <xdr:grpSpPr bwMode="auto">
            <a:xfrm>
              <a:off x="7829550" y="5124450"/>
              <a:ext cx="581025" cy="190500"/>
              <a:chOff x="1005" y="345"/>
              <a:chExt cx="64" cy="29"/>
            </a:xfrm>
          </xdr:grpSpPr>
          <xdr:sp macro="" textlink="">
            <xdr:nvSpPr>
              <xdr:cNvPr id="33819" name="Group Box 27" hidden="1">
                <a:extLst>
                  <a:ext uri="{63B3BB69-23CF-44E3-9099-C40C66FF867C}">
                    <a14:compatExt spid="_x0000_s33819"/>
                  </a:ext>
                  <a:ext uri="{FF2B5EF4-FFF2-40B4-BE49-F238E27FC236}">
                    <a16:creationId xmlns:a16="http://schemas.microsoft.com/office/drawing/2014/main" id="{AD8D5582-76CC-B336-E5EB-40DE2F160C6C}"/>
                  </a:ext>
                </a:extLst>
              </xdr:cNvPr>
              <xdr:cNvSpPr/>
            </xdr:nvSpPr>
            <xdr:spPr bwMode="auto">
              <a:xfrm>
                <a:off x="1005" y="345"/>
                <a:ext cx="64"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33820" name="Option Button 28" hidden="1">
                <a:extLst>
                  <a:ext uri="{63B3BB69-23CF-44E3-9099-C40C66FF867C}">
                    <a14:compatExt spid="_x0000_s33820"/>
                  </a:ext>
                  <a:ext uri="{FF2B5EF4-FFF2-40B4-BE49-F238E27FC236}">
                    <a16:creationId xmlns:a16="http://schemas.microsoft.com/office/drawing/2014/main" id="{C1FC4DBB-C5FE-36B5-3BF9-CFB3F8BC8631}"/>
                  </a:ext>
                </a:extLst>
              </xdr:cNvPr>
              <xdr:cNvSpPr/>
            </xdr:nvSpPr>
            <xdr:spPr bwMode="auto">
              <a:xfrm>
                <a:off x="1010" y="349"/>
                <a:ext cx="32"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sp macro="" textlink="">
            <xdr:nvSpPr>
              <xdr:cNvPr id="33821" name="Option Button 29" hidden="1">
                <a:extLst>
                  <a:ext uri="{63B3BB69-23CF-44E3-9099-C40C66FF867C}">
                    <a14:compatExt spid="_x0000_s33821"/>
                  </a:ext>
                  <a:ext uri="{FF2B5EF4-FFF2-40B4-BE49-F238E27FC236}">
                    <a16:creationId xmlns:a16="http://schemas.microsoft.com/office/drawing/2014/main" id="{227AA950-3124-FE15-4807-784E3EEB8E8C}"/>
                  </a:ext>
                </a:extLst>
              </xdr:cNvPr>
              <xdr:cNvSpPr/>
            </xdr:nvSpPr>
            <xdr:spPr bwMode="auto">
              <a:xfrm>
                <a:off x="1037" y="349"/>
                <a:ext cx="32"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10</xdr:col>
          <xdr:colOff>9525</xdr:colOff>
          <xdr:row>41</xdr:row>
          <xdr:rowOff>0</xdr:rowOff>
        </xdr:from>
        <xdr:to>
          <xdr:col>10</xdr:col>
          <xdr:colOff>590550</xdr:colOff>
          <xdr:row>42</xdr:row>
          <xdr:rowOff>0</xdr:rowOff>
        </xdr:to>
        <xdr:grpSp>
          <xdr:nvGrpSpPr>
            <xdr:cNvPr id="51220" name="Group 30">
              <a:extLst>
                <a:ext uri="{FF2B5EF4-FFF2-40B4-BE49-F238E27FC236}">
                  <a16:creationId xmlns:a16="http://schemas.microsoft.com/office/drawing/2014/main" id="{5C6AC3D4-3DF4-6F35-997F-6236B3D74858}"/>
                </a:ext>
              </a:extLst>
            </xdr:cNvPr>
            <xdr:cNvGrpSpPr>
              <a:grpSpLocks/>
            </xdr:cNvGrpSpPr>
          </xdr:nvGrpSpPr>
          <xdr:grpSpPr bwMode="auto">
            <a:xfrm>
              <a:off x="7829550" y="5562600"/>
              <a:ext cx="581025" cy="190500"/>
              <a:chOff x="762" y="543"/>
              <a:chExt cx="61" cy="29"/>
            </a:xfrm>
          </xdr:grpSpPr>
          <xdr:sp macro="" textlink="">
            <xdr:nvSpPr>
              <xdr:cNvPr id="33823" name="Group Box 31" hidden="1">
                <a:extLst>
                  <a:ext uri="{63B3BB69-23CF-44E3-9099-C40C66FF867C}">
                    <a14:compatExt spid="_x0000_s33823"/>
                  </a:ext>
                  <a:ext uri="{FF2B5EF4-FFF2-40B4-BE49-F238E27FC236}">
                    <a16:creationId xmlns:a16="http://schemas.microsoft.com/office/drawing/2014/main" id="{21434C42-DF41-6D1E-5A8F-3CEBE8CDF00A}"/>
                  </a:ext>
                </a:extLst>
              </xdr:cNvPr>
              <xdr:cNvSpPr/>
            </xdr:nvSpPr>
            <xdr:spPr bwMode="auto">
              <a:xfrm>
                <a:off x="762" y="543"/>
                <a:ext cx="61"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33824" name="Option Button 32" hidden="1">
                <a:extLst>
                  <a:ext uri="{63B3BB69-23CF-44E3-9099-C40C66FF867C}">
                    <a14:compatExt spid="_x0000_s33824"/>
                  </a:ext>
                  <a:ext uri="{FF2B5EF4-FFF2-40B4-BE49-F238E27FC236}">
                    <a16:creationId xmlns:a16="http://schemas.microsoft.com/office/drawing/2014/main" id="{AE9926AB-F7D4-E0E5-6C48-AEBE4FC0D6E7}"/>
                  </a:ext>
                </a:extLst>
              </xdr:cNvPr>
              <xdr:cNvSpPr/>
            </xdr:nvSpPr>
            <xdr:spPr bwMode="auto">
              <a:xfrm>
                <a:off x="767" y="547"/>
                <a:ext cx="30"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sp macro="" textlink="">
            <xdr:nvSpPr>
              <xdr:cNvPr id="33825" name="Option Button 33" hidden="1">
                <a:extLst>
                  <a:ext uri="{63B3BB69-23CF-44E3-9099-C40C66FF867C}">
                    <a14:compatExt spid="_x0000_s33825"/>
                  </a:ext>
                  <a:ext uri="{FF2B5EF4-FFF2-40B4-BE49-F238E27FC236}">
                    <a16:creationId xmlns:a16="http://schemas.microsoft.com/office/drawing/2014/main" id="{63B84BFD-2486-D4B9-F713-1557225D0FD0}"/>
                  </a:ext>
                </a:extLst>
              </xdr:cNvPr>
              <xdr:cNvSpPr/>
            </xdr:nvSpPr>
            <xdr:spPr bwMode="auto">
              <a:xfrm>
                <a:off x="793" y="547"/>
                <a:ext cx="30"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10</xdr:col>
          <xdr:colOff>9525</xdr:colOff>
          <xdr:row>25</xdr:row>
          <xdr:rowOff>0</xdr:rowOff>
        </xdr:from>
        <xdr:to>
          <xdr:col>10</xdr:col>
          <xdr:colOff>590550</xdr:colOff>
          <xdr:row>26</xdr:row>
          <xdr:rowOff>0</xdr:rowOff>
        </xdr:to>
        <xdr:grpSp>
          <xdr:nvGrpSpPr>
            <xdr:cNvPr id="51221" name="Group 34">
              <a:extLst>
                <a:ext uri="{FF2B5EF4-FFF2-40B4-BE49-F238E27FC236}">
                  <a16:creationId xmlns:a16="http://schemas.microsoft.com/office/drawing/2014/main" id="{543322FB-FE68-8D20-F342-E6DFA4724901}"/>
                </a:ext>
              </a:extLst>
            </xdr:cNvPr>
            <xdr:cNvGrpSpPr>
              <a:grpSpLocks/>
            </xdr:cNvGrpSpPr>
          </xdr:nvGrpSpPr>
          <xdr:grpSpPr bwMode="auto">
            <a:xfrm>
              <a:off x="7829550" y="3733800"/>
              <a:ext cx="581025" cy="190500"/>
              <a:chOff x="758" y="403"/>
              <a:chExt cx="61" cy="29"/>
            </a:xfrm>
          </xdr:grpSpPr>
          <xdr:sp macro="" textlink="">
            <xdr:nvSpPr>
              <xdr:cNvPr id="33827" name="Group Box 35" hidden="1">
                <a:extLst>
                  <a:ext uri="{63B3BB69-23CF-44E3-9099-C40C66FF867C}">
                    <a14:compatExt spid="_x0000_s33827"/>
                  </a:ext>
                  <a:ext uri="{FF2B5EF4-FFF2-40B4-BE49-F238E27FC236}">
                    <a16:creationId xmlns:a16="http://schemas.microsoft.com/office/drawing/2014/main" id="{BCD55114-9F33-11DF-72EA-CCD7997FB78D}"/>
                  </a:ext>
                </a:extLst>
              </xdr:cNvPr>
              <xdr:cNvSpPr/>
            </xdr:nvSpPr>
            <xdr:spPr bwMode="auto">
              <a:xfrm>
                <a:off x="758" y="403"/>
                <a:ext cx="61"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33828" name="Option Button 36" hidden="1">
                <a:extLst>
                  <a:ext uri="{63B3BB69-23CF-44E3-9099-C40C66FF867C}">
                    <a14:compatExt spid="_x0000_s33828"/>
                  </a:ext>
                  <a:ext uri="{FF2B5EF4-FFF2-40B4-BE49-F238E27FC236}">
                    <a16:creationId xmlns:a16="http://schemas.microsoft.com/office/drawing/2014/main" id="{901C995E-C1F8-9E1E-71E9-0AB19ABCBC0E}"/>
                  </a:ext>
                </a:extLst>
              </xdr:cNvPr>
              <xdr:cNvSpPr/>
            </xdr:nvSpPr>
            <xdr:spPr bwMode="auto">
              <a:xfrm>
                <a:off x="763" y="407"/>
                <a:ext cx="30" cy="23"/>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sp macro="" textlink="">
            <xdr:nvSpPr>
              <xdr:cNvPr id="33829" name="Option Button 37" hidden="1">
                <a:extLst>
                  <a:ext uri="{63B3BB69-23CF-44E3-9099-C40C66FF867C}">
                    <a14:compatExt spid="_x0000_s33829"/>
                  </a:ext>
                  <a:ext uri="{FF2B5EF4-FFF2-40B4-BE49-F238E27FC236}">
                    <a16:creationId xmlns:a16="http://schemas.microsoft.com/office/drawing/2014/main" id="{7061D445-4B20-B235-4A0E-3F10F818D484}"/>
                  </a:ext>
                </a:extLst>
              </xdr:cNvPr>
              <xdr:cNvSpPr/>
            </xdr:nvSpPr>
            <xdr:spPr bwMode="auto">
              <a:xfrm>
                <a:off x="789" y="407"/>
                <a:ext cx="30" cy="23"/>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xdr:wsDr>
</file>

<file path=xl/drawings/drawing11.xml><?xml version="1.0" encoding="utf-8"?>
<xdr:wsDr xmlns:xdr="http://schemas.openxmlformats.org/drawingml/2006/spreadsheetDrawing" xmlns:a="http://schemas.openxmlformats.org/drawingml/2006/main">
  <xdr:twoCellAnchor>
    <xdr:from>
      <xdr:col>15</xdr:col>
      <xdr:colOff>104775</xdr:colOff>
      <xdr:row>1</xdr:row>
      <xdr:rowOff>114300</xdr:rowOff>
    </xdr:from>
    <xdr:to>
      <xdr:col>18</xdr:col>
      <xdr:colOff>19050</xdr:colOff>
      <xdr:row>1</xdr:row>
      <xdr:rowOff>371475</xdr:rowOff>
    </xdr:to>
    <xdr:sp macro="" textlink="">
      <xdr:nvSpPr>
        <xdr:cNvPr id="29697" name="AutoShape 1">
          <a:hlinkClick xmlns:r="http://schemas.openxmlformats.org/officeDocument/2006/relationships" r:id="rId1"/>
          <a:extLst>
            <a:ext uri="{FF2B5EF4-FFF2-40B4-BE49-F238E27FC236}">
              <a16:creationId xmlns:a16="http://schemas.microsoft.com/office/drawing/2014/main" id="{7716C2F4-3A7E-3B01-1E4B-A1A9DED20950}"/>
            </a:ext>
          </a:extLst>
        </xdr:cNvPr>
        <xdr:cNvSpPr>
          <a:spLocks noChangeArrowheads="1"/>
        </xdr:cNvSpPr>
      </xdr:nvSpPr>
      <xdr:spPr bwMode="auto">
        <a:xfrm>
          <a:off x="7991475" y="219075"/>
          <a:ext cx="1543050" cy="2571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900" b="1" i="0" u="sng" strike="noStrike" baseline="0">
              <a:solidFill>
                <a:srgbClr val="FFFFFF"/>
              </a:solidFill>
              <a:latin typeface="Arial"/>
              <a:cs typeface="Arial"/>
            </a:rPr>
            <a:t>Back to Instructions</a:t>
          </a:r>
        </a:p>
      </xdr:txBody>
    </xdr:sp>
    <xdr:clientData/>
  </xdr:twoCellAnchor>
  <xdr:twoCellAnchor>
    <xdr:from>
      <xdr:col>4</xdr:col>
      <xdr:colOff>133350</xdr:colOff>
      <xdr:row>1</xdr:row>
      <xdr:rowOff>285750</xdr:rowOff>
    </xdr:from>
    <xdr:to>
      <xdr:col>11</xdr:col>
      <xdr:colOff>95250</xdr:colOff>
      <xdr:row>1</xdr:row>
      <xdr:rowOff>447675</xdr:rowOff>
    </xdr:to>
    <xdr:sp macro="" textlink="">
      <xdr:nvSpPr>
        <xdr:cNvPr id="29701" name="Text Box 2">
          <a:extLst>
            <a:ext uri="{FF2B5EF4-FFF2-40B4-BE49-F238E27FC236}">
              <a16:creationId xmlns:a16="http://schemas.microsoft.com/office/drawing/2014/main" id="{D4C9415C-4EC3-F8AD-9195-03B30751E15C}"/>
            </a:ext>
          </a:extLst>
        </xdr:cNvPr>
        <xdr:cNvSpPr txBox="1">
          <a:spLocks noChangeArrowheads="1"/>
        </xdr:cNvSpPr>
      </xdr:nvSpPr>
      <xdr:spPr bwMode="auto">
        <a:xfrm>
          <a:off x="2152650" y="390525"/>
          <a:ext cx="36957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editAs="oneCell">
    <xdr:from>
      <xdr:col>13</xdr:col>
      <xdr:colOff>434340</xdr:colOff>
      <xdr:row>1</xdr:row>
      <xdr:rowOff>295275</xdr:rowOff>
    </xdr:from>
    <xdr:to>
      <xdr:col>14</xdr:col>
      <xdr:colOff>482116</xdr:colOff>
      <xdr:row>1</xdr:row>
      <xdr:rowOff>447675</xdr:rowOff>
    </xdr:to>
    <xdr:sp macro="" textlink="">
      <xdr:nvSpPr>
        <xdr:cNvPr id="29699" name="Text Box 3">
          <a:extLst>
            <a:ext uri="{FF2B5EF4-FFF2-40B4-BE49-F238E27FC236}">
              <a16:creationId xmlns:a16="http://schemas.microsoft.com/office/drawing/2014/main" id="{962298CF-693E-7F81-6562-5C877A959AB9}"/>
            </a:ext>
          </a:extLst>
        </xdr:cNvPr>
        <xdr:cNvSpPr txBox="1">
          <a:spLocks noChangeArrowheads="1"/>
        </xdr:cNvSpPr>
      </xdr:nvSpPr>
      <xdr:spPr bwMode="auto">
        <a:xfrm>
          <a:off x="7248525" y="400050"/>
          <a:ext cx="590550" cy="1524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v4.2</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3366FF"/>
        </a:solidFill>
        <a:ln w="12700"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3366FF"/>
        </a:solidFill>
        <a:ln w="12700"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wlc@awwa.org" TargetMode="Externa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8" Type="http://schemas.openxmlformats.org/officeDocument/2006/relationships/ctrlProp" Target="../ctrlProps/ctrlProp14.xml"/><Relationship Id="rId13" Type="http://schemas.openxmlformats.org/officeDocument/2006/relationships/comments" Target="../comments4.xml"/><Relationship Id="rId3" Type="http://schemas.openxmlformats.org/officeDocument/2006/relationships/vmlDrawing" Target="../drawings/vmlDrawing4.vml"/><Relationship Id="rId7" Type="http://schemas.openxmlformats.org/officeDocument/2006/relationships/ctrlProp" Target="../ctrlProps/ctrlProp13.xml"/><Relationship Id="rId12" Type="http://schemas.openxmlformats.org/officeDocument/2006/relationships/ctrlProp" Target="../ctrlProps/ctrlProp18.xml"/><Relationship Id="rId2" Type="http://schemas.openxmlformats.org/officeDocument/2006/relationships/drawing" Target="../drawings/drawing9.xml"/><Relationship Id="rId1" Type="http://schemas.openxmlformats.org/officeDocument/2006/relationships/printerSettings" Target="../printerSettings/printerSettings9.bin"/><Relationship Id="rId6" Type="http://schemas.openxmlformats.org/officeDocument/2006/relationships/ctrlProp" Target="../ctrlProps/ctrlProp12.xml"/><Relationship Id="rId11" Type="http://schemas.openxmlformats.org/officeDocument/2006/relationships/ctrlProp" Target="../ctrlProps/ctrlProp17.xml"/><Relationship Id="rId5" Type="http://schemas.openxmlformats.org/officeDocument/2006/relationships/ctrlProp" Target="../ctrlProps/ctrlProp11.xml"/><Relationship Id="rId10" Type="http://schemas.openxmlformats.org/officeDocument/2006/relationships/ctrlProp" Target="../ctrlProps/ctrlProp16.xml"/><Relationship Id="rId4" Type="http://schemas.openxmlformats.org/officeDocument/2006/relationships/ctrlProp" Target="../ctrlProps/ctrlProp10.xml"/><Relationship Id="rId9" Type="http://schemas.openxmlformats.org/officeDocument/2006/relationships/ctrlProp" Target="../ctrlProps/ctrlProp15.xml"/></Relationships>
</file>

<file path=xl/worksheets/_rels/sheet13.xml.rels><?xml version="1.0" encoding="UTF-8" standalone="yes"?>
<Relationships xmlns="http://schemas.openxmlformats.org/package/2006/relationships"><Relationship Id="rId8" Type="http://schemas.openxmlformats.org/officeDocument/2006/relationships/ctrlProp" Target="../ctrlProps/ctrlProp23.xml"/><Relationship Id="rId13" Type="http://schemas.openxmlformats.org/officeDocument/2006/relationships/comments" Target="../comments5.xml"/><Relationship Id="rId3" Type="http://schemas.openxmlformats.org/officeDocument/2006/relationships/vmlDrawing" Target="../drawings/vmlDrawing5.vml"/><Relationship Id="rId7" Type="http://schemas.openxmlformats.org/officeDocument/2006/relationships/ctrlProp" Target="../ctrlProps/ctrlProp22.xml"/><Relationship Id="rId12" Type="http://schemas.openxmlformats.org/officeDocument/2006/relationships/ctrlProp" Target="../ctrlProps/ctrlProp27.xml"/><Relationship Id="rId2" Type="http://schemas.openxmlformats.org/officeDocument/2006/relationships/drawing" Target="../drawings/drawing10.xml"/><Relationship Id="rId1" Type="http://schemas.openxmlformats.org/officeDocument/2006/relationships/printerSettings" Target="../printerSettings/printerSettings10.bin"/><Relationship Id="rId6" Type="http://schemas.openxmlformats.org/officeDocument/2006/relationships/ctrlProp" Target="../ctrlProps/ctrlProp21.xml"/><Relationship Id="rId11" Type="http://schemas.openxmlformats.org/officeDocument/2006/relationships/ctrlProp" Target="../ctrlProps/ctrlProp26.xml"/><Relationship Id="rId5" Type="http://schemas.openxmlformats.org/officeDocument/2006/relationships/ctrlProp" Target="../ctrlProps/ctrlProp20.xml"/><Relationship Id="rId10" Type="http://schemas.openxmlformats.org/officeDocument/2006/relationships/ctrlProp" Target="../ctrlProps/ctrlProp25.xml"/><Relationship Id="rId4" Type="http://schemas.openxmlformats.org/officeDocument/2006/relationships/ctrlProp" Target="../ctrlProps/ctrlProp19.xml"/><Relationship Id="rId9" Type="http://schemas.openxmlformats.org/officeDocument/2006/relationships/ctrlProp" Target="../ctrlProps/ctrlProp24.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09DC4-F216-450B-808C-FFFB6D41936D}">
  <sheetPr codeName="Sheet1"/>
  <dimension ref="IU65534"/>
  <sheetViews>
    <sheetView topLeftCell="ID65493" workbookViewId="0">
      <selection activeCell="IU65534" sqref="IU65534"/>
    </sheetView>
  </sheetViews>
  <sheetFormatPr defaultRowHeight="12.75" x14ac:dyDescent="0.2"/>
  <cols>
    <col min="255" max="255" width="10.28515625" bestFit="1" customWidth="1"/>
  </cols>
  <sheetData>
    <row r="65534" spans="255:255" x14ac:dyDescent="0.2">
      <c r="IU65534" t="s">
        <v>7</v>
      </c>
    </row>
  </sheetData>
  <sheetProtection password="E218" sheet="1" objects="1" scenarios="1"/>
  <phoneticPr fontId="59"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B296D-653B-403E-AFE6-05CE72A81F79}">
  <sheetPr codeName="Sheet2"/>
  <dimension ref="A1"/>
  <sheetViews>
    <sheetView workbookViewId="0"/>
  </sheetViews>
  <sheetFormatPr defaultRowHeight="12.75" x14ac:dyDescent="0.2"/>
  <sheetData/>
  <sheetProtection password="E218" sheet="1" objects="1" scenarios="1"/>
  <phoneticPr fontId="59"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2A9F5-4CA4-43CB-8987-5F404BB74ACF}">
  <sheetPr codeName="Sheet3"/>
  <dimension ref="A1"/>
  <sheetViews>
    <sheetView workbookViewId="0"/>
  </sheetViews>
  <sheetFormatPr defaultRowHeight="12.75" x14ac:dyDescent="0.2"/>
  <sheetData/>
  <sheetProtection password="E218" sheet="1" objects="1" scenarios="1"/>
  <phoneticPr fontId="59"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E785A-1F7B-4E3A-B2CB-7499FB495FA8}">
  <sheetPr codeName="Sheet4">
    <tabColor indexed="48"/>
    <pageSetUpPr fitToPage="1"/>
  </sheetPr>
  <dimension ref="A1:IT52"/>
  <sheetViews>
    <sheetView showRowColHeaders="0" tabSelected="1" workbookViewId="0">
      <selection activeCell="D41" sqref="D41:N44"/>
    </sheetView>
  </sheetViews>
  <sheetFormatPr defaultColWidth="0" defaultRowHeight="13.5" zeroHeight="1" x14ac:dyDescent="0.25"/>
  <cols>
    <col min="1" max="1" width="1.7109375" style="162" customWidth="1"/>
    <col min="2" max="2" width="0.42578125" style="162" customWidth="1"/>
    <col min="3" max="3" width="28.140625" style="162" customWidth="1"/>
    <col min="4" max="4" width="8.28515625" style="162" customWidth="1"/>
    <col min="5" max="5" width="16.7109375" style="162" customWidth="1"/>
    <col min="6" max="6" width="11.7109375" style="162" customWidth="1"/>
    <col min="7" max="7" width="11.42578125" style="162" customWidth="1"/>
    <col min="8" max="8" width="2.85546875" style="162" customWidth="1"/>
    <col min="9" max="9" width="10.140625" style="162" customWidth="1"/>
    <col min="10" max="10" width="13.28515625" style="162" customWidth="1"/>
    <col min="11" max="11" width="11.42578125" style="162" customWidth="1"/>
    <col min="12" max="12" width="7.140625" style="162" customWidth="1"/>
    <col min="13" max="13" width="7.85546875" style="162" customWidth="1"/>
    <col min="14" max="14" width="12.140625" style="162" customWidth="1"/>
    <col min="15" max="15" width="1.7109375" style="162" customWidth="1"/>
    <col min="16" max="16" width="1.42578125" style="162" customWidth="1"/>
    <col min="17" max="254" width="9.140625" style="162" hidden="1" customWidth="1"/>
    <col min="255" max="16384" width="0" style="162" hidden="1"/>
  </cols>
  <sheetData>
    <row r="1" spans="1:16" s="104" customFormat="1" ht="8.25" customHeight="1" thickBot="1" x14ac:dyDescent="0.3">
      <c r="A1" s="478">
        <v>4.2</v>
      </c>
      <c r="B1" s="133"/>
      <c r="C1" s="133"/>
      <c r="D1" s="133"/>
      <c r="E1" s="133"/>
      <c r="F1" s="133"/>
      <c r="G1" s="133"/>
      <c r="H1" s="133"/>
      <c r="I1" s="133"/>
      <c r="J1" s="133"/>
      <c r="K1" s="133"/>
      <c r="L1" s="133"/>
      <c r="M1" s="133"/>
      <c r="N1" s="133"/>
      <c r="O1" s="133"/>
      <c r="P1" s="133"/>
    </row>
    <row r="2" spans="1:16" s="135" customFormat="1" ht="40.5" customHeight="1" thickTop="1" thickBot="1" x14ac:dyDescent="0.25">
      <c r="A2" s="134"/>
      <c r="B2" s="499" t="s">
        <v>85</v>
      </c>
      <c r="C2" s="500"/>
      <c r="D2" s="500"/>
      <c r="E2" s="500"/>
      <c r="F2" s="500"/>
      <c r="G2" s="500"/>
      <c r="H2" s="500"/>
      <c r="I2" s="500"/>
      <c r="J2" s="500"/>
      <c r="K2" s="500"/>
      <c r="L2" s="500"/>
      <c r="M2" s="500"/>
      <c r="N2" s="500"/>
      <c r="O2" s="501"/>
      <c r="P2" s="134"/>
    </row>
    <row r="3" spans="1:16" s="104" customFormat="1" ht="5.25" customHeight="1" thickTop="1" x14ac:dyDescent="0.25">
      <c r="A3" s="133"/>
      <c r="B3" s="136"/>
      <c r="C3" s="4"/>
      <c r="D3" s="4"/>
      <c r="E3" s="4"/>
      <c r="F3" s="4"/>
      <c r="G3" s="4"/>
      <c r="H3" s="4"/>
      <c r="I3" s="4"/>
      <c r="J3" s="4"/>
      <c r="K3" s="4"/>
      <c r="L3" s="4"/>
      <c r="M3" s="4"/>
      <c r="N3" s="4"/>
      <c r="O3" s="137"/>
      <c r="P3" s="133"/>
    </row>
    <row r="4" spans="1:16" s="104" customFormat="1" x14ac:dyDescent="0.25">
      <c r="A4" s="133"/>
      <c r="B4" s="138"/>
      <c r="C4" s="505" t="s">
        <v>414</v>
      </c>
      <c r="D4" s="506"/>
      <c r="E4" s="506"/>
      <c r="F4" s="506"/>
      <c r="G4" s="506"/>
      <c r="H4" s="506"/>
      <c r="I4" s="506"/>
      <c r="J4" s="506"/>
      <c r="K4" s="506"/>
      <c r="L4" s="506"/>
      <c r="M4" s="506"/>
      <c r="N4" s="504"/>
      <c r="O4" s="139"/>
      <c r="P4" s="133"/>
    </row>
    <row r="5" spans="1:16" s="104" customFormat="1" ht="24.75" customHeight="1" x14ac:dyDescent="0.25">
      <c r="A5" s="133"/>
      <c r="B5" s="140"/>
      <c r="C5" s="506"/>
      <c r="D5" s="506"/>
      <c r="E5" s="506"/>
      <c r="F5" s="506"/>
      <c r="G5" s="506"/>
      <c r="H5" s="506"/>
      <c r="I5" s="506"/>
      <c r="J5" s="506"/>
      <c r="K5" s="506"/>
      <c r="L5" s="506"/>
      <c r="M5" s="506"/>
      <c r="N5" s="504"/>
      <c r="O5" s="139"/>
      <c r="P5" s="133"/>
    </row>
    <row r="6" spans="1:16" s="104" customFormat="1" ht="3" customHeight="1" x14ac:dyDescent="0.25">
      <c r="A6" s="133"/>
      <c r="B6" s="136"/>
      <c r="C6" s="4"/>
      <c r="D6" s="4"/>
      <c r="E6" s="4"/>
      <c r="F6" s="4"/>
      <c r="G6" s="4"/>
      <c r="H6" s="4"/>
      <c r="I6" s="4"/>
      <c r="J6" s="4"/>
      <c r="K6" s="4"/>
      <c r="L6" s="4"/>
      <c r="M6" s="4"/>
      <c r="N6" s="4"/>
      <c r="O6" s="137"/>
      <c r="P6" s="133"/>
    </row>
    <row r="7" spans="1:16" s="104" customFormat="1" ht="7.5" customHeight="1" x14ac:dyDescent="0.25">
      <c r="A7" s="133"/>
      <c r="B7" s="138"/>
      <c r="C7" s="502" t="s">
        <v>578</v>
      </c>
      <c r="D7" s="503"/>
      <c r="E7" s="503"/>
      <c r="F7" s="503"/>
      <c r="G7" s="503"/>
      <c r="H7" s="503"/>
      <c r="I7" s="503"/>
      <c r="J7" s="503"/>
      <c r="K7" s="503"/>
      <c r="L7" s="503"/>
      <c r="M7" s="503"/>
      <c r="N7" s="504"/>
      <c r="O7" s="141"/>
      <c r="P7" s="133"/>
    </row>
    <row r="8" spans="1:16" s="104" customFormat="1" ht="22.5" customHeight="1" x14ac:dyDescent="0.25">
      <c r="A8" s="133"/>
      <c r="B8" s="142"/>
      <c r="C8" s="503"/>
      <c r="D8" s="503"/>
      <c r="E8" s="503"/>
      <c r="F8" s="503"/>
      <c r="G8" s="503"/>
      <c r="H8" s="503"/>
      <c r="I8" s="503"/>
      <c r="J8" s="503"/>
      <c r="K8" s="503"/>
      <c r="L8" s="503"/>
      <c r="M8" s="503"/>
      <c r="N8" s="504"/>
      <c r="O8" s="141"/>
      <c r="P8" s="133"/>
    </row>
    <row r="9" spans="1:16" s="104" customFormat="1" ht="6" customHeight="1" x14ac:dyDescent="0.25">
      <c r="A9" s="133"/>
      <c r="B9" s="136"/>
      <c r="C9" s="4"/>
      <c r="D9" s="4"/>
      <c r="E9" s="4"/>
      <c r="F9" s="4"/>
      <c r="G9" s="4"/>
      <c r="H9" s="4"/>
      <c r="I9" s="4"/>
      <c r="J9" s="4"/>
      <c r="K9" s="4"/>
      <c r="L9" s="4"/>
      <c r="M9" s="4"/>
      <c r="N9" s="4"/>
      <c r="O9" s="137"/>
      <c r="P9" s="133"/>
    </row>
    <row r="10" spans="1:16" s="104" customFormat="1" x14ac:dyDescent="0.25">
      <c r="A10" s="133"/>
      <c r="B10" s="136"/>
      <c r="C10" s="143" t="s">
        <v>562</v>
      </c>
      <c r="D10" s="4"/>
      <c r="E10" s="4"/>
      <c r="F10" s="144"/>
      <c r="G10" s="4" t="s">
        <v>415</v>
      </c>
      <c r="H10" s="4"/>
      <c r="I10" s="4"/>
      <c r="J10" s="4"/>
      <c r="K10" s="4"/>
      <c r="L10" s="4"/>
      <c r="M10" s="4"/>
      <c r="N10" s="4"/>
      <c r="O10" s="137"/>
      <c r="P10" s="133"/>
    </row>
    <row r="11" spans="1:16" s="104" customFormat="1" ht="3" customHeight="1" x14ac:dyDescent="0.25">
      <c r="A11" s="133"/>
      <c r="B11" s="136"/>
      <c r="C11" s="145"/>
      <c r="D11" s="4"/>
      <c r="E11" s="4"/>
      <c r="F11" s="146"/>
      <c r="G11" s="4"/>
      <c r="H11" s="4"/>
      <c r="I11" s="4"/>
      <c r="J11" s="4"/>
      <c r="K11" s="4"/>
      <c r="L11" s="4"/>
      <c r="M11" s="4"/>
      <c r="N11" s="4"/>
      <c r="O11" s="137"/>
      <c r="P11" s="133"/>
    </row>
    <row r="12" spans="1:16" s="104" customFormat="1" x14ac:dyDescent="0.25">
      <c r="A12" s="133"/>
      <c r="B12" s="136"/>
      <c r="C12" s="4"/>
      <c r="D12" s="4"/>
      <c r="E12" s="4"/>
      <c r="F12" s="147"/>
      <c r="G12" s="4" t="s">
        <v>401</v>
      </c>
      <c r="H12" s="4"/>
      <c r="I12" s="4"/>
      <c r="J12" s="4"/>
      <c r="K12" s="4"/>
      <c r="L12" s="4"/>
      <c r="M12" s="4"/>
      <c r="N12" s="4"/>
      <c r="O12" s="137"/>
      <c r="P12" s="133"/>
    </row>
    <row r="13" spans="1:16" s="104" customFormat="1" ht="3" customHeight="1" x14ac:dyDescent="0.25">
      <c r="A13" s="133"/>
      <c r="B13" s="136"/>
      <c r="C13" s="4"/>
      <c r="D13" s="4"/>
      <c r="E13" s="4"/>
      <c r="F13" s="4"/>
      <c r="G13" s="4"/>
      <c r="H13" s="4"/>
      <c r="I13" s="4"/>
      <c r="J13" s="4"/>
      <c r="K13" s="4"/>
      <c r="L13" s="4"/>
      <c r="M13" s="4"/>
      <c r="N13" s="4"/>
      <c r="O13" s="137"/>
      <c r="P13" s="133"/>
    </row>
    <row r="14" spans="1:16" s="104" customFormat="1" ht="13.5" customHeight="1" x14ac:dyDescent="0.25">
      <c r="A14" s="133"/>
      <c r="B14" s="136"/>
      <c r="C14" s="4"/>
      <c r="D14" s="4"/>
      <c r="E14" s="4"/>
      <c r="F14" s="252"/>
      <c r="G14" s="4" t="s">
        <v>490</v>
      </c>
      <c r="H14" s="4"/>
      <c r="I14" s="4"/>
      <c r="J14" s="4"/>
      <c r="K14" s="4"/>
      <c r="L14" s="4"/>
      <c r="M14" s="4"/>
      <c r="N14" s="4"/>
      <c r="O14" s="137"/>
      <c r="P14" s="133"/>
    </row>
    <row r="15" spans="1:16" s="104" customFormat="1" ht="5.25" customHeight="1" x14ac:dyDescent="0.25">
      <c r="A15" s="133"/>
      <c r="B15" s="136"/>
      <c r="C15" s="4"/>
      <c r="D15" s="4"/>
      <c r="E15" s="4"/>
      <c r="F15" s="4"/>
      <c r="G15" s="4"/>
      <c r="H15" s="4"/>
      <c r="I15" s="4"/>
      <c r="J15" s="4"/>
      <c r="K15" s="4"/>
      <c r="L15" s="4"/>
      <c r="M15" s="4"/>
      <c r="N15" s="4"/>
      <c r="O15" s="137"/>
      <c r="P15" s="133"/>
    </row>
    <row r="16" spans="1:16" s="104" customFormat="1" ht="14.25" customHeight="1" x14ac:dyDescent="0.25">
      <c r="A16" s="133"/>
      <c r="B16" s="136"/>
      <c r="C16" s="148" t="s">
        <v>187</v>
      </c>
      <c r="D16" s="4"/>
      <c r="E16" s="4"/>
      <c r="F16" s="4"/>
      <c r="G16" s="4"/>
      <c r="H16" s="4"/>
      <c r="I16" s="4"/>
      <c r="J16" s="4"/>
      <c r="K16" s="4"/>
      <c r="L16" s="4"/>
      <c r="M16" s="4"/>
      <c r="N16" s="4"/>
      <c r="O16" s="137"/>
      <c r="P16" s="133"/>
    </row>
    <row r="17" spans="1:16" s="104" customFormat="1" ht="8.25" customHeight="1" x14ac:dyDescent="0.25">
      <c r="A17" s="133"/>
      <c r="B17" s="136"/>
      <c r="C17" s="4"/>
      <c r="D17" s="4"/>
      <c r="E17" s="4"/>
      <c r="F17" s="4"/>
      <c r="G17" s="4"/>
      <c r="H17" s="4"/>
      <c r="I17" s="4"/>
      <c r="J17" s="4"/>
      <c r="K17" s="4"/>
      <c r="L17" s="4"/>
      <c r="M17" s="4"/>
      <c r="N17" s="4"/>
      <c r="O17" s="137"/>
      <c r="P17" s="133"/>
    </row>
    <row r="18" spans="1:16" s="104" customFormat="1" ht="15.75" customHeight="1" x14ac:dyDescent="0.25">
      <c r="A18" s="133"/>
      <c r="B18" s="136"/>
      <c r="C18" s="149" t="s">
        <v>193</v>
      </c>
      <c r="D18" s="482" t="s">
        <v>626</v>
      </c>
      <c r="E18" s="497"/>
      <c r="F18" s="497"/>
      <c r="G18" s="498"/>
      <c r="H18" s="4"/>
      <c r="I18" s="150" t="s">
        <v>402</v>
      </c>
      <c r="J18" s="507" t="s">
        <v>627</v>
      </c>
      <c r="K18" s="485"/>
      <c r="L18" s="486"/>
      <c r="M18" s="487"/>
      <c r="N18" s="4"/>
      <c r="O18" s="137"/>
      <c r="P18" s="133"/>
    </row>
    <row r="19" spans="1:16" s="104" customFormat="1" ht="6" customHeight="1" x14ac:dyDescent="0.25">
      <c r="A19" s="133"/>
      <c r="B19" s="136"/>
      <c r="C19" s="151"/>
      <c r="D19" s="4"/>
      <c r="E19" s="4"/>
      <c r="F19" s="4"/>
      <c r="G19" s="4"/>
      <c r="H19" s="4"/>
      <c r="I19" s="150"/>
      <c r="J19" s="150"/>
      <c r="K19" s="4"/>
      <c r="L19" s="149"/>
      <c r="M19" s="152"/>
      <c r="N19" s="4"/>
      <c r="O19" s="137"/>
      <c r="P19" s="133"/>
    </row>
    <row r="20" spans="1:16" s="104" customFormat="1" ht="15.75" customHeight="1" x14ac:dyDescent="0.25">
      <c r="A20" s="133"/>
      <c r="B20" s="136"/>
      <c r="C20" s="149" t="s">
        <v>405</v>
      </c>
      <c r="D20" s="194">
        <v>2013</v>
      </c>
      <c r="E20" s="4"/>
      <c r="F20" s="149" t="s">
        <v>563</v>
      </c>
      <c r="G20" s="369">
        <v>41214</v>
      </c>
      <c r="H20" s="4"/>
      <c r="I20" s="150" t="s">
        <v>564</v>
      </c>
      <c r="J20" s="149"/>
      <c r="K20" s="369">
        <v>41548</v>
      </c>
      <c r="L20" s="149"/>
      <c r="M20" s="4"/>
      <c r="N20" s="4"/>
      <c r="O20" s="137"/>
      <c r="P20" s="133"/>
    </row>
    <row r="21" spans="1:16" s="104" customFormat="1" ht="6" customHeight="1" x14ac:dyDescent="0.25">
      <c r="A21" s="133"/>
      <c r="B21" s="136"/>
      <c r="C21" s="153"/>
      <c r="D21" s="4"/>
      <c r="E21" s="4"/>
      <c r="F21" s="4"/>
      <c r="G21" s="4"/>
      <c r="H21" s="4"/>
      <c r="I21" s="150"/>
      <c r="J21" s="150"/>
      <c r="K21" s="4"/>
      <c r="L21" s="150"/>
      <c r="M21" s="150"/>
      <c r="N21" s="4"/>
      <c r="O21" s="137"/>
      <c r="P21" s="133"/>
    </row>
    <row r="22" spans="1:16" s="104" customFormat="1" ht="15.75" customHeight="1" x14ac:dyDescent="0.25">
      <c r="A22" s="133"/>
      <c r="B22" s="136"/>
      <c r="C22" s="149" t="s">
        <v>188</v>
      </c>
      <c r="D22" s="482" t="s">
        <v>628</v>
      </c>
      <c r="E22" s="483"/>
      <c r="F22" s="154" t="s">
        <v>189</v>
      </c>
      <c r="G22" s="484" t="s">
        <v>629</v>
      </c>
      <c r="H22" s="485"/>
      <c r="I22" s="486"/>
      <c r="J22" s="487"/>
      <c r="K22" s="510" t="s">
        <v>191</v>
      </c>
      <c r="L22" s="511"/>
      <c r="M22" s="508" t="s">
        <v>630</v>
      </c>
      <c r="N22" s="509"/>
      <c r="O22" s="137"/>
      <c r="P22" s="133"/>
    </row>
    <row r="23" spans="1:16" s="104" customFormat="1" ht="12.75" customHeight="1" x14ac:dyDescent="0.25">
      <c r="A23" s="133"/>
      <c r="B23" s="136"/>
      <c r="C23" s="151"/>
      <c r="D23" s="4"/>
      <c r="E23" s="4"/>
      <c r="F23" s="4"/>
      <c r="G23" s="4"/>
      <c r="H23" s="4"/>
      <c r="I23" s="150"/>
      <c r="J23" s="150"/>
      <c r="K23" s="4"/>
      <c r="L23" s="149" t="s">
        <v>190</v>
      </c>
      <c r="M23" s="375"/>
      <c r="N23" s="4"/>
      <c r="O23" s="137"/>
      <c r="P23" s="133"/>
    </row>
    <row r="24" spans="1:16" s="104" customFormat="1" ht="13.5" customHeight="1" x14ac:dyDescent="0.25">
      <c r="A24" s="133"/>
      <c r="B24" s="136"/>
      <c r="C24" s="145" t="s">
        <v>281</v>
      </c>
      <c r="D24" s="4"/>
      <c r="E24" s="4"/>
      <c r="F24" s="4"/>
      <c r="G24" s="512" t="s">
        <v>112</v>
      </c>
      <c r="H24" s="513"/>
      <c r="I24" s="513"/>
      <c r="J24" s="514"/>
      <c r="K24" s="4"/>
      <c r="L24" s="149"/>
      <c r="M24" s="152"/>
      <c r="N24" s="4"/>
      <c r="O24" s="137"/>
      <c r="P24" s="133"/>
    </row>
    <row r="25" spans="1:16" s="104" customFormat="1" ht="4.5" customHeight="1" x14ac:dyDescent="0.25">
      <c r="A25" s="133"/>
      <c r="B25" s="136"/>
      <c r="C25" s="151"/>
      <c r="D25" s="4"/>
      <c r="E25" s="4"/>
      <c r="F25" s="4"/>
      <c r="G25" s="4"/>
      <c r="H25" s="4"/>
      <c r="I25" s="150"/>
      <c r="J25" s="150"/>
      <c r="K25" s="4"/>
      <c r="L25" s="149"/>
      <c r="M25" s="152"/>
      <c r="N25" s="4"/>
      <c r="O25" s="137"/>
      <c r="P25" s="133"/>
    </row>
    <row r="26" spans="1:16" s="104" customFormat="1" ht="16.5" customHeight="1" x14ac:dyDescent="0.25">
      <c r="A26" s="133"/>
      <c r="B26" s="155"/>
      <c r="C26" s="156" t="s">
        <v>611</v>
      </c>
      <c r="D26" s="4"/>
      <c r="E26" s="4"/>
      <c r="F26" s="4"/>
      <c r="G26" s="244" t="s">
        <v>109</v>
      </c>
      <c r="H26" s="4"/>
      <c r="I26" s="4"/>
      <c r="J26" s="4"/>
      <c r="K26" s="4"/>
      <c r="L26" s="4"/>
      <c r="M26" s="4"/>
      <c r="N26" s="4"/>
      <c r="O26" s="137"/>
      <c r="P26" s="133"/>
    </row>
    <row r="27" spans="1:16" s="104" customFormat="1" ht="22.5" customHeight="1" x14ac:dyDescent="0.25">
      <c r="A27" s="133"/>
      <c r="B27" s="157"/>
      <c r="C27" s="158"/>
      <c r="D27" s="479" t="s">
        <v>397</v>
      </c>
      <c r="E27" s="480"/>
      <c r="F27" s="480"/>
      <c r="G27" s="480"/>
      <c r="H27" s="480"/>
      <c r="I27" s="480"/>
      <c r="J27" s="480"/>
      <c r="K27" s="480"/>
      <c r="L27" s="480"/>
      <c r="M27" s="480"/>
      <c r="N27" s="481"/>
      <c r="O27" s="137"/>
      <c r="P27" s="133"/>
    </row>
    <row r="28" spans="1:16" s="104" customFormat="1" ht="3.75" customHeight="1" x14ac:dyDescent="0.25">
      <c r="A28" s="133"/>
      <c r="B28" s="157"/>
      <c r="C28" s="158"/>
      <c r="D28" s="4"/>
      <c r="E28" s="4"/>
      <c r="F28" s="4"/>
      <c r="G28" s="4"/>
      <c r="H28" s="4"/>
      <c r="I28" s="4"/>
      <c r="J28" s="4"/>
      <c r="K28" s="4"/>
      <c r="L28" s="4"/>
      <c r="M28" s="4"/>
      <c r="N28" s="4"/>
      <c r="O28" s="137"/>
      <c r="P28" s="133"/>
    </row>
    <row r="29" spans="1:16" s="104" customFormat="1" ht="22.5" customHeight="1" x14ac:dyDescent="0.25">
      <c r="A29" s="133"/>
      <c r="B29" s="157"/>
      <c r="C29" s="158"/>
      <c r="D29" s="479" t="s">
        <v>398</v>
      </c>
      <c r="E29" s="480"/>
      <c r="F29" s="480"/>
      <c r="G29" s="480"/>
      <c r="H29" s="480"/>
      <c r="I29" s="480"/>
      <c r="J29" s="480"/>
      <c r="K29" s="480"/>
      <c r="L29" s="480"/>
      <c r="M29" s="480"/>
      <c r="N29" s="481"/>
      <c r="O29" s="137"/>
      <c r="P29" s="133"/>
    </row>
    <row r="30" spans="1:16" s="104" customFormat="1" ht="3.75" customHeight="1" x14ac:dyDescent="0.25">
      <c r="A30" s="133"/>
      <c r="B30" s="157"/>
      <c r="C30" s="158"/>
      <c r="D30" s="4"/>
      <c r="E30" s="4"/>
      <c r="F30" s="4"/>
      <c r="G30" s="4"/>
      <c r="H30" s="4"/>
      <c r="I30" s="4"/>
      <c r="J30" s="4"/>
      <c r="K30" s="4"/>
      <c r="L30" s="4"/>
      <c r="M30" s="4"/>
      <c r="N30" s="4"/>
      <c r="O30" s="137"/>
      <c r="P30" s="133"/>
    </row>
    <row r="31" spans="1:16" s="104" customFormat="1" ht="22.5" customHeight="1" x14ac:dyDescent="0.25">
      <c r="A31" s="133"/>
      <c r="B31" s="157"/>
      <c r="C31" s="158"/>
      <c r="D31" s="479" t="s">
        <v>399</v>
      </c>
      <c r="E31" s="480"/>
      <c r="F31" s="480"/>
      <c r="G31" s="480"/>
      <c r="H31" s="480"/>
      <c r="I31" s="480"/>
      <c r="J31" s="480"/>
      <c r="K31" s="480"/>
      <c r="L31" s="480"/>
      <c r="M31" s="480"/>
      <c r="N31" s="481"/>
      <c r="O31" s="137"/>
      <c r="P31" s="133"/>
    </row>
    <row r="32" spans="1:16" s="104" customFormat="1" ht="3.75" customHeight="1" x14ac:dyDescent="0.25">
      <c r="A32" s="133"/>
      <c r="B32" s="157"/>
      <c r="C32" s="158"/>
      <c r="D32" s="4"/>
      <c r="E32" s="4"/>
      <c r="F32" s="4"/>
      <c r="G32" s="4"/>
      <c r="H32" s="4"/>
      <c r="I32" s="4"/>
      <c r="J32" s="4"/>
      <c r="K32" s="4"/>
      <c r="L32" s="4"/>
      <c r="M32" s="4"/>
      <c r="N32" s="4"/>
      <c r="O32" s="137"/>
      <c r="P32" s="133"/>
    </row>
    <row r="33" spans="1:16" s="104" customFormat="1" ht="22.5" customHeight="1" x14ac:dyDescent="0.25">
      <c r="A33" s="133"/>
      <c r="B33" s="157"/>
      <c r="C33" s="158"/>
      <c r="D33" s="479" t="s">
        <v>463</v>
      </c>
      <c r="E33" s="480"/>
      <c r="F33" s="480"/>
      <c r="G33" s="480"/>
      <c r="H33" s="480"/>
      <c r="I33" s="480"/>
      <c r="J33" s="480"/>
      <c r="K33" s="480"/>
      <c r="L33" s="480"/>
      <c r="M33" s="480"/>
      <c r="N33" s="481"/>
      <c r="O33" s="137"/>
      <c r="P33" s="133"/>
    </row>
    <row r="34" spans="1:16" s="104" customFormat="1" ht="3.75" customHeight="1" x14ac:dyDescent="0.25">
      <c r="A34" s="133"/>
      <c r="B34" s="157"/>
      <c r="C34" s="158"/>
      <c r="D34" s="243"/>
      <c r="E34" s="243"/>
      <c r="F34" s="243"/>
      <c r="G34" s="243"/>
      <c r="H34" s="243"/>
      <c r="I34" s="243"/>
      <c r="J34" s="243"/>
      <c r="K34" s="243"/>
      <c r="L34" s="243"/>
      <c r="M34" s="243"/>
      <c r="N34" s="243"/>
      <c r="O34" s="137"/>
      <c r="P34" s="133"/>
    </row>
    <row r="35" spans="1:16" s="104" customFormat="1" ht="22.5" customHeight="1" x14ac:dyDescent="0.25">
      <c r="A35" s="133"/>
      <c r="B35" s="157"/>
      <c r="C35" s="158"/>
      <c r="D35" s="479" t="s">
        <v>182</v>
      </c>
      <c r="E35" s="480"/>
      <c r="F35" s="480"/>
      <c r="G35" s="480"/>
      <c r="H35" s="480"/>
      <c r="I35" s="480"/>
      <c r="J35" s="480"/>
      <c r="K35" s="480"/>
      <c r="L35" s="480"/>
      <c r="M35" s="480"/>
      <c r="N35" s="481"/>
      <c r="O35" s="137"/>
      <c r="P35" s="133"/>
    </row>
    <row r="36" spans="1:16" s="104" customFormat="1" ht="3.75" customHeight="1" x14ac:dyDescent="0.25">
      <c r="A36" s="133"/>
      <c r="B36" s="157"/>
      <c r="C36" s="158"/>
      <c r="D36" s="4"/>
      <c r="E36" s="4"/>
      <c r="F36" s="4"/>
      <c r="G36" s="4"/>
      <c r="H36" s="4"/>
      <c r="I36" s="4"/>
      <c r="J36" s="4"/>
      <c r="K36" s="4"/>
      <c r="L36" s="4"/>
      <c r="M36" s="4"/>
      <c r="N36" s="4"/>
      <c r="O36" s="137"/>
      <c r="P36" s="133"/>
    </row>
    <row r="37" spans="1:16" s="104" customFormat="1" ht="22.5" customHeight="1" x14ac:dyDescent="0.25">
      <c r="A37" s="133"/>
      <c r="B37" s="157"/>
      <c r="C37" s="158"/>
      <c r="D37" s="479" t="s">
        <v>400</v>
      </c>
      <c r="E37" s="480"/>
      <c r="F37" s="480"/>
      <c r="G37" s="480"/>
      <c r="H37" s="480"/>
      <c r="I37" s="480"/>
      <c r="J37" s="480"/>
      <c r="K37" s="480"/>
      <c r="L37" s="480"/>
      <c r="M37" s="480"/>
      <c r="N37" s="481"/>
      <c r="O37" s="137"/>
      <c r="P37" s="133"/>
    </row>
    <row r="38" spans="1:16" s="104" customFormat="1" ht="3.75" customHeight="1" x14ac:dyDescent="0.25">
      <c r="A38" s="133"/>
      <c r="B38" s="157"/>
      <c r="C38" s="158"/>
      <c r="D38" s="4"/>
      <c r="E38" s="4"/>
      <c r="F38" s="4"/>
      <c r="G38" s="4"/>
      <c r="H38" s="4"/>
      <c r="I38" s="4"/>
      <c r="J38" s="4"/>
      <c r="K38" s="4"/>
      <c r="L38" s="4"/>
      <c r="M38" s="4"/>
      <c r="N38" s="4"/>
      <c r="O38" s="137"/>
      <c r="P38" s="133"/>
    </row>
    <row r="39" spans="1:16" s="104" customFormat="1" ht="22.5" customHeight="1" x14ac:dyDescent="0.25">
      <c r="A39" s="133"/>
      <c r="B39" s="157"/>
      <c r="C39" s="158"/>
      <c r="D39" s="479" t="s">
        <v>356</v>
      </c>
      <c r="E39" s="480"/>
      <c r="F39" s="480"/>
      <c r="G39" s="480"/>
      <c r="H39" s="480"/>
      <c r="I39" s="480"/>
      <c r="J39" s="480"/>
      <c r="K39" s="480"/>
      <c r="L39" s="480"/>
      <c r="M39" s="480"/>
      <c r="N39" s="481"/>
      <c r="O39" s="137"/>
      <c r="P39" s="133"/>
    </row>
    <row r="40" spans="1:16" s="104" customFormat="1" ht="8.25" customHeight="1" x14ac:dyDescent="0.25">
      <c r="A40" s="133"/>
      <c r="B40" s="157"/>
      <c r="C40" s="158"/>
      <c r="D40" s="243"/>
      <c r="E40" s="243"/>
      <c r="F40" s="243"/>
      <c r="G40" s="243"/>
      <c r="H40" s="243"/>
      <c r="I40" s="243"/>
      <c r="J40" s="243"/>
      <c r="K40" s="243"/>
      <c r="L40" s="243"/>
      <c r="M40" s="243"/>
      <c r="N40" s="243"/>
      <c r="O40" s="137"/>
      <c r="P40" s="133"/>
    </row>
    <row r="41" spans="1:16" s="104" customFormat="1" ht="27" customHeight="1" x14ac:dyDescent="0.25">
      <c r="A41" s="133"/>
      <c r="B41" s="157"/>
      <c r="C41" s="373" t="s">
        <v>616</v>
      </c>
      <c r="D41" s="488" t="s">
        <v>631</v>
      </c>
      <c r="E41" s="489"/>
      <c r="F41" s="489"/>
      <c r="G41" s="489"/>
      <c r="H41" s="489"/>
      <c r="I41" s="489"/>
      <c r="J41" s="489"/>
      <c r="K41" s="489"/>
      <c r="L41" s="489"/>
      <c r="M41" s="489"/>
      <c r="N41" s="490"/>
      <c r="O41" s="137"/>
      <c r="P41" s="133"/>
    </row>
    <row r="42" spans="1:16" s="104" customFormat="1" ht="22.5" customHeight="1" x14ac:dyDescent="0.25">
      <c r="A42" s="133"/>
      <c r="B42" s="157"/>
      <c r="C42" s="158"/>
      <c r="D42" s="491"/>
      <c r="E42" s="492"/>
      <c r="F42" s="492"/>
      <c r="G42" s="492"/>
      <c r="H42" s="492"/>
      <c r="I42" s="492"/>
      <c r="J42" s="492"/>
      <c r="K42" s="492"/>
      <c r="L42" s="492"/>
      <c r="M42" s="492"/>
      <c r="N42" s="493"/>
      <c r="O42" s="137"/>
      <c r="P42" s="133"/>
    </row>
    <row r="43" spans="1:16" s="104" customFormat="1" ht="10.5" customHeight="1" x14ac:dyDescent="0.25">
      <c r="A43" s="133"/>
      <c r="B43" s="157"/>
      <c r="C43" s="158"/>
      <c r="D43" s="491"/>
      <c r="E43" s="492"/>
      <c r="F43" s="492"/>
      <c r="G43" s="492"/>
      <c r="H43" s="492"/>
      <c r="I43" s="492"/>
      <c r="J43" s="492"/>
      <c r="K43" s="492"/>
      <c r="L43" s="492"/>
      <c r="M43" s="492"/>
      <c r="N43" s="493"/>
      <c r="O43" s="137"/>
      <c r="P43" s="133"/>
    </row>
    <row r="44" spans="1:16" s="104" customFormat="1" ht="21" customHeight="1" x14ac:dyDescent="0.25">
      <c r="A44" s="133"/>
      <c r="B44" s="157"/>
      <c r="C44" s="158"/>
      <c r="D44" s="494"/>
      <c r="E44" s="495"/>
      <c r="F44" s="495"/>
      <c r="G44" s="495"/>
      <c r="H44" s="495"/>
      <c r="I44" s="495"/>
      <c r="J44" s="495"/>
      <c r="K44" s="495"/>
      <c r="L44" s="495"/>
      <c r="M44" s="495"/>
      <c r="N44" s="496"/>
      <c r="O44" s="137"/>
      <c r="P44" s="133"/>
    </row>
    <row r="45" spans="1:16" s="104" customFormat="1" ht="22.5" customHeight="1" x14ac:dyDescent="0.25">
      <c r="A45" s="133"/>
      <c r="B45" s="157"/>
      <c r="C45" s="242"/>
      <c r="D45" s="158"/>
      <c r="E45" s="243"/>
      <c r="F45" s="243"/>
      <c r="G45" s="243"/>
      <c r="H45" s="243"/>
      <c r="I45" s="243"/>
      <c r="J45" s="243"/>
      <c r="K45" s="242" t="s">
        <v>479</v>
      </c>
      <c r="L45" s="245" t="s">
        <v>478</v>
      </c>
      <c r="M45" s="243"/>
      <c r="N45" s="243"/>
      <c r="O45" s="137"/>
      <c r="P45" s="133"/>
    </row>
    <row r="46" spans="1:16" s="104" customFormat="1" ht="5.25" customHeight="1" thickBot="1" x14ac:dyDescent="0.3">
      <c r="A46" s="133"/>
      <c r="B46" s="159"/>
      <c r="C46" s="160"/>
      <c r="D46" s="160"/>
      <c r="E46" s="160"/>
      <c r="F46" s="160"/>
      <c r="G46" s="160"/>
      <c r="H46" s="160"/>
      <c r="I46" s="160"/>
      <c r="J46" s="160"/>
      <c r="K46" s="160"/>
      <c r="L46" s="160"/>
      <c r="M46" s="160"/>
      <c r="N46" s="160"/>
      <c r="O46" s="161"/>
      <c r="P46" s="133"/>
    </row>
    <row r="47" spans="1:16" ht="13.5" customHeight="1" thickTop="1" x14ac:dyDescent="0.25"/>
    <row r="52" x14ac:dyDescent="0.25"/>
  </sheetData>
  <sheetProtection password="E218" sheet="1" objects="1" scenarios="1"/>
  <mergeCells count="18">
    <mergeCell ref="D18:G18"/>
    <mergeCell ref="B2:O2"/>
    <mergeCell ref="C7:N8"/>
    <mergeCell ref="C4:N5"/>
    <mergeCell ref="J18:M18"/>
    <mergeCell ref="D27:N27"/>
    <mergeCell ref="M22:N22"/>
    <mergeCell ref="K22:L22"/>
    <mergeCell ref="G24:J24"/>
    <mergeCell ref="D29:N29"/>
    <mergeCell ref="D22:E22"/>
    <mergeCell ref="G22:J22"/>
    <mergeCell ref="D41:N44"/>
    <mergeCell ref="D33:N33"/>
    <mergeCell ref="D37:N37"/>
    <mergeCell ref="D39:N39"/>
    <mergeCell ref="D35:N35"/>
    <mergeCell ref="D31:N31"/>
  </mergeCells>
  <phoneticPr fontId="0" type="noConversion"/>
  <dataValidations count="1">
    <dataValidation type="list" allowBlank="1" showInputMessage="1" showErrorMessage="1" errorTitle="Water Balance Units" error="You have not entered a valid option" promptTitle="Water Balance Units" prompt="Please choose from the following units" sqref="G24:J24" xr:uid="{BC652F07-25F4-48B2-A75C-50C10138622B}">
      <formula1>"Million gallons (US),Megalitres (thousand cubic metres),Acre-feet"</formula1>
    </dataValidation>
  </dataValidations>
  <hyperlinks>
    <hyperlink ref="L45" r:id="rId1" xr:uid="{06AB3185-4BDD-44A5-BA37-EBF1AD3F5FCF}"/>
  </hyperlinks>
  <printOptions horizontalCentered="1" verticalCentered="1"/>
  <pageMargins left="0.41" right="0.47" top="0.76" bottom="0.75" header="0.5" footer="0.5"/>
  <pageSetup scale="82" orientation="landscape" r:id="rId2"/>
  <headerFooter alignWithMargins="0">
    <oddFooter>&amp;CAWWA Water Loss Control Committee&amp;R&amp;A   &amp;P</oddFooter>
  </headerFooter>
  <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924CE-9F01-4685-9B94-2BB690C6D432}">
  <sheetPr codeName="Sheet5">
    <tabColor indexed="48"/>
    <pageSetUpPr fitToPage="1"/>
  </sheetPr>
  <dimension ref="A1:Q152"/>
  <sheetViews>
    <sheetView showGridLines="0" workbookViewId="0">
      <pane ySplit="6" topLeftCell="A40" activePane="bottomLeft" state="frozen"/>
      <selection activeCell="K26" sqref="K26"/>
      <selection pane="bottomLeft" activeCell="G75" sqref="G75"/>
    </sheetView>
  </sheetViews>
  <sheetFormatPr defaultColWidth="0" defaultRowHeight="13.5" zeroHeight="1" x14ac:dyDescent="0.25"/>
  <cols>
    <col min="1" max="1" width="0.7109375" style="39" customWidth="1"/>
    <col min="2" max="2" width="1.85546875" style="39" customWidth="1"/>
    <col min="3" max="3" width="57.85546875" style="39" customWidth="1"/>
    <col min="4" max="4" width="6.28515625" style="39" customWidth="1"/>
    <col min="5" max="5" width="3.5703125" style="307" customWidth="1"/>
    <col min="6" max="6" width="0.7109375" style="39" customWidth="1"/>
    <col min="7" max="7" width="17.85546875" style="39" customWidth="1"/>
    <col min="8" max="8" width="1" style="39" customWidth="1"/>
    <col min="9" max="9" width="21" style="39" customWidth="1"/>
    <col min="10" max="10" width="6.42578125" style="39" customWidth="1"/>
    <col min="11" max="11" width="9" style="39" customWidth="1"/>
    <col min="12" max="12" width="8" style="39" customWidth="1"/>
    <col min="13" max="13" width="10.85546875" style="39" customWidth="1"/>
    <col min="14" max="14" width="2.85546875" style="39" customWidth="1"/>
    <col min="15" max="15" width="2.140625" style="39" customWidth="1"/>
    <col min="16" max="16" width="3.85546875" style="39" hidden="1" customWidth="1"/>
    <col min="17" max="16384" width="0" style="39" hidden="1"/>
  </cols>
  <sheetData>
    <row r="1" spans="1:16" s="133" customFormat="1" ht="6.75" customHeight="1" thickBot="1" x14ac:dyDescent="0.3">
      <c r="A1" s="133">
        <v>0</v>
      </c>
      <c r="E1" s="294"/>
    </row>
    <row r="2" spans="1:16" s="104" customFormat="1" ht="37.5" customHeight="1" thickTop="1" thickBot="1" x14ac:dyDescent="0.3">
      <c r="A2" s="133"/>
      <c r="B2" s="499" t="s">
        <v>41</v>
      </c>
      <c r="C2" s="500"/>
      <c r="D2" s="500"/>
      <c r="E2" s="500"/>
      <c r="F2" s="500"/>
      <c r="G2" s="500"/>
      <c r="H2" s="500"/>
      <c r="I2" s="500"/>
      <c r="J2" s="500"/>
      <c r="K2" s="163"/>
      <c r="L2" s="163"/>
      <c r="M2" s="163"/>
      <c r="N2" s="164"/>
    </row>
    <row r="3" spans="1:16" s="104" customFormat="1" ht="8.25" customHeight="1" thickTop="1" x14ac:dyDescent="0.35">
      <c r="A3" s="133"/>
      <c r="B3" s="136"/>
      <c r="C3" s="165"/>
      <c r="D3" s="3"/>
      <c r="E3" s="295"/>
      <c r="F3" s="3"/>
      <c r="G3" s="4"/>
      <c r="H3" s="4"/>
      <c r="I3" s="4"/>
      <c r="J3" s="4"/>
      <c r="K3" s="4"/>
      <c r="L3" s="4"/>
      <c r="M3" s="4"/>
      <c r="N3" s="137"/>
    </row>
    <row r="4" spans="1:16" s="104" customFormat="1" x14ac:dyDescent="0.25">
      <c r="A4" s="133"/>
      <c r="B4" s="136"/>
      <c r="C4" s="166" t="s">
        <v>403</v>
      </c>
      <c r="D4" s="167" t="str">
        <f>IF(ISBLANK(Instructions!D18),"",Instructions!D18)</f>
        <v>Township of Roxbury</v>
      </c>
      <c r="E4" s="296"/>
      <c r="F4" s="168"/>
      <c r="G4" s="146"/>
      <c r="H4" s="146"/>
      <c r="I4" s="146"/>
      <c r="J4" s="146"/>
      <c r="K4" s="169"/>
      <c r="L4" s="4"/>
      <c r="M4" s="4"/>
      <c r="N4" s="137"/>
    </row>
    <row r="5" spans="1:16" s="104" customFormat="1" x14ac:dyDescent="0.25">
      <c r="A5" s="133"/>
      <c r="B5" s="136"/>
      <c r="C5" s="170" t="s">
        <v>404</v>
      </c>
      <c r="D5" s="544">
        <f>IF(ISBLANK(Instructions!D20),"",Instructions!D20)</f>
        <v>2013</v>
      </c>
      <c r="E5" s="545"/>
      <c r="F5" s="171"/>
      <c r="G5" s="548" t="str">
        <f>IF(OR(ISBLANK(Instructions!G20),ISBLANK(Instructions!K20)),"",MONTH(Instructions!G20)&amp;"/"&amp;YEAR(Instructions!G20)&amp;" - "&amp;MONTH(Instructions!K20)&amp;"/"&amp;YEAR(Instructions!K20))</f>
        <v>11/2012 - 10/2013</v>
      </c>
      <c r="H5" s="549"/>
      <c r="I5" s="172"/>
      <c r="J5" s="172"/>
      <c r="K5" s="172"/>
      <c r="L5" s="4"/>
      <c r="M5" s="4"/>
      <c r="N5" s="137"/>
    </row>
    <row r="6" spans="1:16" s="104" customFormat="1" ht="3.75" customHeight="1" x14ac:dyDescent="0.25">
      <c r="A6" s="133"/>
      <c r="B6" s="136"/>
      <c r="C6" s="170"/>
      <c r="D6" s="3"/>
      <c r="E6" s="295"/>
      <c r="F6" s="3"/>
      <c r="G6" s="4"/>
      <c r="H6" s="4"/>
      <c r="I6" s="4"/>
      <c r="J6" s="4"/>
      <c r="K6" s="4"/>
      <c r="L6" s="4"/>
      <c r="M6" s="4"/>
      <c r="N6" s="137"/>
    </row>
    <row r="7" spans="1:16" s="104" customFormat="1" ht="18" customHeight="1" x14ac:dyDescent="0.25">
      <c r="A7" s="133"/>
      <c r="B7" s="136"/>
      <c r="C7" s="543"/>
      <c r="D7" s="506"/>
      <c r="E7" s="506"/>
      <c r="F7" s="506"/>
      <c r="G7" s="506"/>
      <c r="H7" s="506"/>
      <c r="I7" s="506"/>
      <c r="J7" s="506"/>
      <c r="K7" s="506"/>
      <c r="L7" s="506"/>
      <c r="M7" s="506"/>
      <c r="N7" s="137"/>
    </row>
    <row r="8" spans="1:16" s="104" customFormat="1" ht="13.5" customHeight="1" x14ac:dyDescent="0.25">
      <c r="A8" s="133"/>
      <c r="B8" s="136"/>
      <c r="C8" s="506"/>
      <c r="D8" s="506"/>
      <c r="E8" s="506"/>
      <c r="F8" s="506"/>
      <c r="G8" s="506"/>
      <c r="H8" s="506"/>
      <c r="I8" s="506"/>
      <c r="J8" s="506"/>
      <c r="K8" s="506"/>
      <c r="L8" s="506"/>
      <c r="M8" s="506"/>
      <c r="N8" s="137"/>
    </row>
    <row r="9" spans="1:16" s="104" customFormat="1" ht="15" customHeight="1" x14ac:dyDescent="0.25">
      <c r="A9" s="133"/>
      <c r="B9" s="136"/>
      <c r="C9" s="173"/>
      <c r="D9" s="173"/>
      <c r="E9" s="297"/>
      <c r="F9" s="173"/>
      <c r="G9" s="174" t="str">
        <f>IF(ISBLANK(Instructions!G24),"PLEASE CHOOSE REPORTING UNITS FROM THE INSTRUCTIONS SHEET BEFORE ENTERING DATA","All volumes to be entered as: "&amp;UPPER(Instructions!$G$24)&amp;" PER YEAR")</f>
        <v>All volumes to be entered as: MILLION GALLONS (US) PER YEAR</v>
      </c>
      <c r="H9" s="173"/>
      <c r="I9" s="173"/>
      <c r="J9" s="173"/>
      <c r="K9" s="173"/>
      <c r="L9" s="173"/>
      <c r="M9" s="173"/>
      <c r="N9" s="137"/>
    </row>
    <row r="10" spans="1:16" s="104" customFormat="1" ht="3" customHeight="1" x14ac:dyDescent="0.25">
      <c r="A10" s="133"/>
      <c r="B10" s="136"/>
      <c r="C10" s="7"/>
      <c r="D10" s="6"/>
      <c r="E10" s="298"/>
      <c r="F10" s="6"/>
      <c r="G10" s="7"/>
      <c r="H10" s="7"/>
      <c r="I10" s="7"/>
      <c r="J10" s="7"/>
      <c r="K10" s="7"/>
      <c r="L10" s="7"/>
      <c r="M10" s="7"/>
      <c r="N10" s="137"/>
    </row>
    <row r="11" spans="1:16" s="104" customFormat="1" ht="6" customHeight="1" x14ac:dyDescent="0.25">
      <c r="A11" s="133"/>
      <c r="B11" s="136"/>
      <c r="C11" s="3"/>
      <c r="D11" s="3"/>
      <c r="E11" s="295"/>
      <c r="F11" s="3"/>
      <c r="G11" s="13"/>
      <c r="H11" s="13"/>
      <c r="I11" s="13"/>
      <c r="J11" s="13"/>
      <c r="K11" s="13"/>
      <c r="L11" s="13"/>
      <c r="M11" s="13"/>
      <c r="N11" s="137"/>
    </row>
    <row r="12" spans="1:16" s="104" customFormat="1" ht="14.25" customHeight="1" x14ac:dyDescent="0.25">
      <c r="A12" s="133"/>
      <c r="B12" s="136"/>
      <c r="C12" s="3" t="s">
        <v>570</v>
      </c>
      <c r="D12" s="538" t="s">
        <v>543</v>
      </c>
      <c r="E12" s="539"/>
      <c r="F12" s="539"/>
      <c r="G12" s="539"/>
      <c r="H12" s="539"/>
      <c r="I12" s="539"/>
      <c r="J12" s="13"/>
      <c r="K12" s="13"/>
      <c r="L12" s="13"/>
      <c r="M12" s="13"/>
      <c r="N12" s="137"/>
      <c r="P12" s="370"/>
    </row>
    <row r="13" spans="1:16" s="104" customFormat="1" ht="2.25" customHeight="1" x14ac:dyDescent="0.25">
      <c r="A13" s="133"/>
      <c r="B13" s="136"/>
      <c r="C13" s="3"/>
      <c r="D13" s="3"/>
      <c r="E13" s="3"/>
      <c r="F13" s="3"/>
      <c r="G13" s="3"/>
      <c r="H13" s="3"/>
      <c r="I13" s="3"/>
      <c r="J13" s="13"/>
      <c r="K13" s="13"/>
      <c r="L13" s="13"/>
      <c r="M13" s="13"/>
      <c r="N13" s="137"/>
      <c r="P13" s="370"/>
    </row>
    <row r="14" spans="1:16" s="104" customFormat="1" x14ac:dyDescent="0.25">
      <c r="A14" s="133"/>
      <c r="B14" s="136"/>
      <c r="C14" s="151" t="s">
        <v>446</v>
      </c>
      <c r="D14" s="131"/>
      <c r="E14" s="383">
        <v>5</v>
      </c>
      <c r="F14" s="12"/>
      <c r="G14" s="248">
        <v>113.84</v>
      </c>
      <c r="H14" s="5"/>
      <c r="I14" s="208" t="str">
        <f>IF(Instructions!$G$24="Million gallons (US)","Million gallons (US)/yr (MG/Yr)",IF(Instructions!$G$24="Megalitres (thousand cubic metres)","Megalitres/yr (or ML/Yr)",IF(Instructions!$G$24="Acre-feet","acre-ft/yr","")))</f>
        <v>Million gallons (US)/yr (MG/Yr)</v>
      </c>
      <c r="J14" s="175"/>
      <c r="K14" s="176"/>
      <c r="L14" s="78"/>
      <c r="M14" s="78"/>
      <c r="N14" s="137"/>
    </row>
    <row r="15" spans="1:16" s="104" customFormat="1" x14ac:dyDescent="0.25">
      <c r="A15" s="133"/>
      <c r="B15" s="136"/>
      <c r="C15" s="151" t="s">
        <v>622</v>
      </c>
      <c r="D15" s="3"/>
      <c r="E15" s="383">
        <v>2</v>
      </c>
      <c r="F15" s="12"/>
      <c r="G15" s="248">
        <v>0</v>
      </c>
      <c r="H15" s="5"/>
      <c r="I15" s="546"/>
      <c r="J15" s="547"/>
      <c r="K15" s="550" t="str">
        <f>IF(AND(NOT(ISBLANK(G15)),G15&gt;0,ISBLANK(I15)),"&lt;---Enter adjustment type",IF(Instructions!$G$24="million gallons (US)","MG/Yr",IF(Instructions!$G$24="Megalitres (thousand cubic metres)","ML/Yr",IF(Instructions!$G$24="acre-feet","acre-ft/yr",""))))</f>
        <v>MG/Yr</v>
      </c>
      <c r="L15" s="551"/>
      <c r="M15" s="551"/>
      <c r="N15" s="137"/>
    </row>
    <row r="16" spans="1:16" s="104" customFormat="1" x14ac:dyDescent="0.25">
      <c r="A16" s="133"/>
      <c r="B16" s="136"/>
      <c r="C16" s="151" t="s">
        <v>17</v>
      </c>
      <c r="D16" s="3"/>
      <c r="E16" s="383" t="s">
        <v>162</v>
      </c>
      <c r="F16" s="12"/>
      <c r="G16" s="248">
        <v>0</v>
      </c>
      <c r="H16" s="5"/>
      <c r="I16" s="208" t="str">
        <f>IF(Instructions!$G$24="million gallons (US)","MG/Yr",IF(Instructions!$G$24="Megalitres (thousand cubic metres)","ML/Yr",IF(Instructions!$G$24="acre-feet","acre-ft/yr","")))</f>
        <v>MG/Yr</v>
      </c>
      <c r="J16" s="251" t="str">
        <f>IF(AND(G14=G16,G19&lt;&gt;0),"Volume identical to own sources","")</f>
        <v/>
      </c>
      <c r="K16" s="176"/>
      <c r="L16" s="78"/>
      <c r="M16" s="417"/>
      <c r="N16" s="137"/>
    </row>
    <row r="17" spans="1:17" s="104" customFormat="1" x14ac:dyDescent="0.25">
      <c r="A17" s="133"/>
      <c r="B17" s="136"/>
      <c r="C17" s="151" t="s">
        <v>18</v>
      </c>
      <c r="D17" s="3"/>
      <c r="E17" s="383" t="s">
        <v>162</v>
      </c>
      <c r="F17" s="12"/>
      <c r="G17" s="248">
        <v>0</v>
      </c>
      <c r="H17" s="5"/>
      <c r="I17" s="208" t="str">
        <f>IF(Instructions!$G$24="million gallons (US)","MG/Yr",IF(Instructions!$G$24="Megalitres (thousand cubic metres)","ML/Yr",IF(Instructions!$G$24="acre-feet","acre-ft/yr","")))</f>
        <v>MG/Yr</v>
      </c>
      <c r="J17" s="175"/>
      <c r="K17" s="176"/>
      <c r="L17" s="78"/>
      <c r="M17" s="78"/>
      <c r="N17" s="137"/>
    </row>
    <row r="18" spans="1:17" s="104" customFormat="1" ht="6" customHeight="1" x14ac:dyDescent="0.25">
      <c r="A18" s="133"/>
      <c r="B18" s="136"/>
      <c r="C18" s="9"/>
      <c r="D18" s="9"/>
      <c r="E18" s="384"/>
      <c r="F18" s="12"/>
      <c r="G18" s="177"/>
      <c r="H18" s="5"/>
      <c r="I18" s="13"/>
      <c r="J18" s="175"/>
      <c r="K18" s="176"/>
      <c r="L18" s="4"/>
      <c r="M18" s="4"/>
      <c r="N18" s="137"/>
    </row>
    <row r="19" spans="1:17" s="104" customFormat="1" x14ac:dyDescent="0.25">
      <c r="A19" s="133"/>
      <c r="B19" s="136"/>
      <c r="C19" s="178" t="s">
        <v>569</v>
      </c>
      <c r="D19" s="81"/>
      <c r="E19" s="384"/>
      <c r="F19" s="12"/>
      <c r="G19" s="249">
        <f>G14+IF(I15="under-registered",+G15,IF(I15="over-registered",-G15,))+G16-G17</f>
        <v>113.84</v>
      </c>
      <c r="H19" s="77"/>
      <c r="I19" s="208" t="str">
        <f>IF(Instructions!$G$24="million gallons (US)","MG/Yr",IF(Instructions!$G$24="Megalitres (thousand cubic metres)","ML/Yr",IF(Instructions!$G$24="acre-feet","acre-ft/yr","")))</f>
        <v>MG/Yr</v>
      </c>
      <c r="J19" s="179"/>
      <c r="K19" s="176"/>
      <c r="L19" s="13"/>
      <c r="M19" s="175"/>
      <c r="N19" s="137"/>
    </row>
    <row r="20" spans="1:17" s="104" customFormat="1" ht="5.25" customHeight="1" x14ac:dyDescent="0.25">
      <c r="A20" s="133"/>
      <c r="B20" s="136"/>
      <c r="C20" s="10"/>
      <c r="D20" s="10"/>
      <c r="E20" s="385"/>
      <c r="F20" s="10"/>
      <c r="G20" s="7"/>
      <c r="H20" s="7"/>
      <c r="I20" s="7"/>
      <c r="J20" s="8"/>
      <c r="K20" s="8"/>
      <c r="L20" s="8"/>
      <c r="M20" s="7"/>
      <c r="N20" s="137"/>
    </row>
    <row r="21" spans="1:17" s="104" customFormat="1" ht="6" customHeight="1" x14ac:dyDescent="0.25">
      <c r="A21" s="133"/>
      <c r="B21" s="136"/>
      <c r="C21" s="12"/>
      <c r="D21" s="12"/>
      <c r="E21" s="384" t="s">
        <v>51</v>
      </c>
      <c r="F21" s="12"/>
      <c r="G21" s="4"/>
      <c r="H21" s="4"/>
      <c r="I21" s="4"/>
      <c r="J21" s="13"/>
      <c r="K21" s="13"/>
      <c r="L21" s="13"/>
      <c r="M21" s="4"/>
      <c r="N21" s="137"/>
    </row>
    <row r="22" spans="1:17" s="104" customFormat="1" x14ac:dyDescent="0.25">
      <c r="A22" s="133"/>
      <c r="B22" s="136"/>
      <c r="C22" s="3" t="s">
        <v>571</v>
      </c>
      <c r="D22" s="3"/>
      <c r="E22" s="386"/>
      <c r="F22" s="3"/>
      <c r="G22" s="3"/>
      <c r="H22" s="3"/>
      <c r="I22" s="3"/>
      <c r="J22" s="3"/>
      <c r="K22" s="3"/>
      <c r="L22" s="3"/>
      <c r="M22" s="3"/>
      <c r="N22" s="137"/>
    </row>
    <row r="23" spans="1:17" s="104" customFormat="1" x14ac:dyDescent="0.25">
      <c r="A23" s="133"/>
      <c r="B23" s="136"/>
      <c r="C23" s="151" t="s">
        <v>447</v>
      </c>
      <c r="D23" s="9"/>
      <c r="E23" s="383">
        <v>9</v>
      </c>
      <c r="F23" s="12"/>
      <c r="G23" s="248">
        <v>100.61499999999999</v>
      </c>
      <c r="H23" s="5"/>
      <c r="I23" s="208" t="str">
        <f>IF(Instructions!$G$24="million gallons (US)","MG/Yr",IF(Instructions!$G$24="Megalitres (thousand cubic metres)","ML/Yr",IF(Instructions!$G$24="acre-feet","acre-ft/yr","")))</f>
        <v>MG/Yr</v>
      </c>
      <c r="J23" s="175"/>
      <c r="K23" s="176"/>
      <c r="L23" s="4"/>
      <c r="M23" s="4"/>
      <c r="N23" s="137"/>
      <c r="P23" s="17"/>
      <c r="Q23" s="17"/>
    </row>
    <row r="24" spans="1:17" s="104" customFormat="1" x14ac:dyDescent="0.25">
      <c r="A24" s="133"/>
      <c r="B24" s="136"/>
      <c r="C24" s="151" t="s">
        <v>448</v>
      </c>
      <c r="D24" s="9"/>
      <c r="E24" s="383" t="s">
        <v>162</v>
      </c>
      <c r="F24" s="12"/>
      <c r="G24" s="248">
        <v>0</v>
      </c>
      <c r="H24" s="5"/>
      <c r="I24" s="208" t="str">
        <f>IF(Instructions!$G$24="million gallons (US)","MG/Yr",IF(Instructions!$G$24="Megalitres (thousand cubic metres)","ML/Yr",IF(Instructions!$G$24="acre-feet","acre-ft/yr","")))</f>
        <v>MG/Yr</v>
      </c>
      <c r="J24" s="175"/>
      <c r="K24" s="176"/>
      <c r="L24" s="151"/>
      <c r="M24" s="151"/>
      <c r="N24" s="137"/>
      <c r="P24" s="17"/>
      <c r="Q24" s="17"/>
    </row>
    <row r="25" spans="1:17" s="104" customFormat="1" x14ac:dyDescent="0.25">
      <c r="A25" s="133"/>
      <c r="B25" s="136"/>
      <c r="C25" s="151" t="s">
        <v>449</v>
      </c>
      <c r="D25" s="9"/>
      <c r="E25" s="383" t="s">
        <v>162</v>
      </c>
      <c r="F25" s="12"/>
      <c r="G25" s="248">
        <v>0</v>
      </c>
      <c r="H25" s="5"/>
      <c r="I25" s="208" t="str">
        <f>IF(Instructions!$G$24="million gallons (US)","MG/Yr",IF(Instructions!$G$24="Megalitres (thousand cubic metres)","ML/Yr",IF(Instructions!$G$24="acre-feet","acre-ft/yr","")))</f>
        <v>MG/Yr</v>
      </c>
      <c r="J25" s="241" t="s">
        <v>481</v>
      </c>
      <c r="K25" s="246"/>
      <c r="L25" s="4" t="s">
        <v>480</v>
      </c>
      <c r="M25" s="4"/>
      <c r="N25" s="137"/>
      <c r="P25" s="17"/>
      <c r="Q25" s="17"/>
    </row>
    <row r="26" spans="1:17" s="104" customFormat="1" ht="15" customHeight="1" x14ac:dyDescent="0.25">
      <c r="A26" s="133"/>
      <c r="B26" s="136"/>
      <c r="C26" s="151" t="s">
        <v>450</v>
      </c>
      <c r="D26" s="9"/>
      <c r="E26" s="383"/>
      <c r="F26" s="12"/>
      <c r="G26" s="249">
        <f>IF(OR(P26=1,AND(P26=2,L26=0)),J26*$G$19,L26)</f>
        <v>1.423</v>
      </c>
      <c r="H26" s="5"/>
      <c r="I26" s="208" t="str">
        <f>IF(Instructions!$G$24="million gallons (US)","MG/Yr",IF(Instructions!$G$24="Megalitres (thousand cubic metres)","ML/Yr",IF(Instructions!$G$24="acre-feet","acre-ft/yr","")))</f>
        <v>MG/Yr</v>
      </c>
      <c r="J26" s="254">
        <v>1.2500000000000001E-2</v>
      </c>
      <c r="K26" s="133"/>
      <c r="L26" s="527"/>
      <c r="M26" s="542"/>
      <c r="N26" s="137"/>
      <c r="P26" s="374">
        <v>1</v>
      </c>
      <c r="Q26" s="17"/>
    </row>
    <row r="27" spans="1:17" s="104" customFormat="1" ht="2.25" customHeight="1" x14ac:dyDescent="0.25">
      <c r="A27" s="133"/>
      <c r="B27" s="136"/>
      <c r="C27" s="151"/>
      <c r="D27" s="151"/>
      <c r="E27" s="9"/>
      <c r="F27" s="9"/>
      <c r="G27" s="9"/>
      <c r="H27" s="9"/>
      <c r="I27" s="208"/>
      <c r="J27" s="208"/>
      <c r="K27" s="208"/>
      <c r="L27" s="208">
        <v>24061</v>
      </c>
      <c r="M27" s="208"/>
      <c r="N27" s="137"/>
      <c r="P27" s="39"/>
      <c r="Q27" s="17"/>
    </row>
    <row r="28" spans="1:17" s="104" customFormat="1" ht="15" customHeight="1" x14ac:dyDescent="0.25">
      <c r="A28" s="133"/>
      <c r="B28" s="136"/>
      <c r="C28" s="539" t="str">
        <f>IF(P26=1,"       Default option selected for Unbilled unmetered - a grading of 5 is applied but not displayed",IF(P26=2,IF(L26&gt;0.125*G19,"               Unbilled Unmetered volume entered is greater than the recommended default value",IF(L26=0,"Enter a positive value, otherwise a default percentage of 1.25% and a grading of 5 is applied",""))))</f>
        <v xml:space="preserve">       Default option selected for Unbilled unmetered - a grading of 5 is applied but not displayed</v>
      </c>
      <c r="D28" s="539"/>
      <c r="E28" s="539"/>
      <c r="F28" s="539"/>
      <c r="G28" s="539"/>
      <c r="H28" s="539"/>
      <c r="I28" s="539"/>
      <c r="J28" s="539"/>
      <c r="K28" s="208"/>
      <c r="L28" s="208"/>
      <c r="M28" s="208"/>
      <c r="N28" s="137"/>
      <c r="P28" s="39"/>
      <c r="Q28" s="17"/>
    </row>
    <row r="29" spans="1:17" s="104" customFormat="1" ht="2.25" customHeight="1" x14ac:dyDescent="0.25">
      <c r="A29" s="133"/>
      <c r="B29" s="136"/>
      <c r="C29" s="9"/>
      <c r="D29" s="9"/>
      <c r="E29" s="13"/>
      <c r="F29" s="367"/>
      <c r="G29" s="5"/>
      <c r="H29" s="5"/>
      <c r="I29" s="13"/>
      <c r="J29" s="176"/>
      <c r="K29" s="176"/>
      <c r="L29" s="180"/>
      <c r="M29" s="4"/>
      <c r="N29" s="137"/>
      <c r="P29" s="39"/>
      <c r="Q29" s="17"/>
    </row>
    <row r="30" spans="1:17" s="104" customFormat="1" ht="15" customHeight="1" x14ac:dyDescent="0.25">
      <c r="A30" s="133"/>
      <c r="B30" s="136"/>
      <c r="C30" s="178" t="s">
        <v>568</v>
      </c>
      <c r="D30" s="81"/>
      <c r="E30" s="300"/>
      <c r="F30" s="12"/>
      <c r="G30" s="249">
        <f>SUM(G23:G26)</f>
        <v>102.038</v>
      </c>
      <c r="H30" s="77"/>
      <c r="I30" s="208" t="str">
        <f>IF(Instructions!$G$24="million gallons (US)","MG/Yr",IF(Instructions!$G$24="Megalitres (thousand cubic metres)","ML/Yr",IF(Instructions!$G$24="acre-feet","acre-ft/yr","")))</f>
        <v>MG/Yr</v>
      </c>
      <c r="J30" s="176"/>
      <c r="K30" s="176"/>
      <c r="L30" s="175"/>
      <c r="M30" s="175"/>
      <c r="N30" s="137"/>
      <c r="P30" s="39"/>
      <c r="Q30" s="17"/>
    </row>
    <row r="31" spans="1:17" s="104" customFormat="1" ht="2.25" customHeight="1" x14ac:dyDescent="0.25">
      <c r="A31" s="133"/>
      <c r="B31" s="136"/>
      <c r="C31" s="9"/>
      <c r="D31" s="9"/>
      <c r="E31" s="207"/>
      <c r="F31" s="77"/>
      <c r="G31" s="176"/>
      <c r="H31" s="77"/>
      <c r="I31" s="209"/>
      <c r="J31" s="176"/>
      <c r="K31" s="176"/>
      <c r="L31" s="181"/>
      <c r="M31" s="175"/>
      <c r="N31" s="137"/>
      <c r="P31" s="39"/>
      <c r="Q31" s="17"/>
    </row>
    <row r="32" spans="1:17" s="104" customFormat="1" ht="15" customHeight="1" x14ac:dyDescent="0.25">
      <c r="A32" s="133"/>
      <c r="B32" s="136"/>
      <c r="C32" s="372" t="str">
        <f>IF(AND(G30&gt;=G19,(G30&lt;&gt;0)),"               Check input values; WATER SUPPLIED should be greater than AUTHORIZED CONSUMPTION","")</f>
        <v/>
      </c>
      <c r="D32" s="371"/>
      <c r="E32" s="371"/>
      <c r="F32" s="371"/>
      <c r="G32" s="371"/>
      <c r="H32" s="371"/>
      <c r="I32" s="371"/>
      <c r="J32" s="371"/>
      <c r="K32" s="176"/>
      <c r="L32" s="181"/>
      <c r="M32" s="175"/>
      <c r="N32" s="137"/>
      <c r="P32" s="39"/>
      <c r="Q32" s="17"/>
    </row>
    <row r="33" spans="1:17" s="104" customFormat="1" ht="3" customHeight="1" x14ac:dyDescent="0.25">
      <c r="A33" s="133"/>
      <c r="B33" s="136"/>
      <c r="C33" s="10"/>
      <c r="D33" s="10"/>
      <c r="E33" s="301"/>
      <c r="F33" s="10"/>
      <c r="G33" s="7"/>
      <c r="H33" s="7"/>
      <c r="I33" s="7"/>
      <c r="J33" s="8"/>
      <c r="K33" s="8"/>
      <c r="L33" s="8"/>
      <c r="M33" s="7"/>
      <c r="N33" s="137"/>
      <c r="P33" s="39"/>
      <c r="Q33" s="17"/>
    </row>
    <row r="34" spans="1:17" s="104" customFormat="1" ht="6" customHeight="1" x14ac:dyDescent="0.25">
      <c r="A34" s="133"/>
      <c r="B34" s="136"/>
      <c r="C34" s="12"/>
      <c r="D34" s="12"/>
      <c r="E34" s="300"/>
      <c r="F34" s="12"/>
      <c r="G34" s="4"/>
      <c r="H34" s="4"/>
      <c r="I34" s="4"/>
      <c r="J34" s="13"/>
      <c r="K34" s="13"/>
      <c r="L34" s="13"/>
      <c r="M34" s="4"/>
      <c r="N34" s="137"/>
      <c r="P34" s="39"/>
      <c r="Q34" s="17"/>
    </row>
    <row r="35" spans="1:17" s="104" customFormat="1" ht="15" customHeight="1" x14ac:dyDescent="0.25">
      <c r="A35" s="133"/>
      <c r="B35" s="136"/>
      <c r="C35" s="3" t="s">
        <v>572</v>
      </c>
      <c r="D35" s="3"/>
      <c r="E35" s="300"/>
      <c r="F35" s="3"/>
      <c r="G35" s="249">
        <f>G19-G30</f>
        <v>11.802000000000007</v>
      </c>
      <c r="H35" s="4"/>
      <c r="I35" s="208" t="str">
        <f>IF(Instructions!$G$24="million gallons (US)","MG/Yr",IF(Instructions!$G$24="Megalitres (thousand cubic metres)","ML/Yr",IF(Instructions!$G$24="acre-feet","acre-ft/yr","")))</f>
        <v>MG/Yr</v>
      </c>
      <c r="J35" s="4"/>
      <c r="K35" s="541"/>
      <c r="L35" s="4"/>
      <c r="M35" s="4"/>
      <c r="N35" s="137"/>
      <c r="P35" s="39"/>
      <c r="Q35" s="17"/>
    </row>
    <row r="36" spans="1:17" s="104" customFormat="1" ht="5.25" customHeight="1" x14ac:dyDescent="0.25">
      <c r="A36" s="133"/>
      <c r="B36" s="136"/>
      <c r="C36" s="3"/>
      <c r="D36" s="3"/>
      <c r="E36" s="300"/>
      <c r="F36" s="3"/>
      <c r="G36" s="4"/>
      <c r="H36" s="4"/>
      <c r="I36" s="4"/>
      <c r="J36" s="4"/>
      <c r="K36" s="541"/>
      <c r="L36" s="4"/>
      <c r="M36" s="4"/>
      <c r="N36" s="137"/>
      <c r="P36" s="39"/>
      <c r="Q36" s="17"/>
    </row>
    <row r="37" spans="1:17" s="104" customFormat="1" x14ac:dyDescent="0.25">
      <c r="A37" s="133"/>
      <c r="B37" s="136"/>
      <c r="C37" s="182" t="s">
        <v>290</v>
      </c>
      <c r="D37" s="9"/>
      <c r="E37" s="300"/>
      <c r="F37" s="9"/>
      <c r="G37" s="4"/>
      <c r="H37" s="4"/>
      <c r="I37" s="210"/>
      <c r="J37" s="241" t="s">
        <v>481</v>
      </c>
      <c r="K37" s="246"/>
      <c r="L37" s="4" t="s">
        <v>480</v>
      </c>
      <c r="M37" s="4"/>
      <c r="N37" s="137"/>
      <c r="P37" s="39"/>
      <c r="Q37" s="17"/>
    </row>
    <row r="38" spans="1:17" s="104" customFormat="1" ht="15" customHeight="1" x14ac:dyDescent="0.25">
      <c r="A38" s="133"/>
      <c r="B38" s="136"/>
      <c r="C38" s="151" t="s">
        <v>451</v>
      </c>
      <c r="D38" s="9"/>
      <c r="E38" s="383"/>
      <c r="F38" s="9"/>
      <c r="G38" s="249">
        <f>IF(P38=1,J38*$G$19,L38)</f>
        <v>0.28460000000000002</v>
      </c>
      <c r="H38" s="183"/>
      <c r="I38" s="208" t="str">
        <f>IF(Instructions!$G$24="million gallons (US)","MG/Yr",IF(Instructions!$G$24="Megalitres (thousand cubic metres)","ML/Yr",IF(Instructions!$G$24="acre-feet","acre-ft/yr","")))</f>
        <v>MG/Yr</v>
      </c>
      <c r="J38" s="254">
        <v>2.5000000000000001E-3</v>
      </c>
      <c r="K38" s="229"/>
      <c r="L38" s="527"/>
      <c r="M38" s="528"/>
      <c r="N38" s="137"/>
      <c r="P38" s="374">
        <v>1</v>
      </c>
      <c r="Q38" s="17"/>
    </row>
    <row r="39" spans="1:17" s="104" customFormat="1" ht="2.25" customHeight="1" x14ac:dyDescent="0.25">
      <c r="A39" s="133"/>
      <c r="B39" s="136"/>
      <c r="C39" s="176"/>
      <c r="D39" s="176"/>
      <c r="E39" s="176"/>
      <c r="F39" s="176"/>
      <c r="G39" s="176"/>
      <c r="H39" s="176"/>
      <c r="I39" s="176"/>
      <c r="J39" s="176"/>
      <c r="K39" s="5"/>
      <c r="L39" s="5"/>
      <c r="M39" s="4"/>
      <c r="N39" s="137"/>
      <c r="P39" s="374"/>
      <c r="Q39" s="17"/>
    </row>
    <row r="40" spans="1:17" s="104" customFormat="1" ht="15" customHeight="1" x14ac:dyDescent="0.25">
      <c r="A40" s="133"/>
      <c r="B40" s="136"/>
      <c r="C40" s="538" t="str">
        <f>IF(P38=1,"                Default option selected for unauthorized consumption - a grading of 5 is applied but not displayed                ",IF(P38=2,IF(L38&gt;0.025*G19,"Unauthorized consumption volume entered is greater than the recommended default value",IF(L38=0,"Enter a positive value, otherwise a default percentage of 0.25% and a grading of 5 is applied",""))))</f>
        <v xml:space="preserve">                Default option selected for unauthorized consumption - a grading of 5 is applied but not displayed                </v>
      </c>
      <c r="D40" s="539"/>
      <c r="E40" s="539"/>
      <c r="F40" s="539"/>
      <c r="G40" s="539"/>
      <c r="H40" s="539"/>
      <c r="I40" s="539"/>
      <c r="J40" s="539"/>
      <c r="K40" s="5"/>
      <c r="L40" s="5"/>
      <c r="M40" s="4"/>
      <c r="N40" s="137"/>
      <c r="P40" s="374"/>
      <c r="Q40" s="17"/>
    </row>
    <row r="41" spans="1:17" s="104" customFormat="1" ht="2.25" customHeight="1" x14ac:dyDescent="0.25">
      <c r="A41" s="133"/>
      <c r="B41" s="136"/>
      <c r="C41" s="151"/>
      <c r="D41" s="9"/>
      <c r="E41" s="9"/>
      <c r="F41" s="9"/>
      <c r="G41" s="368"/>
      <c r="H41" s="9"/>
      <c r="I41" s="208"/>
      <c r="J41" s="4"/>
      <c r="K41" s="5"/>
      <c r="L41" s="5"/>
      <c r="M41" s="4"/>
      <c r="N41" s="137"/>
      <c r="P41" s="374"/>
      <c r="Q41" s="17"/>
    </row>
    <row r="42" spans="1:17" s="104" customFormat="1" ht="15" customHeight="1" x14ac:dyDescent="0.25">
      <c r="A42" s="133"/>
      <c r="B42" s="136"/>
      <c r="C42" s="151" t="s">
        <v>452</v>
      </c>
      <c r="D42" s="9"/>
      <c r="E42" s="383">
        <v>6</v>
      </c>
      <c r="F42" s="9"/>
      <c r="G42" s="249">
        <f>IF(P42=1,((G23+G25)/(1-J42))-(G23+G25),L42)</f>
        <v>5.2955263157894734</v>
      </c>
      <c r="H42" s="183"/>
      <c r="I42" s="208" t="str">
        <f>IF(Instructions!$G$24="million gallons (US)","MG/Yr",IF(Instructions!$G$24="Megalitres (thousand cubic metres)","ML/Yr",IF(Instructions!$G$24="acre-feet","acre-ft/yr","")))</f>
        <v>MG/Yr</v>
      </c>
      <c r="J42" s="255">
        <v>0.05</v>
      </c>
      <c r="K42" s="229"/>
      <c r="L42" s="527"/>
      <c r="M42" s="528"/>
      <c r="N42" s="137"/>
      <c r="P42" s="374">
        <v>1</v>
      </c>
      <c r="Q42" s="17"/>
    </row>
    <row r="43" spans="1:17" s="104" customFormat="1" x14ac:dyDescent="0.25">
      <c r="A43" s="133"/>
      <c r="B43" s="136"/>
      <c r="C43" s="151" t="s">
        <v>16</v>
      </c>
      <c r="D43" s="9"/>
      <c r="E43" s="383">
        <v>5</v>
      </c>
      <c r="F43" s="9"/>
      <c r="G43" s="250">
        <v>0.2</v>
      </c>
      <c r="H43" s="183"/>
      <c r="I43" s="208" t="str">
        <f>IF(Instructions!$G$24="million gallons (US)","MG/Yr",IF(Instructions!$G$24="Megalitres (thousand cubic metres)","ML/Yr",IF(Instructions!$G$24="acre-feet","acre-ft/yr","")))</f>
        <v>MG/Yr</v>
      </c>
      <c r="J43" s="4"/>
      <c r="K43" s="5"/>
      <c r="L43" s="5"/>
      <c r="M43" s="4"/>
      <c r="N43" s="137"/>
      <c r="P43" s="39"/>
      <c r="Q43" s="17"/>
    </row>
    <row r="44" spans="1:17" s="104" customFormat="1" ht="2.25" customHeight="1" x14ac:dyDescent="0.25">
      <c r="A44" s="133"/>
      <c r="B44" s="136"/>
      <c r="C44" s="151"/>
      <c r="D44" s="9"/>
      <c r="E44" s="9"/>
      <c r="F44" s="9"/>
      <c r="G44" s="9"/>
      <c r="H44" s="9"/>
      <c r="I44" s="9"/>
      <c r="J44" s="4"/>
      <c r="K44" s="5"/>
      <c r="L44" s="529" t="str">
        <f>IF(AND($P$42=1,ISBLANK($J$42)),"Enter a percentage less than 10% in the red cell (J42), or select 'Value' option","Choose this option to enter a percentage of billed metered consumption. This is NOT a default value")</f>
        <v>Choose this option to enter a percentage of billed metered consumption. This is NOT a default value</v>
      </c>
      <c r="M44" s="529"/>
      <c r="N44" s="137"/>
      <c r="P44" s="39"/>
      <c r="Q44" s="17"/>
    </row>
    <row r="45" spans="1:17" s="104" customFormat="1" x14ac:dyDescent="0.25">
      <c r="A45" s="133"/>
      <c r="B45" s="136"/>
      <c r="C45" s="518" t="str">
        <f>IF(OR(G19=0,E43="n/a"),"",IF(OR(ISBLANK(G43),G43=0),"Systematic data handling errors are likely, please enter a non-zero value; otherwise grade = 5",""))</f>
        <v/>
      </c>
      <c r="D45" s="518"/>
      <c r="E45" s="518"/>
      <c r="F45" s="518"/>
      <c r="G45" s="518"/>
      <c r="H45" s="518"/>
      <c r="I45" s="518"/>
      <c r="J45" s="518"/>
      <c r="K45" s="5"/>
      <c r="L45" s="529"/>
      <c r="M45" s="529"/>
      <c r="N45" s="137"/>
      <c r="P45" s="39"/>
      <c r="Q45" s="17"/>
    </row>
    <row r="46" spans="1:17" s="104" customFormat="1" ht="2.25" customHeight="1" x14ac:dyDescent="0.25">
      <c r="A46" s="133"/>
      <c r="B46" s="136"/>
      <c r="C46" s="151"/>
      <c r="D46" s="9"/>
      <c r="E46" s="9"/>
      <c r="F46" s="9"/>
      <c r="G46" s="9"/>
      <c r="H46" s="9"/>
      <c r="I46" s="9"/>
      <c r="J46" s="4"/>
      <c r="K46" s="5"/>
      <c r="L46" s="529"/>
      <c r="M46" s="529"/>
      <c r="N46" s="137"/>
      <c r="P46" s="39"/>
      <c r="Q46" s="17"/>
    </row>
    <row r="47" spans="1:17" s="104" customFormat="1" x14ac:dyDescent="0.25">
      <c r="A47" s="133"/>
      <c r="B47" s="136"/>
      <c r="C47" s="151" t="s">
        <v>257</v>
      </c>
      <c r="D47" s="9"/>
      <c r="E47" s="303"/>
      <c r="F47" s="9"/>
      <c r="G47" s="249">
        <f>G38+G42+G43</f>
        <v>5.7801263157894738</v>
      </c>
      <c r="H47" s="9"/>
      <c r="I47" s="208" t="s">
        <v>491</v>
      </c>
      <c r="J47" s="4"/>
      <c r="K47" s="176"/>
      <c r="L47" s="529"/>
      <c r="M47" s="529"/>
      <c r="N47" s="137"/>
    </row>
    <row r="48" spans="1:17" s="104" customFormat="1" ht="2.25" customHeight="1" x14ac:dyDescent="0.25">
      <c r="A48" s="133"/>
      <c r="B48" s="136"/>
      <c r="C48" s="9"/>
      <c r="D48" s="14"/>
      <c r="E48" s="14"/>
      <c r="F48" s="14"/>
      <c r="G48" s="176"/>
      <c r="H48" s="14"/>
      <c r="I48" s="77"/>
      <c r="J48" s="5"/>
      <c r="K48" s="176"/>
      <c r="L48" s="529"/>
      <c r="M48" s="529"/>
      <c r="N48" s="137"/>
    </row>
    <row r="49" spans="1:14" s="104" customFormat="1" ht="15" customHeight="1" x14ac:dyDescent="0.25">
      <c r="A49" s="133"/>
      <c r="B49" s="136"/>
      <c r="C49" s="540" t="str">
        <f>IF(AND(G47&gt;=G35,(G47&lt;&gt;0)),"Check input values; APPARENT LOSSES should be less than WATER LOSSES","")</f>
        <v/>
      </c>
      <c r="D49" s="540"/>
      <c r="E49" s="540"/>
      <c r="F49" s="540"/>
      <c r="G49" s="540"/>
      <c r="H49" s="540"/>
      <c r="I49" s="540"/>
      <c r="J49" s="540"/>
      <c r="K49" s="176"/>
      <c r="L49" s="529"/>
      <c r="M49" s="529"/>
      <c r="N49" s="137"/>
    </row>
    <row r="50" spans="1:14" s="104" customFormat="1" ht="2.25" customHeight="1" x14ac:dyDescent="0.25">
      <c r="A50" s="133"/>
      <c r="B50" s="136"/>
      <c r="C50" s="9"/>
      <c r="D50" s="14"/>
      <c r="E50" s="364"/>
      <c r="F50" s="14"/>
      <c r="G50" s="176"/>
      <c r="H50" s="14"/>
      <c r="I50" s="77"/>
      <c r="J50" s="5"/>
      <c r="K50" s="176"/>
      <c r="L50" s="529"/>
      <c r="M50" s="529"/>
      <c r="N50" s="137"/>
    </row>
    <row r="51" spans="1:14" s="104" customFormat="1" ht="10.5" customHeight="1" x14ac:dyDescent="0.25">
      <c r="A51" s="133"/>
      <c r="B51" s="136"/>
      <c r="C51" s="182" t="s">
        <v>164</v>
      </c>
      <c r="D51" s="14"/>
      <c r="E51" s="303"/>
      <c r="F51" s="14"/>
      <c r="G51" s="209"/>
      <c r="H51" s="176"/>
      <c r="I51" s="209"/>
      <c r="J51" s="176"/>
      <c r="K51" s="176"/>
      <c r="L51" s="529"/>
      <c r="M51" s="529"/>
      <c r="N51" s="137"/>
    </row>
    <row r="52" spans="1:14" s="104" customFormat="1" x14ac:dyDescent="0.25">
      <c r="A52" s="133"/>
      <c r="B52" s="136"/>
      <c r="C52" s="151" t="s">
        <v>315</v>
      </c>
      <c r="D52" s="14"/>
      <c r="E52" s="303"/>
      <c r="F52" s="14"/>
      <c r="G52" s="249">
        <f>G19-(G30+G47)</f>
        <v>6.0218736842105329</v>
      </c>
      <c r="H52" s="14"/>
      <c r="I52" s="208" t="str">
        <f>IF(Instructions!$G$24="million gallons (US)","MG/Yr",IF(Instructions!$G$24="Megalitres (thousand cubic metres)","ML/Yr",IF(Instructions!$G$24="acre-feet","acre-ft/yr","")))</f>
        <v>MG/Yr</v>
      </c>
      <c r="J52" s="176"/>
      <c r="K52" s="176"/>
      <c r="L52" s="5"/>
      <c r="M52" s="4"/>
      <c r="N52" s="137"/>
    </row>
    <row r="53" spans="1:14" s="104" customFormat="1" ht="6.75" customHeight="1" x14ac:dyDescent="0.25">
      <c r="A53" s="133"/>
      <c r="B53" s="136"/>
      <c r="C53" s="9"/>
      <c r="D53" s="14"/>
      <c r="E53" s="303"/>
      <c r="F53" s="14"/>
      <c r="G53" s="129"/>
      <c r="H53" s="14"/>
      <c r="I53" s="13"/>
      <c r="J53" s="176"/>
      <c r="K53" s="176"/>
      <c r="L53" s="5"/>
      <c r="M53" s="4"/>
      <c r="N53" s="137"/>
    </row>
    <row r="54" spans="1:14" s="104" customFormat="1" x14ac:dyDescent="0.25">
      <c r="A54" s="133"/>
      <c r="B54" s="136"/>
      <c r="C54" s="178" t="s">
        <v>565</v>
      </c>
      <c r="D54" s="82"/>
      <c r="E54" s="303"/>
      <c r="F54" s="16"/>
      <c r="G54" s="249">
        <f>G47+G52</f>
        <v>11.802000000000007</v>
      </c>
      <c r="H54" s="5"/>
      <c r="I54" s="208" t="str">
        <f>IF(Instructions!$G$24="million gallons (US)","MG/Yr",IF(Instructions!$G$24="Megalitres (thousand cubic metres)","ML/Yr",IF(Instructions!$G$24="acre-feet","acre-ft/yr","")))</f>
        <v>MG/Yr</v>
      </c>
      <c r="J54" s="4"/>
      <c r="K54" s="176"/>
      <c r="L54" s="13"/>
      <c r="M54" s="184"/>
      <c r="N54" s="137"/>
    </row>
    <row r="55" spans="1:14" s="104" customFormat="1" ht="5.25" customHeight="1" x14ac:dyDescent="0.25">
      <c r="A55" s="133"/>
      <c r="B55" s="136"/>
      <c r="C55" s="185"/>
      <c r="D55" s="15"/>
      <c r="E55" s="304"/>
      <c r="F55" s="15"/>
      <c r="G55" s="11"/>
      <c r="H55" s="11"/>
      <c r="I55" s="11"/>
      <c r="J55" s="8"/>
      <c r="K55" s="8"/>
      <c r="L55" s="8"/>
      <c r="M55" s="7"/>
      <c r="N55" s="137"/>
    </row>
    <row r="56" spans="1:14" s="104" customFormat="1" ht="6" customHeight="1" x14ac:dyDescent="0.25">
      <c r="A56" s="133"/>
      <c r="B56" s="136"/>
      <c r="C56" s="9"/>
      <c r="D56" s="16"/>
      <c r="E56" s="302"/>
      <c r="F56" s="16"/>
      <c r="G56" s="5"/>
      <c r="H56" s="5"/>
      <c r="I56" s="5"/>
      <c r="J56" s="13"/>
      <c r="K56" s="13"/>
      <c r="L56" s="13"/>
      <c r="M56" s="4"/>
      <c r="N56" s="137"/>
    </row>
    <row r="57" spans="1:14" s="104" customFormat="1" ht="13.5" customHeight="1" x14ac:dyDescent="0.25">
      <c r="A57" s="133"/>
      <c r="B57" s="136"/>
      <c r="C57" s="182" t="s">
        <v>36</v>
      </c>
      <c r="D57" s="14"/>
      <c r="E57" s="303"/>
      <c r="F57" s="14"/>
      <c r="G57" s="129"/>
      <c r="H57" s="14"/>
      <c r="I57" s="13"/>
      <c r="J57" s="176"/>
      <c r="K57" s="176"/>
      <c r="L57" s="5"/>
      <c r="M57" s="4"/>
      <c r="N57" s="137"/>
    </row>
    <row r="58" spans="1:14" s="104" customFormat="1" ht="13.5" customHeight="1" x14ac:dyDescent="0.25">
      <c r="A58" s="133"/>
      <c r="B58" s="136"/>
      <c r="C58" s="9" t="s">
        <v>458</v>
      </c>
      <c r="D58" s="14"/>
      <c r="E58" s="303"/>
      <c r="F58" s="14"/>
      <c r="G58" s="249">
        <f>G47+G52+G25+G26</f>
        <v>13.225000000000007</v>
      </c>
      <c r="H58" s="14"/>
      <c r="I58" s="208" t="str">
        <f>IF(Instructions!$G$24="million gallons (US)","MG/Yr",IF(Instructions!$G$24="Megalitres (thousand cubic metres)","ML/Yr",IF(Instructions!$G$24="acre-feet","acre-ft/yr","")))</f>
        <v>MG/Yr</v>
      </c>
      <c r="J58" s="176"/>
      <c r="K58" s="176"/>
      <c r="L58" s="5"/>
      <c r="M58" s="4"/>
      <c r="N58" s="137"/>
    </row>
    <row r="59" spans="1:14" s="104" customFormat="1" ht="13.5" customHeight="1" x14ac:dyDescent="0.25">
      <c r="A59" s="133"/>
      <c r="B59" s="136"/>
      <c r="C59" s="404" t="s">
        <v>603</v>
      </c>
      <c r="D59" s="405"/>
      <c r="E59" s="405"/>
      <c r="F59" s="405"/>
      <c r="G59" s="405"/>
      <c r="H59" s="405"/>
      <c r="I59" s="405"/>
      <c r="J59" s="405"/>
      <c r="K59" s="405"/>
      <c r="L59" s="405"/>
      <c r="M59" s="405"/>
      <c r="N59" s="137"/>
    </row>
    <row r="60" spans="1:14" s="104" customFormat="1" ht="16.5" customHeight="1" x14ac:dyDescent="0.25">
      <c r="A60" s="133"/>
      <c r="B60" s="136"/>
      <c r="C60" s="3" t="s">
        <v>406</v>
      </c>
      <c r="D60" s="3"/>
      <c r="E60" s="302"/>
      <c r="F60" s="3"/>
      <c r="G60" s="4"/>
      <c r="H60" s="4"/>
      <c r="I60" s="4"/>
      <c r="J60" s="4"/>
      <c r="K60" s="4"/>
      <c r="L60" s="4"/>
      <c r="M60" s="4"/>
      <c r="N60" s="137"/>
    </row>
    <row r="61" spans="1:14" s="104" customFormat="1" ht="5.25" customHeight="1" x14ac:dyDescent="0.25">
      <c r="A61" s="133"/>
      <c r="B61" s="136"/>
      <c r="C61" s="3"/>
      <c r="D61" s="3"/>
      <c r="E61" s="302"/>
      <c r="F61" s="3"/>
      <c r="G61" s="4"/>
      <c r="H61" s="4"/>
      <c r="I61" s="4"/>
      <c r="J61" s="4"/>
      <c r="K61" s="4"/>
      <c r="L61" s="4"/>
      <c r="M61" s="4"/>
      <c r="N61" s="137"/>
    </row>
    <row r="62" spans="1:14" s="104" customFormat="1" x14ac:dyDescent="0.25">
      <c r="A62" s="133"/>
      <c r="B62" s="136"/>
      <c r="C62" s="151" t="s">
        <v>453</v>
      </c>
      <c r="D62" s="3"/>
      <c r="E62" s="383">
        <v>5</v>
      </c>
      <c r="F62" s="3"/>
      <c r="G62" s="223">
        <v>24.3</v>
      </c>
      <c r="H62" s="186"/>
      <c r="I62" s="211" t="str">
        <f>IF(ISBLANK(Instructions!$G$24),"",IF(Instructions!$G$24="Megalitres (thousand cubic metres)","kilometers","miles"))</f>
        <v>miles</v>
      </c>
      <c r="J62" s="4"/>
      <c r="K62" s="4"/>
      <c r="L62" s="4"/>
      <c r="M62" s="4"/>
      <c r="N62" s="137"/>
    </row>
    <row r="63" spans="1:14" s="104" customFormat="1" x14ac:dyDescent="0.25">
      <c r="A63" s="133"/>
      <c r="B63" s="136"/>
      <c r="C63" s="151" t="s">
        <v>443</v>
      </c>
      <c r="D63" s="3"/>
      <c r="E63" s="383">
        <v>6</v>
      </c>
      <c r="F63" s="3"/>
      <c r="G63" s="100">
        <v>1750</v>
      </c>
      <c r="H63" s="186"/>
      <c r="I63" s="210"/>
      <c r="J63" s="4"/>
      <c r="K63" s="4"/>
      <c r="L63" s="4"/>
      <c r="M63" s="4"/>
      <c r="N63" s="137"/>
    </row>
    <row r="64" spans="1:14" s="104" customFormat="1" x14ac:dyDescent="0.25">
      <c r="A64" s="133"/>
      <c r="B64" s="136"/>
      <c r="C64" s="151" t="s">
        <v>407</v>
      </c>
      <c r="D64" s="3"/>
      <c r="E64" s="386"/>
      <c r="F64" s="3"/>
      <c r="G64" s="117">
        <f>IF(ISERROR(G63/G62),"",G63/G62)</f>
        <v>72.016460905349788</v>
      </c>
      <c r="H64" s="4"/>
      <c r="I64" s="211" t="str">
        <f>IF(ISBLANK(Instructions!$G$24),"",IF(Instructions!$G$24="Megalitres (thousand cubic metres)","conn./km","conn./mile")&amp; " main")</f>
        <v>conn./mile main</v>
      </c>
      <c r="J64" s="176"/>
      <c r="K64" s="176"/>
      <c r="L64" s="4"/>
      <c r="M64" s="4"/>
      <c r="N64" s="137"/>
    </row>
    <row r="65" spans="1:16" s="104" customFormat="1" ht="13.5" customHeight="1" x14ac:dyDescent="0.25">
      <c r="A65" s="133"/>
      <c r="B65" s="136"/>
      <c r="C65" s="407" t="s">
        <v>316</v>
      </c>
      <c r="D65" s="3"/>
      <c r="E65" s="383">
        <v>5</v>
      </c>
      <c r="F65" s="3"/>
      <c r="G65" s="223">
        <v>40</v>
      </c>
      <c r="H65" s="3"/>
      <c r="I65" s="211" t="str">
        <f>IF(ISBLANK(Instructions!$G$24),"",IF(Instructions!G24="Megalitres (thousand cubic metres)","metres","ft"))</f>
        <v>ft</v>
      </c>
      <c r="J65" s="516"/>
      <c r="K65" s="517"/>
      <c r="L65" s="517"/>
      <c r="M65" s="517"/>
      <c r="N65" s="137"/>
    </row>
    <row r="66" spans="1:16" s="104" customFormat="1" x14ac:dyDescent="0.25">
      <c r="A66" s="133"/>
      <c r="B66" s="136"/>
      <c r="C66" s="4"/>
      <c r="D66" s="3"/>
      <c r="E66" s="386"/>
      <c r="F66" s="3"/>
      <c r="G66" s="38"/>
      <c r="H66" s="3"/>
      <c r="I66" s="4"/>
      <c r="J66" s="517"/>
      <c r="K66" s="517"/>
      <c r="L66" s="517"/>
      <c r="M66" s="517"/>
      <c r="N66" s="137"/>
    </row>
    <row r="67" spans="1:16" s="104" customFormat="1" x14ac:dyDescent="0.25">
      <c r="A67" s="133"/>
      <c r="B67" s="136"/>
      <c r="C67" s="151" t="s">
        <v>454</v>
      </c>
      <c r="D67" s="3"/>
      <c r="E67" s="383">
        <v>3</v>
      </c>
      <c r="F67" s="3"/>
      <c r="G67" s="223">
        <v>96</v>
      </c>
      <c r="H67" s="187"/>
      <c r="I67" s="211" t="str">
        <f>IF(ISBLANK(Instructions!$G$24),"",IF(Instructions!G24="Megalitres (thousand cubic metres)","metres (head)","psi"))</f>
        <v>psi</v>
      </c>
      <c r="J67" s="4"/>
      <c r="K67" s="180"/>
      <c r="L67" s="4"/>
      <c r="M67" s="4"/>
      <c r="N67" s="137"/>
    </row>
    <row r="68" spans="1:16" s="104" customFormat="1" ht="3" customHeight="1" x14ac:dyDescent="0.25">
      <c r="A68" s="133"/>
      <c r="B68" s="136"/>
      <c r="C68" s="151"/>
      <c r="D68" s="3"/>
      <c r="E68" s="3"/>
      <c r="F68" s="3"/>
      <c r="G68" s="3"/>
      <c r="H68" s="3"/>
      <c r="I68" s="211"/>
      <c r="J68" s="4"/>
      <c r="K68" s="180"/>
      <c r="L68" s="4"/>
      <c r="M68" s="4"/>
      <c r="N68" s="137"/>
    </row>
    <row r="69" spans="1:16" s="104" customFormat="1" x14ac:dyDescent="0.25">
      <c r="A69" s="133"/>
      <c r="B69" s="136"/>
      <c r="C69" s="539" t="str">
        <f>IF(ISBLANK(G67),"",IF(OR(AND(P69=1,G67&lt;=25),AND(P69&lt;&gt;1,G67&lt;=40)),"Note: Average pressure this low will not allow for calculation of UARL",""))</f>
        <v/>
      </c>
      <c r="D69" s="539"/>
      <c r="E69" s="539"/>
      <c r="F69" s="539"/>
      <c r="G69" s="539"/>
      <c r="H69" s="539"/>
      <c r="I69" s="539"/>
      <c r="J69" s="539"/>
      <c r="K69" s="327"/>
      <c r="L69" s="4"/>
      <c r="M69" s="4"/>
      <c r="N69" s="137"/>
      <c r="P69" s="104">
        <f>IF(Instructions!G24="Megalitres (thousand cubic metres)",1,0)</f>
        <v>0</v>
      </c>
    </row>
    <row r="70" spans="1:16" s="104" customFormat="1" ht="2.25" customHeight="1" x14ac:dyDescent="0.25">
      <c r="A70" s="133"/>
      <c r="B70" s="136"/>
      <c r="C70" s="6"/>
      <c r="D70" s="7"/>
      <c r="E70" s="7"/>
      <c r="F70" s="7"/>
      <c r="G70" s="7"/>
      <c r="H70" s="7"/>
      <c r="I70" s="7"/>
      <c r="J70" s="7"/>
      <c r="K70" s="7"/>
      <c r="L70" s="7"/>
      <c r="M70" s="7"/>
      <c r="N70" s="137"/>
    </row>
    <row r="71" spans="1:16" s="104" customFormat="1" ht="6" customHeight="1" x14ac:dyDescent="0.25">
      <c r="A71" s="133"/>
      <c r="B71" s="136"/>
      <c r="C71" s="3"/>
      <c r="D71" s="3"/>
      <c r="E71" s="302"/>
      <c r="F71" s="3"/>
      <c r="G71" s="4"/>
      <c r="H71" s="4"/>
      <c r="I71" s="4"/>
      <c r="J71" s="4"/>
      <c r="K71" s="4"/>
      <c r="L71" s="4"/>
      <c r="M71" s="4"/>
      <c r="N71" s="137"/>
    </row>
    <row r="72" spans="1:16" s="104" customFormat="1" ht="13.5" customHeight="1" x14ac:dyDescent="0.25">
      <c r="A72" s="133"/>
      <c r="B72" s="136"/>
      <c r="C72" s="3" t="s">
        <v>192</v>
      </c>
      <c r="D72" s="3"/>
      <c r="E72" s="302"/>
      <c r="F72" s="3"/>
      <c r="G72" s="118"/>
      <c r="H72" s="4"/>
      <c r="I72" s="4"/>
      <c r="J72" s="4"/>
      <c r="K72" s="4"/>
      <c r="L72" s="4"/>
      <c r="M72" s="4"/>
      <c r="N72" s="137"/>
    </row>
    <row r="73" spans="1:16" s="104" customFormat="1" ht="5.25" customHeight="1" x14ac:dyDescent="0.25">
      <c r="A73" s="133"/>
      <c r="B73" s="136"/>
      <c r="C73" s="3"/>
      <c r="D73" s="3"/>
      <c r="E73" s="302"/>
      <c r="F73" s="3"/>
      <c r="G73" s="4"/>
      <c r="H73" s="4"/>
      <c r="I73" s="4"/>
      <c r="J73" s="4"/>
      <c r="K73" s="4"/>
      <c r="L73" s="4"/>
      <c r="M73" s="4"/>
      <c r="N73" s="137"/>
    </row>
    <row r="74" spans="1:16" s="104" customFormat="1" ht="14.25" customHeight="1" x14ac:dyDescent="0.25">
      <c r="A74" s="133"/>
      <c r="B74" s="136"/>
      <c r="C74" s="151" t="s">
        <v>455</v>
      </c>
      <c r="D74" s="9"/>
      <c r="E74" s="383">
        <v>10</v>
      </c>
      <c r="F74" s="4"/>
      <c r="G74" s="365">
        <v>538649</v>
      </c>
      <c r="H74" s="4"/>
      <c r="I74" s="211" t="s">
        <v>200</v>
      </c>
      <c r="J74" s="4"/>
      <c r="K74" s="4"/>
      <c r="L74" s="4"/>
      <c r="M74" s="4"/>
      <c r="N74" s="137"/>
    </row>
    <row r="75" spans="1:16" s="104" customFormat="1" ht="14.25" customHeight="1" x14ac:dyDescent="0.25">
      <c r="A75" s="133"/>
      <c r="B75" s="136"/>
      <c r="C75" s="188" t="s">
        <v>602</v>
      </c>
      <c r="D75" s="9"/>
      <c r="E75" s="383">
        <v>8</v>
      </c>
      <c r="F75" s="4"/>
      <c r="G75" s="366">
        <v>6.88</v>
      </c>
      <c r="H75" s="4"/>
      <c r="I75" s="519" t="s">
        <v>457</v>
      </c>
      <c r="J75" s="520"/>
      <c r="K75" s="521"/>
      <c r="L75" s="530" t="str">
        <f>IF(AND(NOT(ISBLANK(G75)),ISBLANK(I75)),"&lt;--Enter units","")</f>
        <v/>
      </c>
      <c r="M75" s="531"/>
      <c r="N75" s="137"/>
    </row>
    <row r="76" spans="1:16" s="104" customFormat="1" ht="13.5" customHeight="1" x14ac:dyDescent="0.25">
      <c r="A76" s="133"/>
      <c r="B76" s="136"/>
      <c r="C76" s="188" t="s">
        <v>411</v>
      </c>
      <c r="D76" s="9"/>
      <c r="E76" s="383">
        <v>8</v>
      </c>
      <c r="F76" s="4"/>
      <c r="G76" s="366">
        <v>3727.83</v>
      </c>
      <c r="H76" s="4"/>
      <c r="I76" s="208" t="str">
        <f>"$/"&amp;IF(Instructions!$G$24="million gallons (US)","Million gallons",IF(Instructions!$G$24="Megalitres (thousand cubic metres)","Megalitre",IF(Instructions!$G$24="acre-feet","acre-ft","")))</f>
        <v>$/Million gallons</v>
      </c>
      <c r="J76" s="4"/>
      <c r="K76" s="4"/>
      <c r="L76" s="118"/>
      <c r="M76" s="4"/>
      <c r="N76" s="137"/>
    </row>
    <row r="77" spans="1:16" s="104" customFormat="1" ht="2.25" customHeight="1" x14ac:dyDescent="0.25">
      <c r="A77" s="133"/>
      <c r="B77" s="136"/>
      <c r="C77" s="3"/>
      <c r="D77" s="3"/>
      <c r="E77" s="299"/>
      <c r="F77" s="3"/>
      <c r="G77" s="4"/>
      <c r="H77" s="4"/>
      <c r="I77" s="4"/>
      <c r="J77" s="4"/>
      <c r="K77" s="4"/>
      <c r="L77" s="4"/>
      <c r="M77" s="4"/>
      <c r="N77" s="137"/>
    </row>
    <row r="78" spans="1:16" s="104" customFormat="1" ht="13.5" customHeight="1" x14ac:dyDescent="0.25">
      <c r="A78" s="133"/>
      <c r="B78" s="136"/>
      <c r="C78" s="515" t="str">
        <f>IF(OR(ISBLANK(I75),ISBLANK(I76),ISBLANK(G76)),"",IF(G75*INDEX(Sheet1!B2:D4,MATCH(Instructions!G24,Sheet1!A2:A4,0),MATCH(I75,Sheet1!B1:D1,0))/G76&gt;1,"","Retail costs are less than (or equal to) production costs; please review and correct if necessary"))</f>
        <v/>
      </c>
      <c r="D78" s="515"/>
      <c r="E78" s="515"/>
      <c r="F78" s="515"/>
      <c r="G78" s="515"/>
      <c r="H78" s="515"/>
      <c r="I78" s="515"/>
      <c r="J78" s="515"/>
      <c r="K78" s="515"/>
      <c r="L78" s="515"/>
      <c r="M78" s="4"/>
      <c r="N78" s="137"/>
      <c r="P78" s="104">
        <f>IF(OR(ISBLANK(I75),ISBLANK(I76),ISBLANK(G76)),"",IF(G75*INDEX(Sheet1!B2:D4,MATCH(Instructions!G24,Sheet1!A2:A4,0),MATCH(I75,Sheet1!B1:D1,0))/G76&gt;1,0,1))</f>
        <v>0</v>
      </c>
    </row>
    <row r="79" spans="1:16" s="104" customFormat="1" ht="2.25" customHeight="1" x14ac:dyDescent="0.25">
      <c r="A79" s="133"/>
      <c r="B79" s="136"/>
      <c r="C79" s="6"/>
      <c r="D79" s="6"/>
      <c r="E79" s="298"/>
      <c r="F79" s="6"/>
      <c r="G79" s="7"/>
      <c r="H79" s="7"/>
      <c r="I79" s="7"/>
      <c r="J79" s="7"/>
      <c r="K79" s="7"/>
      <c r="L79" s="7"/>
      <c r="M79" s="7"/>
      <c r="N79" s="137"/>
    </row>
    <row r="80" spans="1:16" s="104" customFormat="1" ht="6" customHeight="1" x14ac:dyDescent="0.25">
      <c r="A80" s="133"/>
      <c r="B80" s="136"/>
      <c r="C80" s="190"/>
      <c r="D80" s="3"/>
      <c r="E80" s="295"/>
      <c r="F80" s="3"/>
      <c r="G80" s="4"/>
      <c r="H80" s="4"/>
      <c r="I80" s="4"/>
      <c r="J80" s="4"/>
      <c r="K80" s="4"/>
      <c r="L80" s="4"/>
      <c r="M80" s="4"/>
      <c r="N80" s="137"/>
    </row>
    <row r="81" spans="1:14" s="104" customFormat="1" ht="13.5" customHeight="1" x14ac:dyDescent="0.25">
      <c r="A81" s="133"/>
      <c r="B81" s="136"/>
      <c r="C81" s="3" t="s">
        <v>196</v>
      </c>
      <c r="D81" s="3"/>
      <c r="E81" s="295"/>
      <c r="F81" s="3"/>
      <c r="G81" s="4"/>
      <c r="H81" s="4"/>
      <c r="I81" s="120"/>
      <c r="J81" s="4"/>
      <c r="K81" s="4"/>
      <c r="L81" s="4"/>
      <c r="M81" s="4"/>
      <c r="N81" s="137"/>
    </row>
    <row r="82" spans="1:14" s="104" customFormat="1" ht="5.25" customHeight="1" x14ac:dyDescent="0.25">
      <c r="A82" s="133"/>
      <c r="B82" s="136"/>
      <c r="C82" s="3"/>
      <c r="D82" s="3"/>
      <c r="E82" s="295"/>
      <c r="F82" s="3"/>
      <c r="G82" s="4"/>
      <c r="H82" s="4"/>
      <c r="I82" s="4"/>
      <c r="J82" s="4"/>
      <c r="K82" s="4"/>
      <c r="L82" s="4"/>
      <c r="M82" s="4"/>
      <c r="N82" s="137"/>
    </row>
    <row r="83" spans="1:14" s="104" customFormat="1" ht="13.5" customHeight="1" x14ac:dyDescent="0.25">
      <c r="A83" s="133"/>
      <c r="B83" s="136"/>
      <c r="C83" s="191" t="s">
        <v>197</v>
      </c>
      <c r="D83" s="3"/>
      <c r="E83" s="295"/>
      <c r="F83" s="3"/>
      <c r="G83" s="4"/>
      <c r="H83" s="4"/>
      <c r="I83" s="4"/>
      <c r="J83" s="4"/>
      <c r="K83" s="4"/>
      <c r="L83" s="4"/>
      <c r="M83" s="4"/>
      <c r="N83" s="137"/>
    </row>
    <row r="84" spans="1:14" s="104" customFormat="1" ht="13.5" customHeight="1" x14ac:dyDescent="0.25">
      <c r="A84" s="133"/>
      <c r="B84" s="136"/>
      <c r="C84" s="176"/>
      <c r="D84" s="3"/>
      <c r="E84" s="295"/>
      <c r="F84" s="3"/>
      <c r="G84" s="151" t="s">
        <v>148</v>
      </c>
      <c r="H84" s="4"/>
      <c r="I84" s="79">
        <f>IF(ISERROR(1/G19),"",(G25+G26+G47+G52)/G19)</f>
        <v>0.11617182009838375</v>
      </c>
      <c r="J84" s="210"/>
      <c r="K84" s="210"/>
      <c r="L84" s="4"/>
      <c r="M84" s="4"/>
      <c r="N84" s="137"/>
    </row>
    <row r="85" spans="1:14" s="104" customFormat="1" ht="13.5" customHeight="1" x14ac:dyDescent="0.25">
      <c r="A85" s="133"/>
      <c r="B85" s="136"/>
      <c r="C85" s="176"/>
      <c r="D85" s="3"/>
      <c r="E85" s="295"/>
      <c r="F85" s="3"/>
      <c r="G85" s="151" t="s">
        <v>147</v>
      </c>
      <c r="H85" s="4"/>
      <c r="I85" s="79">
        <f>IF(ISERROR(1/G74),"",(((G25+G26+G52)*G76)+(G47*G75*INDEX(Sheet1!B2:D4,MATCH(Instructions!G24,Sheet1!A2:A4,0),MATCH(I75,Sheet1!B1:D1,0))))/G74)</f>
        <v>0.12535156014184029</v>
      </c>
      <c r="J85" s="210"/>
      <c r="K85" s="210"/>
      <c r="L85" s="4"/>
      <c r="M85" s="4"/>
      <c r="N85" s="137"/>
    </row>
    <row r="86" spans="1:14" s="104" customFormat="1" ht="13.5" customHeight="1" x14ac:dyDescent="0.25">
      <c r="A86" s="133"/>
      <c r="B86" s="136"/>
      <c r="C86" s="176"/>
      <c r="D86" s="3"/>
      <c r="E86" s="295"/>
      <c r="F86" s="3"/>
      <c r="G86" s="151" t="s">
        <v>412</v>
      </c>
      <c r="H86" s="4"/>
      <c r="I86" s="119">
        <f>IF(ISBLANK(I75),"",(G47*G75)*INDEX(Sheet1!B2:D4,MATCH(Instructions!G24,Sheet1!A2:A4,0),MATCH('Reporting Worksheet'!I75:J75,Sheet1!B1:D1,0)))</f>
        <v>39767.269052631578</v>
      </c>
      <c r="J86" s="210"/>
      <c r="K86" s="210"/>
      <c r="L86" s="4"/>
      <c r="M86" s="4"/>
      <c r="N86" s="137"/>
    </row>
    <row r="87" spans="1:14" s="104" customFormat="1" ht="13.5" customHeight="1" x14ac:dyDescent="0.25">
      <c r="A87" s="133"/>
      <c r="B87" s="136"/>
      <c r="C87" s="176"/>
      <c r="D87" s="3"/>
      <c r="E87" s="295"/>
      <c r="F87" s="3"/>
      <c r="G87" s="151" t="s">
        <v>573</v>
      </c>
      <c r="H87" s="4"/>
      <c r="I87" s="119">
        <f>IF(ISBLANK(G76),"",G52*G76)</f>
        <v>22448.521376210552</v>
      </c>
      <c r="J87" s="210"/>
      <c r="K87" s="210"/>
      <c r="L87" s="4"/>
      <c r="M87" s="4"/>
      <c r="N87" s="137"/>
    </row>
    <row r="88" spans="1:14" s="104" customFormat="1" ht="5.25" customHeight="1" x14ac:dyDescent="0.25">
      <c r="A88" s="133"/>
      <c r="B88" s="136"/>
      <c r="C88" s="3"/>
      <c r="D88" s="3"/>
      <c r="E88" s="295"/>
      <c r="F88" s="3"/>
      <c r="G88" s="4"/>
      <c r="H88" s="4"/>
      <c r="I88" s="4"/>
      <c r="J88" s="4"/>
      <c r="K88" s="4"/>
      <c r="L88" s="4"/>
      <c r="M88" s="4"/>
      <c r="N88" s="137"/>
    </row>
    <row r="89" spans="1:14" s="104" customFormat="1" ht="13.5" customHeight="1" x14ac:dyDescent="0.25">
      <c r="A89" s="133"/>
      <c r="B89" s="136"/>
      <c r="C89" s="191" t="s">
        <v>198</v>
      </c>
      <c r="D89" s="3"/>
      <c r="E89" s="295"/>
      <c r="F89" s="3"/>
      <c r="G89" s="3"/>
      <c r="H89" s="4"/>
      <c r="I89" s="4"/>
      <c r="J89" s="4"/>
      <c r="K89" s="4"/>
      <c r="L89" s="4"/>
      <c r="M89" s="4"/>
      <c r="N89" s="137"/>
    </row>
    <row r="90" spans="1:14" s="104" customFormat="1" ht="5.25" customHeight="1" x14ac:dyDescent="0.25">
      <c r="A90" s="133"/>
      <c r="B90" s="136"/>
      <c r="C90" s="191"/>
      <c r="D90" s="3"/>
      <c r="E90" s="295"/>
      <c r="F90" s="3"/>
      <c r="G90" s="4"/>
      <c r="H90" s="4"/>
      <c r="I90" s="4"/>
      <c r="J90" s="4"/>
      <c r="K90" s="4"/>
      <c r="L90" s="4"/>
      <c r="M90" s="4"/>
      <c r="N90" s="137"/>
    </row>
    <row r="91" spans="1:14" s="104" customFormat="1" ht="13.5" customHeight="1" x14ac:dyDescent="0.25">
      <c r="A91" s="133"/>
      <c r="B91" s="136"/>
      <c r="C91" s="12"/>
      <c r="D91" s="12"/>
      <c r="E91" s="305"/>
      <c r="F91" s="12"/>
      <c r="G91" s="151" t="s">
        <v>254</v>
      </c>
      <c r="H91" s="4"/>
      <c r="I91" s="37">
        <f>IF(ISERROR(1/G63),"",IF(Instructions!$G$24="Acre-feet",G47*325851/1000000,G47)*1000000/365/G63)</f>
        <v>9.0491214337212895</v>
      </c>
      <c r="J91" s="211" t="str">
        <f>IF(ISBLANK(Instructions!$G$24),"",IF(Instructions!$G$24="Megalitres (thousand cubic metres)","litres","gallons")&amp;"/connection/day")</f>
        <v>gallons/connection/day</v>
      </c>
      <c r="K91" s="4"/>
      <c r="L91" s="4"/>
      <c r="M91" s="4"/>
      <c r="N91" s="137"/>
    </row>
    <row r="92" spans="1:14" s="104" customFormat="1" ht="8.25" customHeight="1" x14ac:dyDescent="0.25">
      <c r="A92" s="133"/>
      <c r="B92" s="136"/>
      <c r="C92" s="191"/>
      <c r="D92" s="3"/>
      <c r="E92" s="295"/>
      <c r="F92" s="3"/>
      <c r="G92" s="4"/>
      <c r="H92" s="4"/>
      <c r="I92" s="4"/>
      <c r="J92" s="4"/>
      <c r="K92" s="4"/>
      <c r="L92" s="4"/>
      <c r="M92" s="4"/>
      <c r="N92" s="137"/>
    </row>
    <row r="93" spans="1:14" s="104" customFormat="1" x14ac:dyDescent="0.25">
      <c r="A93" s="133"/>
      <c r="B93" s="136"/>
      <c r="C93" s="3"/>
      <c r="D93" s="3"/>
      <c r="E93" s="295"/>
      <c r="F93" s="3"/>
      <c r="G93" s="151" t="s">
        <v>255</v>
      </c>
      <c r="H93" s="4"/>
      <c r="I93" s="406">
        <f>IF(ISERROR(1/G63),"",IF(Instructions!$G$24="Megalitres (thousand cubic metres)",IF(G64&gt;20,G52*1000000/365/G63,"N/A"),IF(G64&gt;32,IF(Instructions!$G$24="Million gallons (US)",G52*1000000,G52*325851)/365/G63,"N/A")))</f>
        <v>9.427590895045844</v>
      </c>
      <c r="J93" s="211" t="str">
        <f>IF(ISBLANK(Instructions!$G$24),"",IF(Instructions!$G$24="Megalitres (thousand cubic metres)","litres","gallons")&amp;"/connection/day")</f>
        <v>gallons/connection/day</v>
      </c>
      <c r="K93" s="4"/>
      <c r="L93" s="4"/>
      <c r="M93" s="4"/>
      <c r="N93" s="137"/>
    </row>
    <row r="94" spans="1:14" s="104" customFormat="1" ht="8.25" customHeight="1" x14ac:dyDescent="0.25">
      <c r="A94" s="133"/>
      <c r="B94" s="136"/>
      <c r="C94" s="3"/>
      <c r="D94" s="3"/>
      <c r="E94" s="295"/>
      <c r="F94" s="3"/>
      <c r="G94" s="4"/>
      <c r="H94" s="4"/>
      <c r="I94" s="35"/>
      <c r="J94" s="4"/>
      <c r="K94" s="4"/>
      <c r="L94" s="4"/>
      <c r="M94" s="4"/>
      <c r="N94" s="137"/>
    </row>
    <row r="95" spans="1:14" s="104" customFormat="1" x14ac:dyDescent="0.25">
      <c r="A95" s="133"/>
      <c r="B95" s="136"/>
      <c r="C95" s="3"/>
      <c r="D95" s="3"/>
      <c r="E95" s="295"/>
      <c r="F95" s="3"/>
      <c r="G95" s="151" t="s">
        <v>256</v>
      </c>
      <c r="H95" s="4"/>
      <c r="I95" s="406" t="str">
        <f>IF(ISERROR(1/G62),"",IF(I93="N/A",IF(Instructions!$G$24="Acre-feet",G52*325851/1000000,G52)*1000000/365/G62,"N/A"))</f>
        <v>N/A</v>
      </c>
      <c r="J95" s="211" t="str">
        <f>IF(ISBLANK(Instructions!$G$24),"",IF(I95="N/A","",IF(Instructions!$G$24="Megalitres (thousand cubic metres)","litres/km","gallons/mile")&amp;"/day"))</f>
        <v/>
      </c>
      <c r="K95" s="4"/>
      <c r="L95" s="4"/>
      <c r="M95" s="4"/>
      <c r="N95" s="137"/>
    </row>
    <row r="96" spans="1:14" s="104" customFormat="1" ht="8.25" customHeight="1" x14ac:dyDescent="0.25">
      <c r="A96" s="133"/>
      <c r="B96" s="136"/>
      <c r="C96" s="3"/>
      <c r="D96" s="3"/>
      <c r="E96" s="295"/>
      <c r="F96" s="3"/>
      <c r="G96" s="4"/>
      <c r="H96" s="4"/>
      <c r="I96" s="35"/>
      <c r="J96" s="4"/>
      <c r="K96" s="4"/>
      <c r="L96" s="4"/>
      <c r="M96" s="4"/>
      <c r="N96" s="137"/>
    </row>
    <row r="97" spans="1:16" s="104" customFormat="1" x14ac:dyDescent="0.25">
      <c r="A97" s="133"/>
      <c r="B97" s="136"/>
      <c r="C97" s="3"/>
      <c r="D97" s="3"/>
      <c r="E97" s="295"/>
      <c r="F97" s="3"/>
      <c r="G97" s="151" t="str">
        <f>"Real Losses per service connection per day per "&amp; IF(I67="psi","psi pressure","meter (head) pressure")&amp;":"</f>
        <v>Real Losses per service connection per day per psi pressure:</v>
      </c>
      <c r="H97" s="4"/>
      <c r="I97" s="116">
        <f>IF(ISERROR(I93/G67),"",I93/G67)</f>
        <v>9.8204071823394204E-2</v>
      </c>
      <c r="J97" s="211" t="str">
        <f>IF(ISBLANK(Instructions!$G$24),"",IF(Instructions!$G$24="Megalitres (thousand cubic metres)","litres/connection/day/m","gallons/connection/day/psi"))</f>
        <v>gallons/connection/day/psi</v>
      </c>
      <c r="K97" s="4"/>
      <c r="L97" s="4"/>
      <c r="M97" s="4"/>
      <c r="N97" s="137"/>
    </row>
    <row r="98" spans="1:16" s="104" customFormat="1" ht="8.25" customHeight="1" x14ac:dyDescent="0.25">
      <c r="A98" s="133"/>
      <c r="B98" s="136"/>
      <c r="C98" s="3"/>
      <c r="D98" s="3"/>
      <c r="E98" s="295"/>
      <c r="F98" s="3"/>
      <c r="G98" s="132"/>
      <c r="H98" s="4"/>
      <c r="I98" s="36"/>
      <c r="J98" s="4"/>
      <c r="K98" s="4"/>
      <c r="L98" s="4"/>
      <c r="M98" s="4"/>
      <c r="N98" s="137"/>
    </row>
    <row r="99" spans="1:16" s="104" customFormat="1" x14ac:dyDescent="0.25">
      <c r="A99" s="133"/>
      <c r="B99" s="136"/>
      <c r="C99" s="3"/>
      <c r="D99" s="3"/>
      <c r="E99" s="295"/>
      <c r="F99" s="3"/>
      <c r="G99" s="151" t="s">
        <v>199</v>
      </c>
      <c r="H99" s="4"/>
      <c r="I99" s="477" t="str">
        <f>IF(ISBLANK(Instructions!$G$24),"",IF(Instructions!$G$24="Megalitres (thousand cubic metres)",IF(AND(G67&gt;=25,G62*20+G63&gt;3000),(((18*G62)+(0.8*G63)+(25*(G63*G65/1000)))*G67/1000000)*365,"Not valid"),IF(AND(G67&gt;=35,G62*32+G63&gt;3000),(((5.41*G62)+(0.15*G63)+(7.5*(G63*G65/5280)))*G67)/IF(Instructions!$G$24="Million gallons (US)",1000000,325851.427242)*365,"Not Valid")))</f>
        <v>Not Valid</v>
      </c>
      <c r="J99" s="211" t="str">
        <f>IF(OR(ISBLANK(Instructions!$G$24),I99="Not Valid"),"",IF(Instructions!$G$24="Megalitres (thousand cubic metres)","ML",IF(Instructions!$G$24="Acre-feet", "acre-feet","million gallons"))&amp;"/year")</f>
        <v/>
      </c>
      <c r="K99" s="4"/>
      <c r="L99" s="4"/>
      <c r="M99" s="236"/>
      <c r="N99" s="137"/>
    </row>
    <row r="100" spans="1:16" s="104" customFormat="1" ht="2.25" customHeight="1" x14ac:dyDescent="0.25">
      <c r="A100" s="133"/>
      <c r="B100" s="136"/>
      <c r="C100" s="3"/>
      <c r="D100" s="3"/>
      <c r="E100" s="3"/>
      <c r="F100" s="3"/>
      <c r="G100" s="3"/>
      <c r="H100" s="3"/>
      <c r="I100" s="3"/>
      <c r="J100" s="3"/>
      <c r="K100" s="3"/>
      <c r="L100" s="3"/>
      <c r="M100" s="3"/>
      <c r="N100" s="137"/>
    </row>
    <row r="101" spans="1:16" s="104" customFormat="1" ht="13.5" customHeight="1" x14ac:dyDescent="0.25">
      <c r="A101" s="133"/>
      <c r="B101" s="136"/>
      <c r="C101" s="522" t="str">
        <f>IF(I99="Not Valid","*** UARL cannot be calculated as either average pressure, number of connecions or length of mains is too small: SEE UARL DEFINITION ***","")</f>
        <v>*** UARL cannot be calculated as either average pressure, number of connecions or length of mains is too small: SEE UARL DEFINITION ***</v>
      </c>
      <c r="D101" s="523"/>
      <c r="E101" s="523"/>
      <c r="F101" s="523"/>
      <c r="G101" s="523"/>
      <c r="H101" s="523"/>
      <c r="I101" s="523"/>
      <c r="J101" s="523"/>
      <c r="K101" s="523"/>
      <c r="L101" s="523"/>
      <c r="M101" s="523"/>
      <c r="N101" s="137"/>
    </row>
    <row r="102" spans="1:16" s="104" customFormat="1" ht="2.25" customHeight="1" x14ac:dyDescent="0.25">
      <c r="A102" s="133"/>
      <c r="B102" s="136"/>
      <c r="C102" s="387"/>
      <c r="D102" s="387"/>
      <c r="E102" s="387"/>
      <c r="F102" s="387"/>
      <c r="G102" s="387"/>
      <c r="H102" s="387"/>
      <c r="I102" s="387"/>
      <c r="J102" s="387"/>
      <c r="K102" s="387"/>
      <c r="L102" s="387"/>
      <c r="M102" s="387"/>
      <c r="N102" s="137"/>
    </row>
    <row r="103" spans="1:16" s="104" customFormat="1" ht="13.5" customHeight="1" x14ac:dyDescent="0.25">
      <c r="A103" s="133"/>
      <c r="B103" s="136"/>
      <c r="C103" s="455"/>
      <c r="D103" s="455"/>
      <c r="E103" s="455"/>
      <c r="F103" s="455"/>
      <c r="G103" s="456" t="s">
        <v>166</v>
      </c>
      <c r="H103" s="454"/>
      <c r="I103" s="116">
        <f>IF(ISBLANK(Instructions!$G$24),"",G52)</f>
        <v>6.0218736842105329</v>
      </c>
      <c r="J103" s="455" t="str">
        <f>IF(OR(ISBLANK(Instructions!$G$24),I99="Not Valid"),"",IF(Instructions!$G$24="Megalitres (thousand cubic metres)","ML",IF(Instructions!$G$24="Acre-feet", "acre-feet","million gallons"))&amp;"/year")</f>
        <v/>
      </c>
      <c r="K103" s="454"/>
      <c r="L103" s="454"/>
      <c r="M103" s="454"/>
      <c r="N103" s="137"/>
    </row>
    <row r="104" spans="1:16" s="104" customFormat="1" ht="8.25" customHeight="1" x14ac:dyDescent="0.25">
      <c r="A104" s="133"/>
      <c r="B104" s="136"/>
      <c r="C104" s="387"/>
      <c r="D104" s="387"/>
      <c r="E104" s="387"/>
      <c r="F104" s="387"/>
      <c r="G104" s="387"/>
      <c r="H104" s="387"/>
      <c r="I104" s="387"/>
      <c r="J104" s="387"/>
      <c r="K104" s="387"/>
      <c r="L104" s="387"/>
      <c r="M104" s="387"/>
      <c r="N104" s="137"/>
    </row>
    <row r="105" spans="1:16" s="104" customFormat="1" ht="13.5" customHeight="1" x14ac:dyDescent="0.25">
      <c r="A105" s="133"/>
      <c r="B105" s="136"/>
      <c r="C105" s="537" t="s">
        <v>165</v>
      </c>
      <c r="D105" s="537"/>
      <c r="E105" s="537"/>
      <c r="F105" s="537"/>
      <c r="G105" s="537"/>
      <c r="H105" s="80"/>
      <c r="I105" s="247" t="str">
        <f>IF(ISERROR(1/I99),"",I103/I99)</f>
        <v/>
      </c>
      <c r="J105" s="210"/>
      <c r="K105" s="192"/>
      <c r="L105" s="4"/>
      <c r="M105" s="4"/>
      <c r="N105" s="137"/>
    </row>
    <row r="106" spans="1:16" s="104" customFormat="1" ht="8.25" customHeight="1" x14ac:dyDescent="0.25">
      <c r="A106" s="133"/>
      <c r="B106" s="136"/>
      <c r="C106" s="206"/>
      <c r="D106" s="206"/>
      <c r="E106" s="306"/>
      <c r="F106" s="206"/>
      <c r="G106" s="206"/>
      <c r="H106" s="4"/>
      <c r="I106" s="4"/>
      <c r="J106" s="4"/>
      <c r="K106" s="192"/>
      <c r="L106" s="4"/>
      <c r="M106" s="4"/>
      <c r="N106" s="137"/>
    </row>
    <row r="107" spans="1:16" s="104" customFormat="1" ht="19.5" customHeight="1" x14ac:dyDescent="0.25">
      <c r="A107" s="133"/>
      <c r="B107" s="136"/>
      <c r="C107" s="323" t="s">
        <v>441</v>
      </c>
      <c r="D107" s="206"/>
      <c r="E107" s="306"/>
      <c r="F107" s="206"/>
      <c r="G107" s="206"/>
      <c r="H107" s="4"/>
      <c r="I107" s="4"/>
      <c r="J107" s="4"/>
      <c r="K107" s="192"/>
      <c r="L107" s="4"/>
      <c r="M107" s="4"/>
      <c r="N107" s="137"/>
    </row>
    <row r="108" spans="1:16" s="338" customFormat="1" ht="21" customHeight="1" x14ac:dyDescent="0.25">
      <c r="A108" s="334"/>
      <c r="B108" s="136"/>
      <c r="C108" s="335" t="s">
        <v>539</v>
      </c>
      <c r="D108" s="206"/>
      <c r="E108" s="306"/>
      <c r="F108" s="206"/>
      <c r="G108" s="206"/>
      <c r="H108" s="244"/>
      <c r="I108" s="244"/>
      <c r="J108" s="244"/>
      <c r="K108" s="336"/>
      <c r="L108" s="244"/>
      <c r="M108" s="244"/>
      <c r="N108" s="337"/>
    </row>
    <row r="109" spans="1:16" s="338" customFormat="1" ht="2.25" customHeight="1" x14ac:dyDescent="0.25">
      <c r="A109" s="334"/>
      <c r="B109" s="136"/>
      <c r="C109" s="335"/>
      <c r="D109" s="206"/>
      <c r="E109" s="306"/>
      <c r="F109" s="206"/>
      <c r="G109" s="206"/>
      <c r="H109" s="244"/>
      <c r="I109" s="244"/>
      <c r="J109" s="244"/>
      <c r="K109" s="336"/>
      <c r="L109" s="244"/>
      <c r="M109" s="244"/>
      <c r="N109" s="337"/>
    </row>
    <row r="110" spans="1:16" s="329" customFormat="1" ht="22.5" customHeight="1" x14ac:dyDescent="0.25">
      <c r="A110" s="324"/>
      <c r="B110" s="136"/>
      <c r="C110" s="534" t="str">
        <f>IF(GradingAssessment!M22&lt;=0,"*** YOUR SCORE IS: "&amp;ROUND(GradingAssessment!G22,0)&amp;" out of 100 ***",IF(GradingAssessment!M22&gt;0,"Add a grading value for "&amp;GradingAssessment!M22&amp;" parameter(s) to enable an audit score to be calculated"))</f>
        <v>*** YOUR SCORE IS: 66 out of 100 ***</v>
      </c>
      <c r="D110" s="535"/>
      <c r="E110" s="535"/>
      <c r="F110" s="535"/>
      <c r="G110" s="535"/>
      <c r="H110" s="535"/>
      <c r="I110" s="535"/>
      <c r="J110" s="535"/>
      <c r="K110" s="535"/>
      <c r="L110" s="535"/>
      <c r="M110" s="536"/>
      <c r="N110" s="328"/>
      <c r="P110" s="377">
        <f>GradingAssessment!M22</f>
        <v>0</v>
      </c>
    </row>
    <row r="111" spans="1:16" s="329" customFormat="1" ht="2.25" customHeight="1" x14ac:dyDescent="0.25">
      <c r="A111" s="324"/>
      <c r="B111" s="136"/>
      <c r="C111" s="325"/>
      <c r="D111" s="326"/>
      <c r="E111" s="306"/>
      <c r="F111" s="376"/>
      <c r="G111" s="326"/>
      <c r="H111" s="180"/>
      <c r="I111" s="180"/>
      <c r="J111" s="180"/>
      <c r="K111" s="327"/>
      <c r="L111" s="180"/>
      <c r="M111" s="180"/>
      <c r="N111" s="328"/>
      <c r="P111" s="377"/>
    </row>
    <row r="112" spans="1:16" s="329" customFormat="1" ht="19.5" customHeight="1" x14ac:dyDescent="0.25">
      <c r="A112" s="324"/>
      <c r="B112" s="136"/>
      <c r="C112" s="526" t="str">
        <f>IF(GradingAssessment!M22&lt;=0,"A weighted scale for the components of consumption and water loss is included in the calculation of the Water Audit Data Validity Score","")</f>
        <v>A weighted scale for the components of consumption and water loss is included in the calculation of the Water Audit Data Validity Score</v>
      </c>
      <c r="D112" s="526"/>
      <c r="E112" s="526"/>
      <c r="F112" s="526"/>
      <c r="G112" s="526"/>
      <c r="H112" s="526"/>
      <c r="I112" s="526"/>
      <c r="J112" s="526"/>
      <c r="K112" s="526"/>
      <c r="L112" s="526"/>
      <c r="M112" s="526"/>
      <c r="N112" s="328"/>
      <c r="P112" s="377"/>
    </row>
    <row r="113" spans="1:14" s="104" customFormat="1" ht="21.75" customHeight="1" x14ac:dyDescent="0.25">
      <c r="A113" s="133"/>
      <c r="B113" s="136"/>
      <c r="C113" s="408" t="s">
        <v>462</v>
      </c>
      <c r="D113" s="524"/>
      <c r="E113" s="525"/>
      <c r="F113" s="525"/>
      <c r="G113" s="525"/>
      <c r="H113" s="525"/>
      <c r="I113" s="525"/>
      <c r="J113" s="525"/>
      <c r="K113" s="525"/>
      <c r="L113" s="525"/>
      <c r="M113" s="525"/>
      <c r="N113" s="137"/>
    </row>
    <row r="114" spans="1:14" s="104" customFormat="1" ht="19.5" customHeight="1" x14ac:dyDescent="0.25">
      <c r="A114" s="133"/>
      <c r="B114" s="136"/>
      <c r="C114" s="532" t="s">
        <v>538</v>
      </c>
      <c r="D114" s="533"/>
      <c r="E114" s="533"/>
      <c r="F114" s="533"/>
      <c r="G114" s="533"/>
      <c r="H114" s="533"/>
      <c r="I114" s="533"/>
      <c r="J114" s="533"/>
      <c r="K114" s="533"/>
      <c r="L114" s="533"/>
      <c r="M114" s="533"/>
      <c r="N114" s="137"/>
    </row>
    <row r="115" spans="1:14" s="104" customFormat="1" ht="15" customHeight="1" x14ac:dyDescent="0.25">
      <c r="A115" s="133"/>
      <c r="B115" s="136"/>
      <c r="C115" s="409" t="str">
        <f ca="1">"     1: "&amp;VLOOKUP(1,GradingAssessment!$I$4:$J$21,2,FALSE)</f>
        <v xml:space="preserve">     1: Volume from own sources</v>
      </c>
      <c r="D115" s="3"/>
      <c r="E115" s="295"/>
      <c r="F115" s="3"/>
      <c r="G115" s="4"/>
      <c r="H115" s="4"/>
      <c r="I115" s="4"/>
      <c r="J115" s="4"/>
      <c r="K115" s="4"/>
      <c r="L115" s="4"/>
      <c r="M115" s="4"/>
      <c r="N115" s="137"/>
    </row>
    <row r="116" spans="1:14" s="104" customFormat="1" ht="5.25" customHeight="1" x14ac:dyDescent="0.25">
      <c r="A116" s="133"/>
      <c r="B116" s="136"/>
      <c r="C116" s="189"/>
      <c r="D116" s="3"/>
      <c r="E116" s="295"/>
      <c r="F116" s="3"/>
      <c r="G116" s="4"/>
      <c r="H116" s="4"/>
      <c r="I116" s="4"/>
      <c r="J116" s="4"/>
      <c r="K116" s="4"/>
      <c r="L116" s="4"/>
      <c r="M116" s="4"/>
      <c r="N116" s="137"/>
    </row>
    <row r="117" spans="1:14" s="104" customFormat="1" ht="15" customHeight="1" x14ac:dyDescent="0.25">
      <c r="A117" s="133"/>
      <c r="B117" s="136"/>
      <c r="C117" s="409" t="str">
        <f ca="1">"     2: "&amp;VLOOKUP(2,GradingAssessment!$I$4:$J$21,2,FALSE)</f>
        <v xml:space="preserve">     2: Customer metering inaccuracies</v>
      </c>
      <c r="D117" s="3"/>
      <c r="E117" s="295"/>
      <c r="F117" s="3"/>
      <c r="G117" s="4"/>
      <c r="H117" s="4"/>
      <c r="I117" s="4"/>
      <c r="J117" s="4"/>
      <c r="K117" s="4"/>
      <c r="L117" s="4"/>
      <c r="M117" s="4"/>
      <c r="N117" s="137"/>
    </row>
    <row r="118" spans="1:14" s="104" customFormat="1" ht="5.25" customHeight="1" x14ac:dyDescent="0.25">
      <c r="A118" s="133"/>
      <c r="B118" s="136"/>
      <c r="C118" s="189"/>
      <c r="D118" s="3"/>
      <c r="E118" s="295"/>
      <c r="F118" s="3"/>
      <c r="G118" s="4"/>
      <c r="H118" s="4"/>
      <c r="I118" s="4"/>
      <c r="J118" s="4"/>
      <c r="K118" s="4"/>
      <c r="L118" s="4"/>
      <c r="M118" s="4"/>
      <c r="N118" s="137"/>
    </row>
    <row r="119" spans="1:14" s="104" customFormat="1" ht="15" customHeight="1" x14ac:dyDescent="0.25">
      <c r="A119" s="133"/>
      <c r="B119" s="136"/>
      <c r="C119" s="409" t="str">
        <f ca="1">"     3: "&amp;VLOOKUP(3,GradingAssessment!$I$4:$J$21,2,FALSE)</f>
        <v xml:space="preserve">     3: Unauthorized consumption</v>
      </c>
      <c r="D119" s="3"/>
      <c r="E119" s="295"/>
      <c r="F119" s="3"/>
      <c r="G119" s="4"/>
      <c r="H119" s="4"/>
      <c r="I119" s="4"/>
      <c r="J119" s="4"/>
      <c r="K119" s="4"/>
      <c r="L119" s="4"/>
      <c r="M119" s="4"/>
      <c r="N119" s="137"/>
    </row>
    <row r="120" spans="1:14" s="104" customFormat="1" ht="14.25" customHeight="1" thickBot="1" x14ac:dyDescent="0.3">
      <c r="A120" s="133"/>
      <c r="B120" s="159"/>
      <c r="C120" s="330"/>
      <c r="D120" s="331"/>
      <c r="E120" s="332"/>
      <c r="F120" s="331"/>
      <c r="G120" s="160"/>
      <c r="H120" s="160"/>
      <c r="I120" s="160"/>
      <c r="J120" s="160"/>
      <c r="K120" s="160"/>
      <c r="L120" s="160"/>
      <c r="M120" s="160"/>
      <c r="N120" s="161"/>
    </row>
    <row r="123" spans="1:14" hidden="1" x14ac:dyDescent="0.25">
      <c r="G123" s="193"/>
      <c r="H123" s="193"/>
      <c r="I123" s="193"/>
    </row>
    <row r="152" ht="7.5" customHeight="1" thickTop="1" x14ac:dyDescent="0.25"/>
  </sheetData>
  <sheetProtection password="E218" sheet="1" objects="1" scenarios="1"/>
  <mergeCells count="27">
    <mergeCell ref="C28:J28"/>
    <mergeCell ref="K35:K36"/>
    <mergeCell ref="L26:M26"/>
    <mergeCell ref="B2:J2"/>
    <mergeCell ref="C7:M8"/>
    <mergeCell ref="D5:E5"/>
    <mergeCell ref="I15:J15"/>
    <mergeCell ref="G5:H5"/>
    <mergeCell ref="D12:I12"/>
    <mergeCell ref="K15:M15"/>
    <mergeCell ref="L42:M42"/>
    <mergeCell ref="L44:M51"/>
    <mergeCell ref="L75:M75"/>
    <mergeCell ref="L38:M38"/>
    <mergeCell ref="C114:M114"/>
    <mergeCell ref="C110:M110"/>
    <mergeCell ref="C105:G105"/>
    <mergeCell ref="C40:J40"/>
    <mergeCell ref="C49:J49"/>
    <mergeCell ref="C69:J69"/>
    <mergeCell ref="C78:L78"/>
    <mergeCell ref="J65:M66"/>
    <mergeCell ref="C45:J45"/>
    <mergeCell ref="I75:K75"/>
    <mergeCell ref="C101:M101"/>
    <mergeCell ref="D113:M113"/>
    <mergeCell ref="C112:M112"/>
  </mergeCells>
  <phoneticPr fontId="0" type="noConversion"/>
  <conditionalFormatting sqref="C9:M9">
    <cfRule type="expression" dxfId="156" priority="1" stopIfTrue="1">
      <formula>E14=""=TRUE</formula>
    </cfRule>
  </conditionalFormatting>
  <conditionalFormatting sqref="C32">
    <cfRule type="expression" dxfId="155" priority="2" stopIfTrue="1">
      <formula>AND(G30&gt;=G19,(G30&lt;&gt;0))</formula>
    </cfRule>
  </conditionalFormatting>
  <conditionalFormatting sqref="D32">
    <cfRule type="expression" dxfId="154" priority="3" stopIfTrue="1">
      <formula>AND(G30&gt;=G19,(G30&lt;&gt;0))</formula>
    </cfRule>
  </conditionalFormatting>
  <conditionalFormatting sqref="F32">
    <cfRule type="expression" dxfId="153" priority="4" stopIfTrue="1">
      <formula>AND(G30&gt;=G19,(G30&lt;&gt;0))</formula>
    </cfRule>
  </conditionalFormatting>
  <conditionalFormatting sqref="G32">
    <cfRule type="expression" dxfId="152" priority="5" stopIfTrue="1">
      <formula>AND(G30&gt;=G19,(G30&lt;&gt;0))</formula>
    </cfRule>
  </conditionalFormatting>
  <conditionalFormatting sqref="H32">
    <cfRule type="expression" dxfId="151" priority="6" stopIfTrue="1">
      <formula>AND(G30&gt;=G19,(G30&lt;&gt;0))</formula>
    </cfRule>
  </conditionalFormatting>
  <conditionalFormatting sqref="J32">
    <cfRule type="expression" dxfId="150" priority="7" stopIfTrue="1">
      <formula>AND(G30&gt;=G19,(G30&lt;&gt;0))</formula>
    </cfRule>
  </conditionalFormatting>
  <conditionalFormatting sqref="I32">
    <cfRule type="expression" dxfId="149" priority="8" stopIfTrue="1">
      <formula>AND(G30&gt;=G19,(G30&lt;&gt;0))</formula>
    </cfRule>
  </conditionalFormatting>
  <conditionalFormatting sqref="E32">
    <cfRule type="expression" dxfId="148" priority="9" stopIfTrue="1">
      <formula>AND(G30&gt;=G19,(G30&lt;&gt;0))</formula>
    </cfRule>
  </conditionalFormatting>
  <conditionalFormatting sqref="F111">
    <cfRule type="expression" dxfId="147" priority="10" stopIfTrue="1">
      <formula>"B106=0"</formula>
    </cfRule>
  </conditionalFormatting>
  <conditionalFormatting sqref="A110:A112 N110:IV112 D111 G111:M111">
    <cfRule type="expression" dxfId="146" priority="11" stopIfTrue="1">
      <formula>"M22=0"</formula>
    </cfRule>
  </conditionalFormatting>
  <conditionalFormatting sqref="G35 G42 G38 G30 G23:G26">
    <cfRule type="cellIs" dxfId="145" priority="12" stopIfTrue="1" operator="greaterThan">
      <formula>$G$19</formula>
    </cfRule>
  </conditionalFormatting>
  <conditionalFormatting sqref="G47">
    <cfRule type="cellIs" dxfId="144" priority="13" stopIfTrue="1" operator="greaterThan">
      <formula>$G$35</formula>
    </cfRule>
  </conditionalFormatting>
  <conditionalFormatting sqref="L38">
    <cfRule type="expression" dxfId="143" priority="14" stopIfTrue="1">
      <formula>$P$38=1</formula>
    </cfRule>
  </conditionalFormatting>
  <conditionalFormatting sqref="L42:M42">
    <cfRule type="expression" dxfId="142" priority="15" stopIfTrue="1">
      <formula>$P$42=1</formula>
    </cfRule>
  </conditionalFormatting>
  <conditionalFormatting sqref="J38">
    <cfRule type="expression" dxfId="141" priority="16" stopIfTrue="1">
      <formula>$P$38=2</formula>
    </cfRule>
  </conditionalFormatting>
  <conditionalFormatting sqref="G41">
    <cfRule type="expression" dxfId="140" priority="17" stopIfTrue="1">
      <formula>$P$38=2</formula>
    </cfRule>
  </conditionalFormatting>
  <conditionalFormatting sqref="F29">
    <cfRule type="expression" dxfId="139" priority="18" stopIfTrue="1">
      <formula>$P$26=2</formula>
    </cfRule>
  </conditionalFormatting>
  <conditionalFormatting sqref="L26">
    <cfRule type="expression" dxfId="138" priority="19" stopIfTrue="1">
      <formula>$P$26=1</formula>
    </cfRule>
  </conditionalFormatting>
  <conditionalFormatting sqref="J26">
    <cfRule type="expression" dxfId="137" priority="20" stopIfTrue="1">
      <formula>$P$26=2</formula>
    </cfRule>
  </conditionalFormatting>
  <conditionalFormatting sqref="C49:J49">
    <cfRule type="expression" dxfId="136" priority="21" stopIfTrue="1">
      <formula>AND($G$47&gt;=$G$35,($G$47&lt;&gt;0))</formula>
    </cfRule>
  </conditionalFormatting>
  <conditionalFormatting sqref="C69:J69">
    <cfRule type="expression" dxfId="135" priority="22" stopIfTrue="1">
      <formula>OR(AND(NOT(ISBLANK($G$67)),$P$69=1,$G$67&lt;=25),AND(NOT(ISBLANK($G$67)),$P$69&lt;&gt;1,$G$67&lt;=40))</formula>
    </cfRule>
  </conditionalFormatting>
  <conditionalFormatting sqref="C78:L78">
    <cfRule type="expression" dxfId="134" priority="23" stopIfTrue="1">
      <formula>$P$78=1</formula>
    </cfRule>
  </conditionalFormatting>
  <conditionalFormatting sqref="C28:J28">
    <cfRule type="expression" dxfId="133" priority="24" stopIfTrue="1">
      <formula>AND($P$26=2,$L$26&gt;0.125*$G$19)</formula>
    </cfRule>
    <cfRule type="expression" dxfId="132" priority="25" stopIfTrue="1">
      <formula>$P$26=1</formula>
    </cfRule>
    <cfRule type="expression" dxfId="131" priority="26" stopIfTrue="1">
      <formula>AND($P$26=2,$L$26=0)</formula>
    </cfRule>
  </conditionalFormatting>
  <conditionalFormatting sqref="C40:J40">
    <cfRule type="expression" dxfId="130" priority="27" stopIfTrue="1">
      <formula>AND($P$38=2,$L$38&gt;0.025*$G$19)</formula>
    </cfRule>
    <cfRule type="expression" dxfId="129" priority="28" stopIfTrue="1">
      <formula>$P$38=1</formula>
    </cfRule>
    <cfRule type="expression" dxfId="128" priority="29" stopIfTrue="1">
      <formula>AND($P$38=2,$L$38=0)</formula>
    </cfRule>
  </conditionalFormatting>
  <conditionalFormatting sqref="L75:M75">
    <cfRule type="expression" dxfId="127" priority="30" stopIfTrue="1">
      <formula>AND(NOT(ISBLANK($G$75)),ISBLANK($I$75))</formula>
    </cfRule>
  </conditionalFormatting>
  <conditionalFormatting sqref="C101:M101">
    <cfRule type="expression" dxfId="126" priority="31" stopIfTrue="1">
      <formula>$I$99="Not Valid"</formula>
    </cfRule>
  </conditionalFormatting>
  <conditionalFormatting sqref="E26">
    <cfRule type="expression" dxfId="125" priority="32" stopIfTrue="1">
      <formula>P26=1</formula>
    </cfRule>
    <cfRule type="expression" dxfId="124" priority="33" stopIfTrue="1">
      <formula>AND(P26=2,ISBLANK(L26))</formula>
    </cfRule>
  </conditionalFormatting>
  <conditionalFormatting sqref="J42">
    <cfRule type="expression" dxfId="123" priority="34" stopIfTrue="1">
      <formula>$P$42=2</formula>
    </cfRule>
    <cfRule type="expression" dxfId="122" priority="35" stopIfTrue="1">
      <formula>AND($P$42=1,ISBLANK(J42))</formula>
    </cfRule>
  </conditionalFormatting>
  <conditionalFormatting sqref="L44:M51">
    <cfRule type="expression" dxfId="121" priority="36" stopIfTrue="1">
      <formula>AND($P$42=1,ISBLANK($J$42))</formula>
    </cfRule>
  </conditionalFormatting>
  <conditionalFormatting sqref="K15:M15">
    <cfRule type="expression" dxfId="120" priority="37" stopIfTrue="1">
      <formula>AND(NOT(ISBLANK($G$15)),$G$15&gt;0,ISBLANK($I$15))</formula>
    </cfRule>
  </conditionalFormatting>
  <conditionalFormatting sqref="I15:J15">
    <cfRule type="expression" dxfId="119" priority="38" stopIfTrue="1">
      <formula>AND(NOT(ISBLANK(G15)),G15&gt;0,ISBLANK(I15))</formula>
    </cfRule>
  </conditionalFormatting>
  <conditionalFormatting sqref="E38">
    <cfRule type="expression" dxfId="118" priority="39" stopIfTrue="1">
      <formula>P38=1</formula>
    </cfRule>
    <cfRule type="expression" dxfId="117" priority="40" stopIfTrue="1">
      <formula>AND($P$38=2,$L$38=0)</formula>
    </cfRule>
  </conditionalFormatting>
  <conditionalFormatting sqref="E43">
    <cfRule type="expression" dxfId="116" priority="41" stopIfTrue="1">
      <formula>AND($G$43=0,$G$43&lt;&gt;"")</formula>
    </cfRule>
  </conditionalFormatting>
  <conditionalFormatting sqref="C45:J45">
    <cfRule type="expression" dxfId="115" priority="42" stopIfTrue="1">
      <formula>AND(NOT($E$43="n/a"),OR(ISBLANK($G$43),$G$43=0),$G$19&lt;&gt;0)</formula>
    </cfRule>
  </conditionalFormatting>
  <dataValidations xWindow="926" yWindow="772" count="14">
    <dataValidation type="decimal" operator="lessThanOrEqual" allowBlank="1" showInputMessage="1" showErrorMessage="1" errorTitle="WARNING: Please check this value" error="Unbilled unmetered consumption cannont be greater than Total System Input Volume. Please check the input value and try again." sqref="G29:H29" xr:uid="{B38B3C20-542B-42B6-A1FB-9C5131795286}">
      <formula1>G25</formula1>
    </dataValidation>
    <dataValidation type="decimal" operator="lessThanOrEqual" allowBlank="1" showInputMessage="1" showErrorMessage="1" errorTitle="WARNING: Please check this value" error="Billed metered consumption cannont be greater than Total System Input Volume. Please check the input value and try again." sqref="G18" xr:uid="{DD6ADEF7-27B6-4BAD-8869-FBC8C6519A43}">
      <formula1>G11</formula1>
    </dataValidation>
    <dataValidation type="list" allowBlank="1" showInputMessage="1" showErrorMessage="1" errorTitle="Cost Data Units" error="You have not entered a valid option - please select from the drop down list" promptTitle="Cost Data Units" prompt="Please select the preferred reporting units from the drop down list" sqref="I75:K75" xr:uid="{7D56EBA8-A3A1-48A8-BD7F-561FFE065565}">
      <formula1>"$/1000 gallons (US),$/1000 litres,$/100 cubic feet (ccf)"</formula1>
    </dataValidation>
    <dataValidation type="decimal" errorStyle="warning" operator="greaterThan" allowBlank="1" showErrorMessage="1" errorTitle="Customer Metering Inaccuracies" error="You tried to enter a zero value - this is only a valid value if the entire customer base is unmetered." sqref="L42:M42 H65" xr:uid="{BD5E908C-5B09-46B8-97DD-4DD3B7C16BDC}">
      <formula1>0</formula1>
    </dataValidation>
    <dataValidation type="decimal" operator="lessThan" allowBlank="1" showInputMessage="1" showErrorMessage="1" errorTitle="Customer Metering Inaccuracies" error="Only values less than 10% are accepted. If you want to use a value of 10% or greater, calculate the equivalent quantity and enter as using the &quot;value&quot; option." sqref="J42" xr:uid="{3B709445-E719-4943-BE33-F66EC2F312E4}">
      <formula1>0.1</formula1>
    </dataValidation>
    <dataValidation type="decimal" operator="greaterThan" allowBlank="1" showErrorMessage="1" errorTitle="Unauthorized Consumption" error="You cannot enter a zero or negative value. Use the default percentage if you are unsure of actual unauthorized consumption" promptTitle="Unbilled Unmetered Losses" prompt="Use the default percentage" sqref="L38:M38" xr:uid="{183B1568-C1F3-4B86-8B01-DA276DBFC758}">
      <formula1>0</formula1>
    </dataValidation>
    <dataValidation type="list" allowBlank="1" showInputMessage="1" showErrorMessage="1" promptTitle="Master meter error adjustment" prompt="If a meter adjustment has been entered, please select if the meter has under-registered or over-registered by this amount." sqref="I15:J15" xr:uid="{25FD7938-A0A7-4C6E-AC3B-EF7BE12F268A}">
      <formula1>"under-registered,over-registered"</formula1>
    </dataValidation>
    <dataValidation type="decimal" operator="greaterThan" allowBlank="1" showErrorMessage="1" errorTitle="Unbilled Unmetered Consumption" error="You cannot enter a zero or negative value. Use the default percentage if you are unsure of actual unbilled unmetered consumption" promptTitle="Unbilled Unmetered Losses" prompt="Use the default percentage" sqref="L26:M26" xr:uid="{5420EC75-FE26-493E-95A7-BA79645DBCC7}">
      <formula1>0</formula1>
    </dataValidation>
    <dataValidation type="list" allowBlank="1" showInputMessage="1" showErrorMessage="1" errorTitle="Component Grading" error="Please restrict your entry to 0 - 10. See the comment box attached to this cell or Grading Matrix worksheet for more information" sqref="E14:E17 E23:E25 E42" xr:uid="{F51685C7-C793-4436-8DA2-7AC1C85408CE}">
      <formula1>"n/a,1,2,3,4,5,6,7,8,9,10"</formula1>
    </dataValidation>
    <dataValidation type="list" allowBlank="1" showInputMessage="1" showErrorMessage="1" errorTitle="Component Grading" error="Please restrict your entry to 0 - 10. See the comment box attached to this cell or Grading Matrix worksheet for more information" sqref="E26 E38 E62:E63 E67 E43 E65 E74:E76" xr:uid="{D59BFE2A-F7D7-48E6-A8FF-C9DAC4A52AB4}">
      <formula1>"1,2,3,4,5,6,7,8,9,10"</formula1>
    </dataValidation>
    <dataValidation type="decimal" operator="greaterThanOrEqual" allowBlank="1" showErrorMessage="1" errorTitle="Data Validation" error="Enter a numerical value greater than or equal to zero" promptTitle="Data Validation" prompt="Enter a numerical value greater than or equal to zero" sqref="G14:G17 G23:G25 G62:G63 G74:G76" xr:uid="{0958B859-7C18-4F85-8DD5-E38E11648698}">
      <formula1>0</formula1>
    </dataValidation>
    <dataValidation type="decimal" operator="greaterThan" allowBlank="1" showErrorMessage="1" errorTitle="Data Validation" error="Enter a numerical value" promptTitle="Data Validation" prompt="Enter a numerical value greater than or equal to zero" sqref="G43" xr:uid="{B083048D-E262-4284-812E-0AA5407A3F14}">
      <formula1>-1E+25</formula1>
    </dataValidation>
    <dataValidation type="decimal" errorStyle="warning" operator="lessThanOrEqual" allowBlank="1" showErrorMessage="1" errorTitle="Customer Service Lines" error="The value you entered is greater than an assumed maximum reasonable value." sqref="G65" xr:uid="{14359410-7945-44F2-9E14-A2E8FB8CA11D}">
      <formula1>100</formula1>
    </dataValidation>
    <dataValidation type="decimal" errorStyle="warning" operator="lessThanOrEqual" allowBlank="1" showErrorMessage="1" errorTitle="Average Operating Pressure" error="The value you entered is greater than an assumed maximum reasonable value." sqref="G67" xr:uid="{1242AC09-6736-47B6-960C-98460A482B9D}">
      <formula1>200</formula1>
    </dataValidation>
  </dataValidations>
  <printOptions horizontalCentered="1" verticalCentered="1" gridLines="1"/>
  <pageMargins left="0.36" right="0.37" top="0.49" bottom="0.42" header="0.22" footer="0.22"/>
  <pageSetup paperSize="3" scale="89" orientation="portrait" horizontalDpi="1200" r:id="rId1"/>
  <headerFooter alignWithMargins="0">
    <oddFooter>&amp;CAWWA Water Loss Control Committee&amp;R&amp;A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9416" r:id="rId4" name="Group Box 200">
              <controlPr defaultSize="0" autoFill="0" autoPict="0">
                <anchor moveWithCells="1" sizeWithCells="1">
                  <from>
                    <xdr:col>10</xdr:col>
                    <xdr:colOff>9525</xdr:colOff>
                    <xdr:row>25</xdr:row>
                    <xdr:rowOff>0</xdr:rowOff>
                  </from>
                  <to>
                    <xdr:col>10</xdr:col>
                    <xdr:colOff>590550</xdr:colOff>
                    <xdr:row>26</xdr:row>
                    <xdr:rowOff>0</xdr:rowOff>
                  </to>
                </anchor>
              </controlPr>
            </control>
          </mc:Choice>
        </mc:AlternateContent>
        <mc:AlternateContent xmlns:mc="http://schemas.openxmlformats.org/markup-compatibility/2006">
          <mc:Choice Requires="x14">
            <control shapeId="9417" r:id="rId5" name="Option Button 201">
              <controlPr defaultSize="0" autoFill="0" autoLine="0" autoPict="0">
                <anchor moveWithCells="1" sizeWithCells="1">
                  <from>
                    <xdr:col>10</xdr:col>
                    <xdr:colOff>57150</xdr:colOff>
                    <xdr:row>25</xdr:row>
                    <xdr:rowOff>28575</xdr:rowOff>
                  </from>
                  <to>
                    <xdr:col>10</xdr:col>
                    <xdr:colOff>342900</xdr:colOff>
                    <xdr:row>25</xdr:row>
                    <xdr:rowOff>180975</xdr:rowOff>
                  </to>
                </anchor>
              </controlPr>
            </control>
          </mc:Choice>
        </mc:AlternateContent>
        <mc:AlternateContent xmlns:mc="http://schemas.openxmlformats.org/markup-compatibility/2006">
          <mc:Choice Requires="x14">
            <control shapeId="9418" r:id="rId6" name="Option Button 202">
              <controlPr defaultSize="0" autoFill="0" autoLine="0" autoPict="0">
                <anchor moveWithCells="1" sizeWithCells="1">
                  <from>
                    <xdr:col>10</xdr:col>
                    <xdr:colOff>304800</xdr:colOff>
                    <xdr:row>25</xdr:row>
                    <xdr:rowOff>28575</xdr:rowOff>
                  </from>
                  <to>
                    <xdr:col>10</xdr:col>
                    <xdr:colOff>590550</xdr:colOff>
                    <xdr:row>25</xdr:row>
                    <xdr:rowOff>180975</xdr:rowOff>
                  </to>
                </anchor>
              </controlPr>
            </control>
          </mc:Choice>
        </mc:AlternateContent>
        <mc:AlternateContent xmlns:mc="http://schemas.openxmlformats.org/markup-compatibility/2006">
          <mc:Choice Requires="x14">
            <control shapeId="9411" r:id="rId7" name="Group Box 195">
              <controlPr defaultSize="0" autoFill="0" autoPict="0">
                <anchor moveWithCells="1" sizeWithCells="1">
                  <from>
                    <xdr:col>10</xdr:col>
                    <xdr:colOff>9525</xdr:colOff>
                    <xdr:row>41</xdr:row>
                    <xdr:rowOff>0</xdr:rowOff>
                  </from>
                  <to>
                    <xdr:col>10</xdr:col>
                    <xdr:colOff>590550</xdr:colOff>
                    <xdr:row>42</xdr:row>
                    <xdr:rowOff>0</xdr:rowOff>
                  </to>
                </anchor>
              </controlPr>
            </control>
          </mc:Choice>
        </mc:AlternateContent>
        <mc:AlternateContent xmlns:mc="http://schemas.openxmlformats.org/markup-compatibility/2006">
          <mc:Choice Requires="x14">
            <control shapeId="9412" r:id="rId8" name="Option Button 196">
              <controlPr defaultSize="0" autoFill="0" autoLine="0" autoPict="0">
                <anchor moveWithCells="1" sizeWithCells="1">
                  <from>
                    <xdr:col>10</xdr:col>
                    <xdr:colOff>57150</xdr:colOff>
                    <xdr:row>41</xdr:row>
                    <xdr:rowOff>28575</xdr:rowOff>
                  </from>
                  <to>
                    <xdr:col>10</xdr:col>
                    <xdr:colOff>342900</xdr:colOff>
                    <xdr:row>41</xdr:row>
                    <xdr:rowOff>180975</xdr:rowOff>
                  </to>
                </anchor>
              </controlPr>
            </control>
          </mc:Choice>
        </mc:AlternateContent>
        <mc:AlternateContent xmlns:mc="http://schemas.openxmlformats.org/markup-compatibility/2006">
          <mc:Choice Requires="x14">
            <control shapeId="9413" r:id="rId9" name="Option Button 197">
              <controlPr defaultSize="0" autoFill="0" autoLine="0" autoPict="0">
                <anchor moveWithCells="1" sizeWithCells="1">
                  <from>
                    <xdr:col>10</xdr:col>
                    <xdr:colOff>304800</xdr:colOff>
                    <xdr:row>41</xdr:row>
                    <xdr:rowOff>28575</xdr:rowOff>
                  </from>
                  <to>
                    <xdr:col>10</xdr:col>
                    <xdr:colOff>590550</xdr:colOff>
                    <xdr:row>41</xdr:row>
                    <xdr:rowOff>180975</xdr:rowOff>
                  </to>
                </anchor>
              </controlPr>
            </control>
          </mc:Choice>
        </mc:AlternateContent>
        <mc:AlternateContent xmlns:mc="http://schemas.openxmlformats.org/markup-compatibility/2006">
          <mc:Choice Requires="x14">
            <control shapeId="9399" r:id="rId10" name="Group Box 183">
              <controlPr defaultSize="0" autoFill="0" autoPict="0">
                <anchor moveWithCells="1" sizeWithCells="1">
                  <from>
                    <xdr:col>10</xdr:col>
                    <xdr:colOff>9525</xdr:colOff>
                    <xdr:row>37</xdr:row>
                    <xdr:rowOff>0</xdr:rowOff>
                  </from>
                  <to>
                    <xdr:col>10</xdr:col>
                    <xdr:colOff>590550</xdr:colOff>
                    <xdr:row>38</xdr:row>
                    <xdr:rowOff>0</xdr:rowOff>
                  </to>
                </anchor>
              </controlPr>
            </control>
          </mc:Choice>
        </mc:AlternateContent>
        <mc:AlternateContent xmlns:mc="http://schemas.openxmlformats.org/markup-compatibility/2006">
          <mc:Choice Requires="x14">
            <control shapeId="9401" r:id="rId11" name="Option Button 185">
              <controlPr defaultSize="0" autoFill="0" autoLine="0" autoPict="0">
                <anchor moveWithCells="1" sizeWithCells="1">
                  <from>
                    <xdr:col>10</xdr:col>
                    <xdr:colOff>57150</xdr:colOff>
                    <xdr:row>37</xdr:row>
                    <xdr:rowOff>28575</xdr:rowOff>
                  </from>
                  <to>
                    <xdr:col>10</xdr:col>
                    <xdr:colOff>342900</xdr:colOff>
                    <xdr:row>37</xdr:row>
                    <xdr:rowOff>180975</xdr:rowOff>
                  </to>
                </anchor>
              </controlPr>
            </control>
          </mc:Choice>
        </mc:AlternateContent>
        <mc:AlternateContent xmlns:mc="http://schemas.openxmlformats.org/markup-compatibility/2006">
          <mc:Choice Requires="x14">
            <control shapeId="9402" r:id="rId12" name="Option Button 186">
              <controlPr defaultSize="0" autoFill="0" autoLine="0" autoPict="0">
                <anchor moveWithCells="1" sizeWithCells="1">
                  <from>
                    <xdr:col>10</xdr:col>
                    <xdr:colOff>304800</xdr:colOff>
                    <xdr:row>37</xdr:row>
                    <xdr:rowOff>28575</xdr:rowOff>
                  </from>
                  <to>
                    <xdr:col>10</xdr:col>
                    <xdr:colOff>590550</xdr:colOff>
                    <xdr:row>37</xdr:row>
                    <xdr:rowOff>180975</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250FA-5590-4E8F-B495-C06BEFB8A033}">
  <sheetPr codeName="Sheet6">
    <tabColor indexed="48"/>
  </sheetPr>
  <dimension ref="B1:H1005"/>
  <sheetViews>
    <sheetView showGridLines="0" showRowColHeaders="0" zoomScaleNormal="100" workbookViewId="0">
      <selection activeCell="E23" sqref="E23"/>
    </sheetView>
  </sheetViews>
  <sheetFormatPr defaultRowHeight="13.5" x14ac:dyDescent="0.25"/>
  <cols>
    <col min="1" max="1" width="0.85546875" style="104" customWidth="1"/>
    <col min="2" max="2" width="18.5703125" style="104" customWidth="1"/>
    <col min="3" max="3" width="17.140625" style="104" customWidth="1"/>
    <col min="4" max="4" width="17.42578125" style="104" customWidth="1"/>
    <col min="5" max="5" width="33.28515625" style="104" customWidth="1"/>
    <col min="6" max="6" width="39.140625" style="104" customWidth="1"/>
    <col min="7" max="7" width="18.42578125" style="104" customWidth="1"/>
    <col min="8" max="8" width="3.140625" style="104" customWidth="1"/>
    <col min="9" max="16384" width="9.140625" style="104"/>
  </cols>
  <sheetData>
    <row r="1" spans="2:8" ht="3.75" customHeight="1" thickBot="1" x14ac:dyDescent="0.3"/>
    <row r="2" spans="2:8" ht="15" customHeight="1" thickTop="1" x14ac:dyDescent="0.3">
      <c r="B2" s="554" t="s">
        <v>42</v>
      </c>
      <c r="C2" s="555"/>
      <c r="D2" s="556"/>
      <c r="E2" s="557"/>
      <c r="F2" s="105" t="s">
        <v>408</v>
      </c>
      <c r="G2" s="106" t="s">
        <v>409</v>
      </c>
      <c r="H2" s="107"/>
    </row>
    <row r="3" spans="2:8" ht="21" customHeight="1" thickBot="1" x14ac:dyDescent="0.35">
      <c r="B3" s="558"/>
      <c r="C3" s="559"/>
      <c r="D3" s="559"/>
      <c r="E3" s="560"/>
      <c r="F3" s="212" t="str">
        <f>IF(ISBLANK(Instructions!D18),"",Instructions!D18)</f>
        <v>Township of Roxbury</v>
      </c>
      <c r="G3" s="213">
        <f>IF(ISBLANK(Instructions!D20),"",Instructions!D20)</f>
        <v>2013</v>
      </c>
      <c r="H3" s="107"/>
    </row>
    <row r="4" spans="2:8" s="113" customFormat="1" ht="6" customHeight="1" thickTop="1" thickBot="1" x14ac:dyDescent="0.35">
      <c r="B4" s="108"/>
      <c r="C4" s="121"/>
      <c r="D4" s="109"/>
      <c r="E4" s="115" t="str">
        <f>IF(ISBLANK(Instructions!H24),"","All Units in "&amp;Instructions!H24)</f>
        <v/>
      </c>
      <c r="F4" s="110"/>
      <c r="G4" s="111"/>
      <c r="H4" s="112"/>
    </row>
    <row r="5" spans="2:8" ht="16.5" customHeight="1" x14ac:dyDescent="0.3">
      <c r="B5" s="205"/>
      <c r="C5" s="215" t="s">
        <v>54</v>
      </c>
      <c r="D5" s="216"/>
      <c r="E5" s="217"/>
      <c r="F5" s="565" t="s">
        <v>459</v>
      </c>
      <c r="G5" s="218"/>
      <c r="H5" s="107"/>
    </row>
    <row r="6" spans="2:8" ht="16.5" customHeight="1" x14ac:dyDescent="0.3">
      <c r="B6" s="214"/>
      <c r="C6" s="265">
        <f>'Reporting Worksheet'!G17</f>
        <v>0</v>
      </c>
      <c r="D6" s="219"/>
      <c r="E6" s="220"/>
      <c r="F6" s="566"/>
      <c r="G6" s="221"/>
      <c r="H6" s="107"/>
    </row>
    <row r="7" spans="2:8" ht="23.25" customHeight="1" x14ac:dyDescent="0.25">
      <c r="B7" s="203"/>
      <c r="C7" s="204"/>
      <c r="D7" s="24"/>
      <c r="E7" s="561" t="s">
        <v>20</v>
      </c>
      <c r="F7" s="72" t="s">
        <v>21</v>
      </c>
      <c r="G7" s="42" t="s">
        <v>22</v>
      </c>
      <c r="H7" s="107"/>
    </row>
    <row r="8" spans="2:8" ht="15.75" customHeight="1" x14ac:dyDescent="0.3">
      <c r="B8" s="41"/>
      <c r="C8" s="125"/>
      <c r="D8" s="22"/>
      <c r="E8" s="562"/>
      <c r="F8" s="268">
        <f>'Reporting Worksheet'!G23</f>
        <v>100.61499999999999</v>
      </c>
      <c r="G8" s="42"/>
      <c r="H8" s="107"/>
    </row>
    <row r="9" spans="2:8" ht="22.5" customHeight="1" x14ac:dyDescent="0.25">
      <c r="B9" s="44" t="s">
        <v>579</v>
      </c>
      <c r="C9" s="125"/>
      <c r="D9" s="76" t="s">
        <v>19</v>
      </c>
      <c r="E9" s="267">
        <f>'Reporting Worksheet'!G23+'Reporting Worksheet'!G24</f>
        <v>100.61499999999999</v>
      </c>
      <c r="F9" s="73" t="s">
        <v>23</v>
      </c>
      <c r="G9" s="253">
        <f>SUM(F8+F10)</f>
        <v>100.61499999999999</v>
      </c>
      <c r="H9" s="107"/>
    </row>
    <row r="10" spans="2:8" ht="15.75" customHeight="1" x14ac:dyDescent="0.3">
      <c r="B10" s="564" t="s">
        <v>580</v>
      </c>
      <c r="C10" s="125"/>
      <c r="D10" s="23"/>
      <c r="E10" s="19"/>
      <c r="F10" s="269">
        <f>'Reporting Worksheet'!G24</f>
        <v>0</v>
      </c>
      <c r="G10" s="43"/>
      <c r="H10" s="107"/>
    </row>
    <row r="11" spans="2:8" ht="15.75" customHeight="1" x14ac:dyDescent="0.3">
      <c r="B11" s="564"/>
      <c r="C11" s="125"/>
      <c r="D11" s="266">
        <f>'Reporting Worksheet'!G30</f>
        <v>102.038</v>
      </c>
      <c r="E11" s="563" t="s">
        <v>24</v>
      </c>
      <c r="F11" s="222" t="s">
        <v>25</v>
      </c>
      <c r="G11" s="552" t="s">
        <v>26</v>
      </c>
      <c r="H11" s="107"/>
    </row>
    <row r="12" spans="2:8" ht="15.75" customHeight="1" x14ac:dyDescent="0.3">
      <c r="B12" s="41"/>
      <c r="C12" s="125"/>
      <c r="D12" s="22"/>
      <c r="E12" s="562"/>
      <c r="F12" s="258">
        <f>'Reporting Worksheet'!G25</f>
        <v>0</v>
      </c>
      <c r="G12" s="553"/>
      <c r="H12" s="107"/>
    </row>
    <row r="13" spans="2:8" ht="22.5" customHeight="1" x14ac:dyDescent="0.3">
      <c r="B13" s="263">
        <f>'Reporting Worksheet'!G14+IF('Reporting Worksheet'!I15="under-registered",+'Reporting Worksheet'!G15,IF('Reporting Worksheet'!I15="over-registered",-'Reporting Worksheet'!G15,))</f>
        <v>113.84</v>
      </c>
      <c r="C13" s="126"/>
      <c r="D13" s="22"/>
      <c r="E13" s="256">
        <f>'Reporting Worksheet'!G25+'Reporting Worksheet'!G26</f>
        <v>1.423</v>
      </c>
      <c r="F13" s="72" t="s">
        <v>27</v>
      </c>
      <c r="G13" s="42"/>
      <c r="H13" s="107"/>
    </row>
    <row r="14" spans="2:8" ht="15.75" customHeight="1" x14ac:dyDescent="0.3">
      <c r="B14" s="41"/>
      <c r="C14" s="125"/>
      <c r="D14" s="123"/>
      <c r="E14" s="19"/>
      <c r="F14" s="292">
        <f>'Reporting Worksheet'!G26</f>
        <v>1.423</v>
      </c>
      <c r="G14" s="42"/>
      <c r="H14" s="107"/>
    </row>
    <row r="15" spans="2:8" ht="22.5" customHeight="1" x14ac:dyDescent="0.25">
      <c r="B15" s="41"/>
      <c r="C15" s="127" t="s">
        <v>581</v>
      </c>
      <c r="D15" s="24"/>
      <c r="E15" s="20"/>
      <c r="F15" s="73" t="s">
        <v>28</v>
      </c>
      <c r="G15" s="293">
        <f>'Reporting Worksheet'!G25+'Reporting Worksheet'!G26+'Reporting Worksheet'!G47+'Reporting Worksheet'!G52</f>
        <v>13.225000000000007</v>
      </c>
      <c r="H15" s="107"/>
    </row>
    <row r="16" spans="2:8" ht="15.75" customHeight="1" x14ac:dyDescent="0.3">
      <c r="B16" s="41"/>
      <c r="C16" s="125"/>
      <c r="D16" s="22"/>
      <c r="E16" s="74" t="s">
        <v>290</v>
      </c>
      <c r="F16" s="258">
        <f>'Reporting Worksheet'!G38</f>
        <v>0.28460000000000002</v>
      </c>
      <c r="G16" s="42"/>
      <c r="H16" s="107"/>
    </row>
    <row r="17" spans="2:8" ht="14.25" customHeight="1" x14ac:dyDescent="0.25">
      <c r="B17" s="44"/>
      <c r="C17" s="264">
        <f>'Reporting Worksheet'!G19</f>
        <v>113.84</v>
      </c>
      <c r="D17" s="21"/>
      <c r="E17" s="256">
        <f>'Reporting Worksheet'!G47</f>
        <v>5.7801263157894738</v>
      </c>
      <c r="F17" s="72" t="s">
        <v>29</v>
      </c>
      <c r="G17" s="42"/>
      <c r="H17" s="107"/>
    </row>
    <row r="18" spans="2:8" ht="15.75" customHeight="1" x14ac:dyDescent="0.25">
      <c r="B18" s="41"/>
      <c r="C18" s="125"/>
      <c r="D18" s="22"/>
      <c r="E18" s="21"/>
      <c r="F18" s="259">
        <f>'Reporting Worksheet'!G42</f>
        <v>5.2955263157894734</v>
      </c>
      <c r="G18" s="42"/>
      <c r="H18" s="107"/>
    </row>
    <row r="19" spans="2:8" ht="23.25" customHeight="1" x14ac:dyDescent="0.25">
      <c r="B19" s="41"/>
      <c r="C19" s="125"/>
      <c r="D19" s="22"/>
      <c r="E19" s="21"/>
      <c r="F19" s="72" t="s">
        <v>422</v>
      </c>
      <c r="G19" s="42"/>
      <c r="H19" s="107"/>
    </row>
    <row r="20" spans="2:8" ht="15.75" customHeight="1" x14ac:dyDescent="0.3">
      <c r="B20" s="41"/>
      <c r="C20" s="125"/>
      <c r="D20" s="75" t="s">
        <v>289</v>
      </c>
      <c r="E20" s="19"/>
      <c r="F20" s="258">
        <f>'Reporting Worksheet'!G43</f>
        <v>0.2</v>
      </c>
      <c r="G20" s="42"/>
      <c r="H20" s="107"/>
    </row>
    <row r="21" spans="2:8" ht="26.25" customHeight="1" x14ac:dyDescent="0.25">
      <c r="B21" s="122" t="s">
        <v>53</v>
      </c>
      <c r="C21" s="125"/>
      <c r="D21" s="257">
        <f>'Reporting Worksheet'!G54</f>
        <v>11.802000000000007</v>
      </c>
      <c r="E21" s="21"/>
      <c r="F21" s="72" t="s">
        <v>30</v>
      </c>
      <c r="G21" s="42"/>
      <c r="H21" s="107"/>
    </row>
    <row r="22" spans="2:8" ht="15.75" customHeight="1" x14ac:dyDescent="0.3">
      <c r="B22" s="41"/>
      <c r="C22" s="125"/>
      <c r="D22" s="22"/>
      <c r="E22" s="74" t="s">
        <v>291</v>
      </c>
      <c r="F22" s="260" t="s">
        <v>610</v>
      </c>
      <c r="G22" s="42"/>
      <c r="H22" s="107"/>
    </row>
    <row r="23" spans="2:8" ht="24.75" customHeight="1" x14ac:dyDescent="0.3">
      <c r="B23" s="263">
        <f>'Reporting Worksheet'!G16</f>
        <v>0</v>
      </c>
      <c r="C23" s="125"/>
      <c r="D23" s="22"/>
      <c r="E23" s="256">
        <f>'Reporting Worksheet'!G52</f>
        <v>6.0218736842105329</v>
      </c>
      <c r="F23" s="73" t="s">
        <v>31</v>
      </c>
      <c r="G23" s="42"/>
      <c r="H23" s="107"/>
    </row>
    <row r="24" spans="2:8" ht="16.5" customHeight="1" x14ac:dyDescent="0.3">
      <c r="B24" s="41"/>
      <c r="C24" s="125"/>
      <c r="D24" s="22"/>
      <c r="E24" s="21"/>
      <c r="F24" s="261" t="s">
        <v>610</v>
      </c>
      <c r="G24" s="42"/>
      <c r="H24" s="107"/>
    </row>
    <row r="25" spans="2:8" ht="12.75" customHeight="1" x14ac:dyDescent="0.25">
      <c r="B25" s="41"/>
      <c r="C25" s="125"/>
      <c r="D25" s="22"/>
      <c r="E25" s="21"/>
      <c r="F25" s="72" t="s">
        <v>609</v>
      </c>
      <c r="G25" s="42"/>
      <c r="H25" s="107"/>
    </row>
    <row r="26" spans="2:8" ht="18" thickBot="1" x14ac:dyDescent="0.35">
      <c r="B26" s="45"/>
      <c r="C26" s="128"/>
      <c r="D26" s="124"/>
      <c r="E26" s="46"/>
      <c r="F26" s="262" t="s">
        <v>610</v>
      </c>
      <c r="G26" s="47"/>
      <c r="H26" s="107"/>
    </row>
    <row r="27" spans="2:8" ht="14.25" thickTop="1" x14ac:dyDescent="0.25">
      <c r="B27" s="114"/>
      <c r="C27" s="114"/>
      <c r="D27" s="114"/>
      <c r="E27" s="107"/>
      <c r="F27" s="107"/>
      <c r="G27" s="107"/>
      <c r="H27" s="107"/>
    </row>
    <row r="28" spans="2:8" x14ac:dyDescent="0.25">
      <c r="B28" s="107"/>
      <c r="C28" s="107"/>
      <c r="D28" s="107"/>
      <c r="E28" s="107"/>
      <c r="F28" s="107"/>
      <c r="G28" s="107"/>
      <c r="H28" s="107"/>
    </row>
    <row r="29" spans="2:8" x14ac:dyDescent="0.25">
      <c r="B29" s="107"/>
      <c r="C29" s="107"/>
      <c r="D29" s="107"/>
      <c r="E29" s="107"/>
      <c r="F29" s="107"/>
      <c r="G29" s="107"/>
      <c r="H29" s="107"/>
    </row>
    <row r="30" spans="2:8" ht="12.75" customHeight="1" x14ac:dyDescent="0.25">
      <c r="B30" s="107"/>
      <c r="C30" s="107"/>
      <c r="D30" s="107"/>
      <c r="E30" s="107"/>
      <c r="F30" s="107"/>
      <c r="G30" s="107"/>
      <c r="H30" s="107"/>
    </row>
    <row r="31" spans="2:8" x14ac:dyDescent="0.25">
      <c r="B31" s="107"/>
      <c r="C31" s="107"/>
      <c r="D31" s="107"/>
      <c r="E31" s="107"/>
      <c r="F31" s="107"/>
      <c r="G31" s="107"/>
      <c r="H31" s="107"/>
    </row>
    <row r="32" spans="2:8" x14ac:dyDescent="0.25">
      <c r="B32" s="107"/>
      <c r="C32" s="107"/>
      <c r="D32" s="107"/>
      <c r="E32" s="107"/>
      <c r="F32" s="107"/>
      <c r="G32" s="107"/>
      <c r="H32" s="107"/>
    </row>
    <row r="33" spans="2:8" x14ac:dyDescent="0.25">
      <c r="B33" s="107"/>
      <c r="C33" s="107"/>
      <c r="D33" s="107"/>
      <c r="E33" s="107"/>
      <c r="F33" s="107"/>
      <c r="G33" s="107"/>
      <c r="H33" s="107"/>
    </row>
    <row r="34" spans="2:8" x14ac:dyDescent="0.25">
      <c r="B34" s="107"/>
      <c r="C34" s="107"/>
      <c r="D34" s="107"/>
      <c r="E34" s="107"/>
      <c r="F34" s="107"/>
      <c r="G34" s="107"/>
      <c r="H34" s="107"/>
    </row>
    <row r="35" spans="2:8" x14ac:dyDescent="0.25">
      <c r="B35" s="107"/>
      <c r="C35" s="107"/>
      <c r="D35" s="107"/>
      <c r="E35" s="107"/>
      <c r="F35" s="107"/>
      <c r="G35" s="107"/>
      <c r="H35" s="107"/>
    </row>
    <row r="36" spans="2:8" x14ac:dyDescent="0.25">
      <c r="B36" s="107"/>
      <c r="C36" s="107"/>
      <c r="D36" s="107"/>
      <c r="E36" s="107"/>
      <c r="F36" s="107"/>
      <c r="G36" s="107"/>
      <c r="H36" s="107"/>
    </row>
    <row r="37" spans="2:8" x14ac:dyDescent="0.25">
      <c r="B37" s="107"/>
      <c r="C37" s="107"/>
      <c r="D37" s="107"/>
      <c r="E37" s="107"/>
      <c r="F37" s="107"/>
      <c r="G37" s="107"/>
      <c r="H37" s="107"/>
    </row>
    <row r="38" spans="2:8" x14ac:dyDescent="0.25">
      <c r="B38" s="107"/>
      <c r="C38" s="107"/>
      <c r="D38" s="107"/>
      <c r="E38" s="107"/>
      <c r="F38" s="107"/>
      <c r="G38" s="107"/>
      <c r="H38" s="107"/>
    </row>
    <row r="39" spans="2:8" x14ac:dyDescent="0.25">
      <c r="B39" s="107"/>
      <c r="C39" s="107"/>
      <c r="D39" s="107"/>
      <c r="E39" s="107"/>
      <c r="F39" s="107"/>
      <c r="G39" s="107"/>
      <c r="H39" s="107"/>
    </row>
    <row r="40" spans="2:8" x14ac:dyDescent="0.25">
      <c r="B40" s="107"/>
      <c r="C40" s="107"/>
      <c r="D40" s="107"/>
      <c r="E40" s="107"/>
      <c r="F40" s="107"/>
      <c r="G40" s="107"/>
      <c r="H40" s="107"/>
    </row>
    <row r="41" spans="2:8" x14ac:dyDescent="0.25">
      <c r="B41" s="107"/>
      <c r="C41" s="107"/>
      <c r="D41" s="107"/>
      <c r="E41" s="107"/>
      <c r="F41" s="107"/>
      <c r="G41" s="107"/>
      <c r="H41" s="107"/>
    </row>
    <row r="42" spans="2:8" x14ac:dyDescent="0.25">
      <c r="B42" s="107"/>
      <c r="C42" s="107"/>
      <c r="D42" s="107"/>
      <c r="E42" s="107"/>
      <c r="F42" s="107"/>
      <c r="G42" s="107"/>
      <c r="H42" s="107"/>
    </row>
    <row r="43" spans="2:8" x14ac:dyDescent="0.25">
      <c r="B43" s="107"/>
      <c r="C43" s="107"/>
      <c r="D43" s="107"/>
      <c r="E43" s="107"/>
      <c r="F43" s="107"/>
      <c r="G43" s="107"/>
      <c r="H43" s="107"/>
    </row>
    <row r="44" spans="2:8" x14ac:dyDescent="0.25">
      <c r="B44" s="107"/>
      <c r="C44" s="107"/>
      <c r="D44" s="107"/>
      <c r="E44" s="107"/>
      <c r="F44" s="107"/>
      <c r="G44" s="107"/>
      <c r="H44" s="107"/>
    </row>
    <row r="45" spans="2:8" x14ac:dyDescent="0.25">
      <c r="B45" s="107"/>
      <c r="C45" s="107"/>
      <c r="D45" s="107"/>
      <c r="E45" s="107"/>
      <c r="F45" s="107"/>
      <c r="G45" s="107"/>
      <c r="H45" s="107"/>
    </row>
    <row r="46" spans="2:8" ht="12.75" customHeight="1" x14ac:dyDescent="0.25">
      <c r="B46" s="107"/>
      <c r="C46" s="107"/>
      <c r="D46" s="107"/>
      <c r="E46" s="107"/>
      <c r="F46" s="107"/>
      <c r="G46" s="107"/>
      <c r="H46" s="107"/>
    </row>
    <row r="47" spans="2:8" x14ac:dyDescent="0.25">
      <c r="B47" s="107"/>
      <c r="C47" s="107"/>
      <c r="D47" s="107"/>
      <c r="E47" s="107"/>
      <c r="F47" s="107"/>
      <c r="G47" s="107"/>
      <c r="H47" s="107"/>
    </row>
    <row r="48" spans="2:8" x14ac:dyDescent="0.25">
      <c r="B48" s="107"/>
      <c r="C48" s="107"/>
      <c r="D48" s="107"/>
      <c r="E48" s="107"/>
      <c r="F48" s="107"/>
      <c r="G48" s="107"/>
      <c r="H48" s="107"/>
    </row>
    <row r="49" spans="2:8" x14ac:dyDescent="0.25">
      <c r="B49" s="107"/>
      <c r="C49" s="107"/>
      <c r="D49" s="107"/>
      <c r="E49" s="107"/>
      <c r="F49" s="107"/>
      <c r="G49" s="107"/>
      <c r="H49" s="107"/>
    </row>
    <row r="50" spans="2:8" x14ac:dyDescent="0.25">
      <c r="B50" s="107"/>
      <c r="C50" s="107"/>
      <c r="D50" s="107"/>
      <c r="E50" s="107"/>
      <c r="F50" s="107"/>
      <c r="G50" s="107"/>
      <c r="H50" s="107"/>
    </row>
    <row r="51" spans="2:8" x14ac:dyDescent="0.25">
      <c r="B51" s="107"/>
      <c r="C51" s="107"/>
      <c r="D51" s="107"/>
      <c r="E51" s="107"/>
      <c r="F51" s="107"/>
      <c r="G51" s="107"/>
      <c r="H51" s="107"/>
    </row>
    <row r="52" spans="2:8" x14ac:dyDescent="0.25">
      <c r="B52" s="107"/>
      <c r="C52" s="107"/>
      <c r="D52" s="107"/>
      <c r="E52" s="107"/>
      <c r="F52" s="107"/>
      <c r="G52" s="107"/>
      <c r="H52" s="107"/>
    </row>
    <row r="53" spans="2:8" x14ac:dyDescent="0.25">
      <c r="B53" s="107"/>
      <c r="C53" s="107"/>
      <c r="D53" s="107"/>
      <c r="E53" s="107"/>
      <c r="F53" s="107"/>
      <c r="G53" s="107"/>
      <c r="H53" s="107"/>
    </row>
    <row r="54" spans="2:8" x14ac:dyDescent="0.25">
      <c r="B54" s="107"/>
      <c r="C54" s="107"/>
      <c r="D54" s="107"/>
      <c r="E54" s="107"/>
      <c r="F54" s="107"/>
      <c r="G54" s="107"/>
      <c r="H54" s="107"/>
    </row>
    <row r="55" spans="2:8" x14ac:dyDescent="0.25">
      <c r="B55" s="107"/>
      <c r="C55" s="107"/>
      <c r="D55" s="107"/>
      <c r="E55" s="107"/>
      <c r="F55" s="107"/>
      <c r="G55" s="107"/>
      <c r="H55" s="107"/>
    </row>
    <row r="56" spans="2:8" x14ac:dyDescent="0.25">
      <c r="B56" s="107"/>
      <c r="C56" s="107"/>
      <c r="D56" s="107"/>
      <c r="E56" s="107"/>
      <c r="F56" s="107"/>
      <c r="G56" s="107"/>
      <c r="H56" s="107"/>
    </row>
    <row r="57" spans="2:8" x14ac:dyDescent="0.25">
      <c r="B57" s="107"/>
      <c r="C57" s="107"/>
      <c r="D57" s="107"/>
      <c r="E57" s="107"/>
      <c r="F57" s="107"/>
      <c r="G57" s="107"/>
      <c r="H57" s="107"/>
    </row>
    <row r="58" spans="2:8" x14ac:dyDescent="0.25">
      <c r="B58" s="107"/>
      <c r="C58" s="107"/>
      <c r="D58" s="107"/>
      <c r="E58" s="107"/>
      <c r="F58" s="107"/>
      <c r="G58" s="107"/>
      <c r="H58" s="107"/>
    </row>
    <row r="59" spans="2:8" x14ac:dyDescent="0.25">
      <c r="B59" s="107"/>
      <c r="C59" s="107"/>
      <c r="D59" s="107"/>
      <c r="E59" s="107"/>
      <c r="F59" s="107"/>
      <c r="G59" s="107"/>
      <c r="H59" s="107"/>
    </row>
    <row r="60" spans="2:8" x14ac:dyDescent="0.25">
      <c r="B60" s="107"/>
      <c r="C60" s="107"/>
      <c r="D60" s="107"/>
      <c r="E60" s="107"/>
      <c r="F60" s="107"/>
      <c r="G60" s="107"/>
      <c r="H60" s="107"/>
    </row>
    <row r="61" spans="2:8" x14ac:dyDescent="0.25">
      <c r="B61" s="107"/>
      <c r="C61" s="107"/>
      <c r="D61" s="107"/>
      <c r="E61" s="107"/>
      <c r="F61" s="107"/>
      <c r="G61" s="107"/>
      <c r="H61" s="107"/>
    </row>
    <row r="62" spans="2:8" x14ac:dyDescent="0.25">
      <c r="B62" s="107"/>
      <c r="C62" s="107"/>
      <c r="D62" s="107"/>
      <c r="E62" s="107"/>
      <c r="F62" s="107"/>
      <c r="G62" s="107"/>
      <c r="H62" s="107"/>
    </row>
    <row r="63" spans="2:8" x14ac:dyDescent="0.25">
      <c r="B63" s="107"/>
      <c r="C63" s="107"/>
      <c r="D63" s="107"/>
      <c r="E63" s="107"/>
      <c r="F63" s="107"/>
      <c r="G63" s="107"/>
      <c r="H63" s="107"/>
    </row>
    <row r="64" spans="2:8" x14ac:dyDescent="0.25">
      <c r="B64" s="107"/>
      <c r="C64" s="107"/>
      <c r="D64" s="107"/>
      <c r="E64" s="107"/>
      <c r="F64" s="107"/>
      <c r="G64" s="107"/>
      <c r="H64" s="107"/>
    </row>
    <row r="65" spans="2:8" x14ac:dyDescent="0.25">
      <c r="B65" s="107"/>
      <c r="C65" s="107"/>
      <c r="D65" s="107"/>
      <c r="E65" s="107"/>
      <c r="F65" s="107"/>
      <c r="G65" s="107"/>
      <c r="H65" s="107"/>
    </row>
    <row r="66" spans="2:8" x14ac:dyDescent="0.25">
      <c r="B66" s="107"/>
      <c r="C66" s="107"/>
      <c r="D66" s="107"/>
      <c r="E66" s="107"/>
      <c r="F66" s="107"/>
      <c r="G66" s="107"/>
      <c r="H66" s="107"/>
    </row>
    <row r="67" spans="2:8" x14ac:dyDescent="0.25">
      <c r="B67" s="107"/>
      <c r="C67" s="107"/>
      <c r="D67" s="107"/>
      <c r="E67" s="107"/>
      <c r="F67" s="107"/>
      <c r="G67" s="107"/>
      <c r="H67" s="107"/>
    </row>
    <row r="68" spans="2:8" x14ac:dyDescent="0.25">
      <c r="B68" s="107"/>
      <c r="C68" s="107"/>
      <c r="D68" s="107"/>
      <c r="E68" s="107"/>
      <c r="F68" s="107"/>
      <c r="G68" s="107"/>
      <c r="H68" s="107"/>
    </row>
    <row r="69" spans="2:8" x14ac:dyDescent="0.25">
      <c r="B69" s="107"/>
      <c r="C69" s="107"/>
      <c r="D69" s="107"/>
      <c r="E69" s="107"/>
      <c r="F69" s="107"/>
      <c r="G69" s="107"/>
      <c r="H69" s="107"/>
    </row>
    <row r="70" spans="2:8" x14ac:dyDescent="0.25">
      <c r="B70" s="107"/>
      <c r="C70" s="107"/>
      <c r="D70" s="107"/>
      <c r="E70" s="107"/>
      <c r="F70" s="107"/>
      <c r="G70" s="107"/>
      <c r="H70" s="107"/>
    </row>
    <row r="71" spans="2:8" x14ac:dyDescent="0.25">
      <c r="B71" s="107"/>
      <c r="C71" s="107"/>
      <c r="D71" s="107"/>
      <c r="E71" s="107"/>
      <c r="F71" s="107"/>
      <c r="G71" s="107"/>
      <c r="H71" s="107"/>
    </row>
    <row r="72" spans="2:8" x14ac:dyDescent="0.25">
      <c r="B72" s="107"/>
      <c r="C72" s="107"/>
      <c r="D72" s="107"/>
      <c r="E72" s="107"/>
      <c r="F72" s="107"/>
      <c r="G72" s="107"/>
      <c r="H72" s="107"/>
    </row>
    <row r="73" spans="2:8" x14ac:dyDescent="0.25">
      <c r="B73" s="107"/>
      <c r="C73" s="107"/>
      <c r="D73" s="107"/>
      <c r="E73" s="107"/>
      <c r="F73" s="107"/>
      <c r="G73" s="107"/>
      <c r="H73" s="107"/>
    </row>
    <row r="74" spans="2:8" x14ac:dyDescent="0.25">
      <c r="B74" s="107"/>
      <c r="C74" s="107"/>
      <c r="D74" s="107"/>
      <c r="E74" s="107"/>
      <c r="F74" s="107"/>
      <c r="G74" s="107"/>
      <c r="H74" s="107"/>
    </row>
    <row r="75" spans="2:8" x14ac:dyDescent="0.25">
      <c r="B75" s="107"/>
      <c r="C75" s="107"/>
      <c r="D75" s="107"/>
      <c r="E75" s="107"/>
      <c r="F75" s="107"/>
      <c r="G75" s="107"/>
      <c r="H75" s="107"/>
    </row>
    <row r="76" spans="2:8" x14ac:dyDescent="0.25">
      <c r="B76" s="107"/>
      <c r="C76" s="107"/>
      <c r="D76" s="107"/>
      <c r="E76" s="107"/>
      <c r="F76" s="107"/>
      <c r="G76" s="107"/>
      <c r="H76" s="107"/>
    </row>
    <row r="77" spans="2:8" x14ac:dyDescent="0.25">
      <c r="B77" s="107"/>
      <c r="C77" s="107"/>
      <c r="D77" s="107"/>
      <c r="E77" s="107"/>
      <c r="F77" s="107"/>
      <c r="G77" s="107"/>
      <c r="H77" s="107"/>
    </row>
    <row r="78" spans="2:8" x14ac:dyDescent="0.25">
      <c r="B78" s="107"/>
      <c r="C78" s="107"/>
      <c r="D78" s="107"/>
      <c r="E78" s="107"/>
      <c r="F78" s="107"/>
      <c r="G78" s="107"/>
      <c r="H78" s="107"/>
    </row>
    <row r="79" spans="2:8" x14ac:dyDescent="0.25">
      <c r="B79" s="107"/>
      <c r="C79" s="107"/>
      <c r="D79" s="107"/>
      <c r="E79" s="107"/>
      <c r="F79" s="107"/>
      <c r="G79" s="107"/>
      <c r="H79" s="107"/>
    </row>
    <row r="80" spans="2:8" x14ac:dyDescent="0.25">
      <c r="B80" s="107"/>
      <c r="C80" s="107"/>
      <c r="D80" s="107"/>
      <c r="E80" s="107"/>
      <c r="F80" s="107"/>
      <c r="G80" s="107"/>
      <c r="H80" s="107"/>
    </row>
    <row r="81" spans="2:8" x14ac:dyDescent="0.25">
      <c r="B81" s="107"/>
      <c r="C81" s="107"/>
      <c r="D81" s="107"/>
      <c r="E81" s="107"/>
      <c r="F81" s="107"/>
      <c r="G81" s="107"/>
      <c r="H81" s="107"/>
    </row>
    <row r="82" spans="2:8" x14ac:dyDescent="0.25">
      <c r="B82" s="107"/>
      <c r="C82" s="107"/>
      <c r="D82" s="107"/>
      <c r="E82" s="107"/>
      <c r="F82" s="107"/>
      <c r="G82" s="107"/>
      <c r="H82" s="107"/>
    </row>
    <row r="83" spans="2:8" x14ac:dyDescent="0.25">
      <c r="B83" s="107"/>
      <c r="C83" s="107"/>
      <c r="D83" s="107"/>
      <c r="E83" s="107"/>
      <c r="F83" s="107"/>
      <c r="G83" s="107"/>
      <c r="H83" s="107"/>
    </row>
    <row r="84" spans="2:8" x14ac:dyDescent="0.25">
      <c r="B84" s="107"/>
      <c r="C84" s="107"/>
      <c r="D84" s="107"/>
      <c r="E84" s="107"/>
      <c r="F84" s="107"/>
      <c r="G84" s="107"/>
      <c r="H84" s="107"/>
    </row>
    <row r="85" spans="2:8" x14ac:dyDescent="0.25">
      <c r="B85" s="107"/>
      <c r="C85" s="107"/>
      <c r="D85" s="107"/>
      <c r="E85" s="107"/>
      <c r="F85" s="107"/>
      <c r="G85" s="107"/>
      <c r="H85" s="107"/>
    </row>
    <row r="86" spans="2:8" x14ac:dyDescent="0.25">
      <c r="B86" s="107"/>
      <c r="C86" s="107"/>
      <c r="D86" s="107"/>
      <c r="E86" s="107"/>
      <c r="F86" s="107"/>
      <c r="G86" s="107"/>
      <c r="H86" s="107"/>
    </row>
    <row r="87" spans="2:8" x14ac:dyDescent="0.25">
      <c r="B87" s="107"/>
      <c r="C87" s="107"/>
      <c r="D87" s="107"/>
      <c r="E87" s="107"/>
      <c r="F87" s="107"/>
      <c r="G87" s="107"/>
      <c r="H87" s="107"/>
    </row>
    <row r="88" spans="2:8" x14ac:dyDescent="0.25">
      <c r="B88" s="107"/>
      <c r="C88" s="107"/>
      <c r="D88" s="107"/>
      <c r="E88" s="107"/>
      <c r="F88" s="107"/>
      <c r="G88" s="107"/>
      <c r="H88" s="107"/>
    </row>
    <row r="89" spans="2:8" x14ac:dyDescent="0.25">
      <c r="B89" s="107"/>
      <c r="C89" s="107"/>
      <c r="D89" s="107"/>
      <c r="E89" s="107"/>
      <c r="F89" s="107"/>
      <c r="G89" s="107"/>
      <c r="H89" s="107"/>
    </row>
    <row r="90" spans="2:8" x14ac:dyDescent="0.25">
      <c r="B90" s="107"/>
      <c r="C90" s="107"/>
      <c r="D90" s="107"/>
      <c r="E90" s="107"/>
      <c r="F90" s="107"/>
      <c r="G90" s="107"/>
      <c r="H90" s="107"/>
    </row>
    <row r="91" spans="2:8" x14ac:dyDescent="0.25">
      <c r="B91" s="107"/>
      <c r="C91" s="107"/>
      <c r="D91" s="107"/>
      <c r="E91" s="107"/>
      <c r="F91" s="107"/>
      <c r="G91" s="107"/>
      <c r="H91" s="107"/>
    </row>
    <row r="92" spans="2:8" x14ac:dyDescent="0.25">
      <c r="B92" s="107"/>
      <c r="C92" s="107"/>
      <c r="D92" s="107"/>
      <c r="E92" s="107"/>
      <c r="F92" s="107"/>
      <c r="G92" s="107"/>
      <c r="H92" s="107"/>
    </row>
    <row r="93" spans="2:8" x14ac:dyDescent="0.25">
      <c r="B93" s="107"/>
      <c r="C93" s="107"/>
      <c r="D93" s="107"/>
      <c r="E93" s="107"/>
      <c r="F93" s="107"/>
      <c r="G93" s="107"/>
      <c r="H93" s="107"/>
    </row>
    <row r="94" spans="2:8" x14ac:dyDescent="0.25">
      <c r="B94" s="107"/>
      <c r="C94" s="107"/>
      <c r="D94" s="107"/>
      <c r="E94" s="107"/>
      <c r="F94" s="107"/>
      <c r="G94" s="107"/>
      <c r="H94" s="107"/>
    </row>
    <row r="95" spans="2:8" x14ac:dyDescent="0.25">
      <c r="B95" s="107"/>
      <c r="C95" s="107"/>
      <c r="D95" s="107"/>
      <c r="E95" s="107"/>
      <c r="F95" s="107"/>
      <c r="G95" s="107"/>
      <c r="H95" s="107"/>
    </row>
    <row r="96" spans="2:8" x14ac:dyDescent="0.25">
      <c r="B96" s="107"/>
      <c r="C96" s="107"/>
      <c r="D96" s="107"/>
      <c r="E96" s="107"/>
      <c r="F96" s="107"/>
      <c r="G96" s="107"/>
      <c r="H96" s="107"/>
    </row>
    <row r="97" spans="2:8" x14ac:dyDescent="0.25">
      <c r="B97" s="107"/>
      <c r="C97" s="107"/>
      <c r="D97" s="107"/>
      <c r="E97" s="107"/>
      <c r="F97" s="107"/>
      <c r="G97" s="107"/>
      <c r="H97" s="107"/>
    </row>
    <row r="98" spans="2:8" x14ac:dyDescent="0.25">
      <c r="B98" s="107"/>
      <c r="C98" s="107"/>
      <c r="D98" s="107"/>
      <c r="E98" s="107"/>
      <c r="F98" s="107"/>
      <c r="G98" s="107"/>
      <c r="H98" s="107"/>
    </row>
    <row r="99" spans="2:8" x14ac:dyDescent="0.25">
      <c r="B99" s="107"/>
      <c r="C99" s="107"/>
      <c r="D99" s="107"/>
      <c r="E99" s="107"/>
      <c r="F99" s="107"/>
      <c r="G99" s="107"/>
      <c r="H99" s="107"/>
    </row>
    <row r="100" spans="2:8" x14ac:dyDescent="0.25">
      <c r="B100" s="107"/>
      <c r="C100" s="107"/>
      <c r="D100" s="107"/>
      <c r="E100" s="107"/>
      <c r="F100" s="107"/>
      <c r="G100" s="107"/>
      <c r="H100" s="107"/>
    </row>
    <row r="101" spans="2:8" x14ac:dyDescent="0.25">
      <c r="B101" s="107"/>
      <c r="C101" s="107"/>
      <c r="D101" s="107"/>
      <c r="E101" s="107"/>
      <c r="F101" s="107"/>
      <c r="G101" s="107"/>
      <c r="H101" s="107"/>
    </row>
    <row r="102" spans="2:8" x14ac:dyDescent="0.25">
      <c r="B102" s="107"/>
      <c r="C102" s="107"/>
      <c r="D102" s="107"/>
      <c r="E102" s="107"/>
      <c r="F102" s="107"/>
      <c r="G102" s="107"/>
      <c r="H102" s="107"/>
    </row>
    <row r="103" spans="2:8" x14ac:dyDescent="0.25">
      <c r="B103" s="107"/>
      <c r="C103" s="107"/>
      <c r="D103" s="107"/>
      <c r="E103" s="107"/>
      <c r="F103" s="107"/>
      <c r="G103" s="107"/>
      <c r="H103" s="107"/>
    </row>
    <row r="104" spans="2:8" x14ac:dyDescent="0.25">
      <c r="B104" s="107"/>
      <c r="C104" s="107"/>
      <c r="D104" s="107"/>
      <c r="E104" s="107"/>
      <c r="F104" s="107"/>
      <c r="G104" s="107"/>
      <c r="H104" s="107"/>
    </row>
    <row r="105" spans="2:8" x14ac:dyDescent="0.25">
      <c r="B105" s="107"/>
      <c r="C105" s="107"/>
      <c r="D105" s="107"/>
      <c r="E105" s="107"/>
      <c r="F105" s="107"/>
      <c r="G105" s="107"/>
      <c r="H105" s="107"/>
    </row>
    <row r="106" spans="2:8" x14ac:dyDescent="0.25">
      <c r="B106" s="107"/>
      <c r="C106" s="107"/>
      <c r="D106" s="107"/>
      <c r="E106" s="107"/>
      <c r="F106" s="107"/>
      <c r="G106" s="107"/>
      <c r="H106" s="107"/>
    </row>
    <row r="107" spans="2:8" x14ac:dyDescent="0.25">
      <c r="B107" s="107"/>
      <c r="C107" s="107"/>
      <c r="D107" s="107"/>
      <c r="E107" s="107"/>
      <c r="F107" s="107"/>
      <c r="G107" s="107"/>
      <c r="H107" s="107"/>
    </row>
    <row r="108" spans="2:8" x14ac:dyDescent="0.25">
      <c r="B108" s="107"/>
      <c r="C108" s="107"/>
      <c r="D108" s="107"/>
      <c r="E108" s="107"/>
      <c r="F108" s="107"/>
      <c r="G108" s="107"/>
      <c r="H108" s="107"/>
    </row>
    <row r="109" spans="2:8" x14ac:dyDescent="0.25">
      <c r="B109" s="107"/>
      <c r="C109" s="107"/>
      <c r="D109" s="107"/>
      <c r="E109" s="107"/>
      <c r="F109" s="107"/>
      <c r="G109" s="107"/>
      <c r="H109" s="107"/>
    </row>
    <row r="110" spans="2:8" x14ac:dyDescent="0.25">
      <c r="B110" s="107"/>
      <c r="C110" s="107"/>
      <c r="D110" s="107"/>
      <c r="E110" s="107"/>
      <c r="F110" s="107"/>
      <c r="G110" s="107"/>
      <c r="H110" s="107"/>
    </row>
    <row r="111" spans="2:8" x14ac:dyDescent="0.25">
      <c r="B111" s="107"/>
      <c r="C111" s="107"/>
      <c r="D111" s="107"/>
      <c r="E111" s="107"/>
      <c r="F111" s="107"/>
      <c r="G111" s="107"/>
      <c r="H111" s="107"/>
    </row>
    <row r="112" spans="2:8" x14ac:dyDescent="0.25">
      <c r="B112" s="107"/>
      <c r="C112" s="107"/>
      <c r="D112" s="107"/>
      <c r="E112" s="107"/>
      <c r="F112" s="107"/>
      <c r="G112" s="107"/>
      <c r="H112" s="107"/>
    </row>
    <row r="113" spans="2:8" x14ac:dyDescent="0.25">
      <c r="B113" s="107"/>
      <c r="C113" s="107"/>
      <c r="D113" s="107"/>
      <c r="E113" s="107"/>
      <c r="F113" s="107"/>
      <c r="G113" s="107"/>
      <c r="H113" s="107"/>
    </row>
    <row r="114" spans="2:8" x14ac:dyDescent="0.25">
      <c r="B114" s="107"/>
      <c r="C114" s="107"/>
      <c r="D114" s="107"/>
      <c r="E114" s="107"/>
      <c r="F114" s="107"/>
      <c r="G114" s="107"/>
      <c r="H114" s="107"/>
    </row>
    <row r="115" spans="2:8" x14ac:dyDescent="0.25">
      <c r="B115" s="107"/>
      <c r="C115" s="107"/>
      <c r="D115" s="107"/>
      <c r="E115" s="107"/>
      <c r="F115" s="107"/>
      <c r="G115" s="107"/>
      <c r="H115" s="107"/>
    </row>
    <row r="116" spans="2:8" x14ac:dyDescent="0.25">
      <c r="B116" s="107"/>
      <c r="C116" s="107"/>
      <c r="D116" s="107"/>
      <c r="E116" s="107"/>
      <c r="F116" s="107"/>
      <c r="G116" s="107"/>
      <c r="H116" s="107"/>
    </row>
    <row r="117" spans="2:8" x14ac:dyDescent="0.25">
      <c r="B117" s="107"/>
      <c r="C117" s="107"/>
      <c r="D117" s="107"/>
      <c r="E117" s="107"/>
      <c r="F117" s="107"/>
      <c r="G117" s="107"/>
      <c r="H117" s="107"/>
    </row>
    <row r="118" spans="2:8" x14ac:dyDescent="0.25">
      <c r="B118" s="107"/>
      <c r="C118" s="107"/>
      <c r="D118" s="107"/>
      <c r="E118" s="107"/>
      <c r="F118" s="107"/>
      <c r="G118" s="107"/>
      <c r="H118" s="107"/>
    </row>
    <row r="119" spans="2:8" x14ac:dyDescent="0.25">
      <c r="B119" s="107"/>
      <c r="C119" s="107"/>
      <c r="D119" s="107"/>
      <c r="E119" s="107"/>
      <c r="F119" s="107"/>
      <c r="G119" s="107"/>
      <c r="H119" s="107"/>
    </row>
    <row r="120" spans="2:8" x14ac:dyDescent="0.25">
      <c r="B120" s="107"/>
      <c r="C120" s="107"/>
      <c r="D120" s="107"/>
      <c r="E120" s="107"/>
      <c r="F120" s="107"/>
      <c r="G120" s="107"/>
      <c r="H120" s="107"/>
    </row>
    <row r="121" spans="2:8" x14ac:dyDescent="0.25">
      <c r="B121" s="107"/>
      <c r="C121" s="107"/>
      <c r="D121" s="107"/>
      <c r="E121" s="107"/>
      <c r="F121" s="107"/>
      <c r="G121" s="107"/>
      <c r="H121" s="107"/>
    </row>
    <row r="122" spans="2:8" x14ac:dyDescent="0.25">
      <c r="B122" s="107"/>
      <c r="C122" s="107"/>
      <c r="D122" s="107"/>
      <c r="E122" s="107"/>
      <c r="F122" s="107"/>
      <c r="G122" s="107"/>
      <c r="H122" s="107"/>
    </row>
    <row r="123" spans="2:8" x14ac:dyDescent="0.25">
      <c r="B123" s="107"/>
      <c r="C123" s="107"/>
      <c r="D123" s="107"/>
      <c r="E123" s="107"/>
      <c r="F123" s="107"/>
      <c r="G123" s="107"/>
      <c r="H123" s="107"/>
    </row>
    <row r="124" spans="2:8" x14ac:dyDescent="0.25">
      <c r="B124" s="107"/>
      <c r="C124" s="107"/>
      <c r="D124" s="107"/>
      <c r="E124" s="107"/>
      <c r="F124" s="107"/>
      <c r="G124" s="107"/>
      <c r="H124" s="107"/>
    </row>
    <row r="125" spans="2:8" x14ac:dyDescent="0.25">
      <c r="B125" s="107"/>
      <c r="C125" s="107"/>
      <c r="D125" s="107"/>
      <c r="E125" s="107"/>
      <c r="F125" s="107"/>
      <c r="G125" s="107"/>
      <c r="H125" s="107"/>
    </row>
    <row r="126" spans="2:8" x14ac:dyDescent="0.25">
      <c r="B126" s="107"/>
      <c r="C126" s="107"/>
      <c r="D126" s="107"/>
      <c r="E126" s="107"/>
      <c r="F126" s="107"/>
      <c r="G126" s="107"/>
      <c r="H126" s="107"/>
    </row>
    <row r="127" spans="2:8" x14ac:dyDescent="0.25">
      <c r="B127" s="107"/>
      <c r="C127" s="107"/>
      <c r="D127" s="107"/>
      <c r="E127" s="107"/>
      <c r="F127" s="107"/>
      <c r="G127" s="107"/>
      <c r="H127" s="107"/>
    </row>
    <row r="128" spans="2:8" x14ac:dyDescent="0.25">
      <c r="B128" s="107"/>
      <c r="C128" s="107"/>
      <c r="D128" s="107"/>
      <c r="E128" s="107"/>
      <c r="F128" s="107"/>
      <c r="G128" s="107"/>
      <c r="H128" s="107"/>
    </row>
    <row r="129" spans="2:8" x14ac:dyDescent="0.25">
      <c r="B129" s="107"/>
      <c r="C129" s="107"/>
      <c r="D129" s="107"/>
      <c r="E129" s="107"/>
      <c r="F129" s="107"/>
      <c r="G129" s="107"/>
      <c r="H129" s="107"/>
    </row>
    <row r="130" spans="2:8" x14ac:dyDescent="0.25">
      <c r="B130" s="107"/>
      <c r="C130" s="107"/>
      <c r="D130" s="107"/>
      <c r="E130" s="107"/>
      <c r="F130" s="107"/>
      <c r="G130" s="107"/>
      <c r="H130" s="107"/>
    </row>
    <row r="131" spans="2:8" x14ac:dyDescent="0.25">
      <c r="B131" s="107"/>
      <c r="C131" s="107"/>
      <c r="D131" s="107"/>
      <c r="E131" s="107"/>
      <c r="F131" s="107"/>
      <c r="G131" s="107"/>
      <c r="H131" s="107"/>
    </row>
    <row r="132" spans="2:8" x14ac:dyDescent="0.25">
      <c r="B132" s="107"/>
      <c r="C132" s="107"/>
      <c r="D132" s="107"/>
      <c r="E132" s="107"/>
      <c r="F132" s="107"/>
      <c r="G132" s="107"/>
      <c r="H132" s="107"/>
    </row>
    <row r="133" spans="2:8" x14ac:dyDescent="0.25">
      <c r="B133" s="107"/>
      <c r="C133" s="107"/>
      <c r="D133" s="107"/>
      <c r="E133" s="107"/>
      <c r="F133" s="107"/>
      <c r="G133" s="107"/>
      <c r="H133" s="107"/>
    </row>
    <row r="134" spans="2:8" x14ac:dyDescent="0.25">
      <c r="B134" s="107"/>
      <c r="C134" s="107"/>
      <c r="D134" s="107"/>
      <c r="E134" s="107"/>
      <c r="F134" s="107"/>
      <c r="G134" s="107"/>
      <c r="H134" s="107"/>
    </row>
    <row r="135" spans="2:8" x14ac:dyDescent="0.25">
      <c r="B135" s="107"/>
      <c r="C135" s="107"/>
      <c r="D135" s="107"/>
      <c r="E135" s="107"/>
      <c r="F135" s="107"/>
      <c r="G135" s="107"/>
      <c r="H135" s="107"/>
    </row>
    <row r="136" spans="2:8" x14ac:dyDescent="0.25">
      <c r="B136" s="107"/>
      <c r="C136" s="107"/>
      <c r="D136" s="107"/>
      <c r="E136" s="107"/>
      <c r="F136" s="107"/>
      <c r="G136" s="107"/>
      <c r="H136" s="107"/>
    </row>
    <row r="137" spans="2:8" x14ac:dyDescent="0.25">
      <c r="B137" s="107"/>
      <c r="C137" s="107"/>
      <c r="D137" s="107"/>
      <c r="E137" s="107"/>
      <c r="F137" s="107"/>
      <c r="G137" s="107"/>
      <c r="H137" s="107"/>
    </row>
    <row r="138" spans="2:8" x14ac:dyDescent="0.25">
      <c r="B138" s="107"/>
      <c r="C138" s="107"/>
      <c r="D138" s="107"/>
      <c r="E138" s="107"/>
      <c r="F138" s="107"/>
      <c r="G138" s="107"/>
      <c r="H138" s="107"/>
    </row>
    <row r="139" spans="2:8" x14ac:dyDescent="0.25">
      <c r="B139" s="107"/>
      <c r="C139" s="107"/>
      <c r="D139" s="107"/>
      <c r="E139" s="107"/>
      <c r="F139" s="107"/>
      <c r="G139" s="107"/>
      <c r="H139" s="107"/>
    </row>
    <row r="140" spans="2:8" x14ac:dyDescent="0.25">
      <c r="B140" s="107"/>
      <c r="C140" s="107"/>
      <c r="D140" s="107"/>
      <c r="E140" s="107"/>
      <c r="F140" s="107"/>
      <c r="G140" s="107"/>
      <c r="H140" s="107"/>
    </row>
    <row r="141" spans="2:8" x14ac:dyDescent="0.25">
      <c r="B141" s="107"/>
      <c r="C141" s="107"/>
      <c r="D141" s="107"/>
      <c r="E141" s="107"/>
      <c r="F141" s="107"/>
      <c r="G141" s="107"/>
      <c r="H141" s="107"/>
    </row>
    <row r="142" spans="2:8" x14ac:dyDescent="0.25">
      <c r="B142" s="107"/>
      <c r="C142" s="107"/>
      <c r="D142" s="107"/>
      <c r="E142" s="107"/>
      <c r="F142" s="107"/>
      <c r="G142" s="107"/>
      <c r="H142" s="107"/>
    </row>
    <row r="143" spans="2:8" x14ac:dyDescent="0.25">
      <c r="B143" s="107"/>
      <c r="C143" s="107"/>
      <c r="D143" s="107"/>
      <c r="E143" s="107"/>
      <c r="F143" s="107"/>
      <c r="G143" s="107"/>
      <c r="H143" s="107"/>
    </row>
    <row r="144" spans="2:8" x14ac:dyDescent="0.25">
      <c r="B144" s="107"/>
      <c r="C144" s="107"/>
      <c r="D144" s="107"/>
      <c r="E144" s="107"/>
      <c r="F144" s="107"/>
      <c r="G144" s="107"/>
      <c r="H144" s="107"/>
    </row>
    <row r="145" spans="2:8" x14ac:dyDescent="0.25">
      <c r="B145" s="107"/>
      <c r="C145" s="107"/>
      <c r="D145" s="107"/>
      <c r="E145" s="107"/>
      <c r="F145" s="107"/>
      <c r="G145" s="107"/>
      <c r="H145" s="107"/>
    </row>
    <row r="146" spans="2:8" x14ac:dyDescent="0.25">
      <c r="B146" s="107"/>
      <c r="C146" s="107"/>
      <c r="D146" s="107"/>
      <c r="E146" s="107"/>
      <c r="F146" s="107"/>
      <c r="G146" s="107"/>
      <c r="H146" s="107"/>
    </row>
    <row r="147" spans="2:8" x14ac:dyDescent="0.25">
      <c r="B147" s="107"/>
      <c r="C147" s="107"/>
      <c r="D147" s="107"/>
      <c r="E147" s="107"/>
      <c r="F147" s="107"/>
      <c r="G147" s="107"/>
      <c r="H147" s="107"/>
    </row>
    <row r="148" spans="2:8" x14ac:dyDescent="0.25">
      <c r="B148" s="107"/>
      <c r="C148" s="107"/>
      <c r="D148" s="107"/>
      <c r="E148" s="107"/>
      <c r="F148" s="107"/>
      <c r="G148" s="107"/>
      <c r="H148" s="107"/>
    </row>
    <row r="149" spans="2:8" x14ac:dyDescent="0.25">
      <c r="B149" s="107"/>
      <c r="C149" s="107"/>
      <c r="D149" s="107"/>
      <c r="E149" s="107"/>
      <c r="F149" s="107"/>
      <c r="G149" s="107"/>
      <c r="H149" s="107"/>
    </row>
    <row r="150" spans="2:8" x14ac:dyDescent="0.25">
      <c r="B150" s="107"/>
      <c r="C150" s="107"/>
      <c r="D150" s="107"/>
      <c r="E150" s="107"/>
      <c r="F150" s="107"/>
      <c r="G150" s="107"/>
      <c r="H150" s="107"/>
    </row>
    <row r="151" spans="2:8" x14ac:dyDescent="0.25">
      <c r="B151" s="107"/>
      <c r="C151" s="107"/>
      <c r="D151" s="107"/>
      <c r="E151" s="107"/>
      <c r="F151" s="107"/>
      <c r="G151" s="107"/>
      <c r="H151" s="107"/>
    </row>
    <row r="152" spans="2:8" x14ac:dyDescent="0.25">
      <c r="B152" s="107"/>
      <c r="C152" s="107"/>
      <c r="D152" s="107"/>
      <c r="E152" s="107"/>
      <c r="F152" s="107"/>
      <c r="G152" s="107"/>
      <c r="H152" s="107"/>
    </row>
    <row r="153" spans="2:8" x14ac:dyDescent="0.25">
      <c r="B153" s="107"/>
      <c r="C153" s="107"/>
      <c r="D153" s="107"/>
      <c r="E153" s="107"/>
      <c r="F153" s="107"/>
      <c r="G153" s="107"/>
      <c r="H153" s="107"/>
    </row>
    <row r="154" spans="2:8" x14ac:dyDescent="0.25">
      <c r="B154" s="107"/>
      <c r="C154" s="107"/>
      <c r="D154" s="107"/>
      <c r="E154" s="107"/>
      <c r="F154" s="107"/>
      <c r="G154" s="107"/>
      <c r="H154" s="107"/>
    </row>
    <row r="155" spans="2:8" x14ac:dyDescent="0.25">
      <c r="B155" s="107"/>
      <c r="C155" s="107"/>
      <c r="D155" s="107"/>
      <c r="E155" s="107"/>
      <c r="F155" s="107"/>
      <c r="G155" s="107"/>
      <c r="H155" s="107"/>
    </row>
    <row r="156" spans="2:8" x14ac:dyDescent="0.25">
      <c r="B156" s="107"/>
      <c r="C156" s="107"/>
      <c r="D156" s="107"/>
      <c r="E156" s="107"/>
      <c r="F156" s="107"/>
      <c r="G156" s="107"/>
      <c r="H156" s="107"/>
    </row>
    <row r="157" spans="2:8" x14ac:dyDescent="0.25">
      <c r="B157" s="107"/>
      <c r="C157" s="107"/>
      <c r="D157" s="107"/>
      <c r="E157" s="107"/>
      <c r="F157" s="107"/>
      <c r="G157" s="107"/>
      <c r="H157" s="107"/>
    </row>
    <row r="158" spans="2:8" x14ac:dyDescent="0.25">
      <c r="B158" s="107"/>
      <c r="C158" s="107"/>
      <c r="D158" s="107"/>
      <c r="E158" s="107"/>
      <c r="F158" s="107"/>
      <c r="G158" s="107"/>
      <c r="H158" s="107"/>
    </row>
    <row r="159" spans="2:8" x14ac:dyDescent="0.25">
      <c r="B159" s="107"/>
      <c r="C159" s="107"/>
      <c r="D159" s="107"/>
      <c r="E159" s="107"/>
      <c r="F159" s="107"/>
      <c r="G159" s="107"/>
      <c r="H159" s="107"/>
    </row>
    <row r="160" spans="2:8" x14ac:dyDescent="0.25">
      <c r="B160" s="107"/>
      <c r="C160" s="107"/>
      <c r="D160" s="107"/>
      <c r="E160" s="107"/>
      <c r="F160" s="107"/>
      <c r="G160" s="107"/>
      <c r="H160" s="107"/>
    </row>
    <row r="161" spans="2:8" x14ac:dyDescent="0.25">
      <c r="B161" s="107"/>
      <c r="C161" s="107"/>
      <c r="D161" s="107"/>
      <c r="E161" s="107"/>
      <c r="F161" s="107"/>
      <c r="G161" s="107"/>
      <c r="H161" s="107"/>
    </row>
    <row r="162" spans="2:8" x14ac:dyDescent="0.25">
      <c r="B162" s="107"/>
      <c r="C162" s="107"/>
      <c r="D162" s="107"/>
      <c r="E162" s="107"/>
      <c r="F162" s="107"/>
      <c r="G162" s="107"/>
      <c r="H162" s="107"/>
    </row>
    <row r="163" spans="2:8" x14ac:dyDescent="0.25">
      <c r="B163" s="107"/>
      <c r="C163" s="107"/>
      <c r="D163" s="107"/>
      <c r="E163" s="107"/>
      <c r="F163" s="107"/>
      <c r="G163" s="107"/>
      <c r="H163" s="107"/>
    </row>
    <row r="164" spans="2:8" x14ac:dyDescent="0.25">
      <c r="B164" s="107"/>
      <c r="C164" s="107"/>
      <c r="D164" s="107"/>
      <c r="E164" s="107"/>
      <c r="F164" s="107"/>
      <c r="G164" s="107"/>
      <c r="H164" s="107"/>
    </row>
    <row r="165" spans="2:8" x14ac:dyDescent="0.25">
      <c r="B165" s="107"/>
      <c r="C165" s="107"/>
      <c r="D165" s="107"/>
      <c r="E165" s="107"/>
      <c r="F165" s="107"/>
      <c r="G165" s="107"/>
      <c r="H165" s="107"/>
    </row>
    <row r="166" spans="2:8" x14ac:dyDescent="0.25">
      <c r="B166" s="107"/>
      <c r="C166" s="107"/>
      <c r="D166" s="107"/>
      <c r="E166" s="107"/>
      <c r="F166" s="107"/>
      <c r="G166" s="107"/>
      <c r="H166" s="107"/>
    </row>
    <row r="167" spans="2:8" x14ac:dyDescent="0.25">
      <c r="B167" s="107"/>
      <c r="C167" s="107"/>
      <c r="D167" s="107"/>
      <c r="E167" s="107"/>
      <c r="F167" s="107"/>
      <c r="G167" s="107"/>
      <c r="H167" s="107"/>
    </row>
    <row r="168" spans="2:8" x14ac:dyDescent="0.25">
      <c r="B168" s="107"/>
      <c r="C168" s="107"/>
      <c r="D168" s="107"/>
      <c r="E168" s="107"/>
      <c r="F168" s="107"/>
      <c r="G168" s="107"/>
      <c r="H168" s="107"/>
    </row>
    <row r="169" spans="2:8" x14ac:dyDescent="0.25">
      <c r="B169" s="107"/>
      <c r="C169" s="107"/>
      <c r="D169" s="107"/>
      <c r="E169" s="107"/>
      <c r="F169" s="107"/>
      <c r="G169" s="107"/>
      <c r="H169" s="107"/>
    </row>
    <row r="170" spans="2:8" x14ac:dyDescent="0.25">
      <c r="B170" s="107"/>
      <c r="C170" s="107"/>
      <c r="D170" s="107"/>
      <c r="E170" s="107"/>
      <c r="F170" s="107"/>
      <c r="G170" s="107"/>
      <c r="H170" s="107"/>
    </row>
    <row r="171" spans="2:8" x14ac:dyDescent="0.25">
      <c r="B171" s="107"/>
      <c r="C171" s="107"/>
      <c r="D171" s="107"/>
      <c r="E171" s="107"/>
      <c r="F171" s="107"/>
      <c r="G171" s="107"/>
      <c r="H171" s="107"/>
    </row>
    <row r="172" spans="2:8" x14ac:dyDescent="0.25">
      <c r="B172" s="107"/>
      <c r="C172" s="107"/>
      <c r="D172" s="107"/>
      <c r="E172" s="107"/>
      <c r="F172" s="107"/>
      <c r="G172" s="107"/>
      <c r="H172" s="107"/>
    </row>
    <row r="173" spans="2:8" x14ac:dyDescent="0.25">
      <c r="B173" s="107"/>
      <c r="C173" s="107"/>
      <c r="D173" s="107"/>
      <c r="E173" s="107"/>
      <c r="F173" s="107"/>
      <c r="G173" s="107"/>
      <c r="H173" s="107"/>
    </row>
    <row r="174" spans="2:8" x14ac:dyDescent="0.25">
      <c r="B174" s="107"/>
      <c r="C174" s="107"/>
      <c r="D174" s="107"/>
      <c r="E174" s="107"/>
      <c r="F174" s="107"/>
      <c r="G174" s="107"/>
      <c r="H174" s="107"/>
    </row>
    <row r="175" spans="2:8" x14ac:dyDescent="0.25">
      <c r="B175" s="107"/>
      <c r="C175" s="107"/>
      <c r="D175" s="107"/>
      <c r="E175" s="107"/>
      <c r="F175" s="107"/>
      <c r="G175" s="107"/>
      <c r="H175" s="107"/>
    </row>
    <row r="176" spans="2:8" x14ac:dyDescent="0.25">
      <c r="B176" s="107"/>
      <c r="C176" s="107"/>
      <c r="D176" s="107"/>
      <c r="E176" s="107"/>
      <c r="F176" s="107"/>
      <c r="G176" s="107"/>
      <c r="H176" s="107"/>
    </row>
    <row r="177" spans="2:8" x14ac:dyDescent="0.25">
      <c r="B177" s="107"/>
      <c r="C177" s="107"/>
      <c r="D177" s="107"/>
      <c r="E177" s="107"/>
      <c r="F177" s="107"/>
      <c r="G177" s="107"/>
      <c r="H177" s="107"/>
    </row>
    <row r="178" spans="2:8" x14ac:dyDescent="0.25">
      <c r="B178" s="107"/>
      <c r="C178" s="107"/>
      <c r="D178" s="107"/>
      <c r="E178" s="107"/>
      <c r="F178" s="107"/>
      <c r="G178" s="107"/>
      <c r="H178" s="107"/>
    </row>
    <row r="179" spans="2:8" x14ac:dyDescent="0.25">
      <c r="B179" s="107"/>
      <c r="C179" s="107"/>
      <c r="D179" s="107"/>
      <c r="E179" s="107"/>
      <c r="F179" s="107"/>
      <c r="G179" s="107"/>
      <c r="H179" s="107"/>
    </row>
    <row r="180" spans="2:8" x14ac:dyDescent="0.25">
      <c r="B180" s="107"/>
      <c r="C180" s="107"/>
      <c r="D180" s="107"/>
      <c r="E180" s="107"/>
      <c r="F180" s="107"/>
      <c r="G180" s="107"/>
      <c r="H180" s="107"/>
    </row>
    <row r="181" spans="2:8" x14ac:dyDescent="0.25">
      <c r="B181" s="107"/>
      <c r="C181" s="107"/>
      <c r="D181" s="107"/>
      <c r="E181" s="107"/>
      <c r="F181" s="107"/>
      <c r="G181" s="107"/>
      <c r="H181" s="107"/>
    </row>
    <row r="182" spans="2:8" x14ac:dyDescent="0.25">
      <c r="B182" s="107"/>
      <c r="C182" s="107"/>
      <c r="D182" s="107"/>
      <c r="E182" s="107"/>
      <c r="F182" s="107"/>
      <c r="G182" s="107"/>
      <c r="H182" s="107"/>
    </row>
    <row r="183" spans="2:8" x14ac:dyDescent="0.25">
      <c r="B183" s="107"/>
      <c r="C183" s="107"/>
      <c r="D183" s="107"/>
      <c r="E183" s="107"/>
      <c r="F183" s="107"/>
      <c r="G183" s="107"/>
      <c r="H183" s="107"/>
    </row>
    <row r="184" spans="2:8" x14ac:dyDescent="0.25">
      <c r="B184" s="107"/>
      <c r="C184" s="107"/>
      <c r="D184" s="107"/>
      <c r="E184" s="107"/>
      <c r="F184" s="107"/>
      <c r="G184" s="107"/>
      <c r="H184" s="107"/>
    </row>
    <row r="185" spans="2:8" x14ac:dyDescent="0.25">
      <c r="B185" s="107"/>
      <c r="C185" s="107"/>
      <c r="D185" s="107"/>
      <c r="E185" s="107"/>
      <c r="F185" s="107"/>
      <c r="G185" s="107"/>
      <c r="H185" s="107"/>
    </row>
    <row r="186" spans="2:8" x14ac:dyDescent="0.25">
      <c r="B186" s="107"/>
      <c r="C186" s="107"/>
      <c r="D186" s="107"/>
      <c r="E186" s="107"/>
      <c r="F186" s="107"/>
      <c r="G186" s="107"/>
      <c r="H186" s="107"/>
    </row>
    <row r="187" spans="2:8" x14ac:dyDescent="0.25">
      <c r="B187" s="107"/>
      <c r="C187" s="107"/>
      <c r="D187" s="107"/>
      <c r="E187" s="107"/>
      <c r="F187" s="107"/>
      <c r="G187" s="107"/>
      <c r="H187" s="107"/>
    </row>
    <row r="188" spans="2:8" x14ac:dyDescent="0.25">
      <c r="B188" s="107"/>
      <c r="C188" s="107"/>
      <c r="D188" s="107"/>
      <c r="E188" s="107"/>
      <c r="F188" s="107"/>
      <c r="G188" s="107"/>
      <c r="H188" s="107"/>
    </row>
    <row r="189" spans="2:8" x14ac:dyDescent="0.25">
      <c r="B189" s="107"/>
      <c r="C189" s="107"/>
      <c r="D189" s="107"/>
      <c r="E189" s="107"/>
      <c r="F189" s="107"/>
      <c r="G189" s="107"/>
      <c r="H189" s="107"/>
    </row>
    <row r="190" spans="2:8" x14ac:dyDescent="0.25">
      <c r="B190" s="107"/>
      <c r="C190" s="107"/>
      <c r="D190" s="107"/>
      <c r="E190" s="107"/>
      <c r="F190" s="107"/>
      <c r="G190" s="107"/>
      <c r="H190" s="107"/>
    </row>
    <row r="191" spans="2:8" x14ac:dyDescent="0.25">
      <c r="B191" s="107"/>
      <c r="C191" s="107"/>
      <c r="D191" s="107"/>
      <c r="E191" s="107"/>
      <c r="F191" s="107"/>
      <c r="G191" s="107"/>
      <c r="H191" s="107"/>
    </row>
    <row r="192" spans="2:8" x14ac:dyDescent="0.25">
      <c r="B192" s="107"/>
      <c r="C192" s="107"/>
      <c r="D192" s="107"/>
      <c r="E192" s="107"/>
      <c r="F192" s="107"/>
      <c r="G192" s="107"/>
      <c r="H192" s="107"/>
    </row>
    <row r="193" spans="2:8" x14ac:dyDescent="0.25">
      <c r="B193" s="107"/>
      <c r="C193" s="107"/>
      <c r="D193" s="107"/>
      <c r="E193" s="107"/>
      <c r="F193" s="107"/>
      <c r="G193" s="107"/>
      <c r="H193" s="107"/>
    </row>
    <row r="194" spans="2:8" x14ac:dyDescent="0.25">
      <c r="B194" s="107"/>
      <c r="C194" s="107"/>
      <c r="D194" s="107"/>
      <c r="E194" s="107"/>
      <c r="F194" s="107"/>
      <c r="G194" s="107"/>
      <c r="H194" s="107"/>
    </row>
    <row r="195" spans="2:8" x14ac:dyDescent="0.25">
      <c r="B195" s="107"/>
      <c r="C195" s="107"/>
      <c r="D195" s="107"/>
      <c r="E195" s="107"/>
      <c r="F195" s="107"/>
      <c r="G195" s="107"/>
      <c r="H195" s="107"/>
    </row>
    <row r="196" spans="2:8" x14ac:dyDescent="0.25">
      <c r="B196" s="107"/>
      <c r="C196" s="107"/>
      <c r="D196" s="107"/>
      <c r="E196" s="107"/>
      <c r="F196" s="107"/>
      <c r="G196" s="107"/>
      <c r="H196" s="107"/>
    </row>
    <row r="197" spans="2:8" x14ac:dyDescent="0.25">
      <c r="B197" s="107"/>
      <c r="C197" s="107"/>
      <c r="D197" s="107"/>
      <c r="E197" s="107"/>
      <c r="F197" s="107"/>
      <c r="G197" s="107"/>
      <c r="H197" s="107"/>
    </row>
    <row r="198" spans="2:8" x14ac:dyDescent="0.25">
      <c r="B198" s="107"/>
      <c r="C198" s="107"/>
      <c r="D198" s="107"/>
      <c r="E198" s="107"/>
      <c r="F198" s="107"/>
      <c r="G198" s="107"/>
      <c r="H198" s="107"/>
    </row>
    <row r="199" spans="2:8" x14ac:dyDescent="0.25">
      <c r="B199" s="107"/>
      <c r="C199" s="107"/>
      <c r="D199" s="107"/>
      <c r="E199" s="107"/>
      <c r="F199" s="107"/>
      <c r="G199" s="107"/>
      <c r="H199" s="107"/>
    </row>
    <row r="200" spans="2:8" x14ac:dyDescent="0.25">
      <c r="B200" s="107"/>
      <c r="C200" s="107"/>
      <c r="D200" s="107"/>
      <c r="E200" s="107"/>
      <c r="F200" s="107"/>
      <c r="G200" s="107"/>
      <c r="H200" s="107"/>
    </row>
    <row r="201" spans="2:8" x14ac:dyDescent="0.25">
      <c r="B201" s="107"/>
      <c r="C201" s="107"/>
      <c r="D201" s="107"/>
      <c r="E201" s="107"/>
      <c r="F201" s="107"/>
      <c r="G201" s="107"/>
      <c r="H201" s="107"/>
    </row>
    <row r="202" spans="2:8" x14ac:dyDescent="0.25">
      <c r="B202" s="107"/>
      <c r="C202" s="107"/>
      <c r="D202" s="107"/>
      <c r="E202" s="107"/>
      <c r="F202" s="107"/>
      <c r="G202" s="107"/>
      <c r="H202" s="107"/>
    </row>
    <row r="203" spans="2:8" x14ac:dyDescent="0.25">
      <c r="B203" s="107"/>
      <c r="C203" s="107"/>
      <c r="D203" s="107"/>
      <c r="E203" s="107"/>
      <c r="F203" s="107"/>
      <c r="G203" s="107"/>
      <c r="H203" s="107"/>
    </row>
    <row r="204" spans="2:8" x14ac:dyDescent="0.25">
      <c r="B204" s="107"/>
      <c r="C204" s="107"/>
      <c r="D204" s="107"/>
      <c r="E204" s="107"/>
      <c r="F204" s="107"/>
      <c r="G204" s="107"/>
      <c r="H204" s="107"/>
    </row>
    <row r="205" spans="2:8" x14ac:dyDescent="0.25">
      <c r="B205" s="107"/>
      <c r="C205" s="107"/>
      <c r="D205" s="107"/>
      <c r="E205" s="107"/>
      <c r="F205" s="107"/>
      <c r="G205" s="107"/>
      <c r="H205" s="107"/>
    </row>
    <row r="206" spans="2:8" x14ac:dyDescent="0.25">
      <c r="B206" s="107"/>
      <c r="C206" s="107"/>
      <c r="D206" s="107"/>
      <c r="E206" s="107"/>
      <c r="F206" s="107"/>
      <c r="G206" s="107"/>
      <c r="H206" s="107"/>
    </row>
    <row r="207" spans="2:8" x14ac:dyDescent="0.25">
      <c r="B207" s="107"/>
      <c r="C207" s="107"/>
      <c r="D207" s="107"/>
      <c r="E207" s="107"/>
      <c r="F207" s="107"/>
      <c r="G207" s="107"/>
      <c r="H207" s="107"/>
    </row>
    <row r="208" spans="2:8" x14ac:dyDescent="0.25">
      <c r="B208" s="107"/>
      <c r="C208" s="107"/>
      <c r="D208" s="107"/>
      <c r="E208" s="107"/>
      <c r="F208" s="107"/>
      <c r="G208" s="107"/>
      <c r="H208" s="107"/>
    </row>
    <row r="209" spans="2:8" x14ac:dyDescent="0.25">
      <c r="B209" s="107"/>
      <c r="C209" s="107"/>
      <c r="D209" s="107"/>
      <c r="E209" s="107"/>
      <c r="F209" s="107"/>
      <c r="G209" s="107"/>
      <c r="H209" s="107"/>
    </row>
    <row r="210" spans="2:8" x14ac:dyDescent="0.25">
      <c r="B210" s="107"/>
      <c r="C210" s="107"/>
      <c r="D210" s="107"/>
      <c r="E210" s="107"/>
      <c r="F210" s="107"/>
      <c r="G210" s="107"/>
      <c r="H210" s="107"/>
    </row>
    <row r="211" spans="2:8" x14ac:dyDescent="0.25">
      <c r="B211" s="107"/>
      <c r="C211" s="107"/>
      <c r="D211" s="107"/>
      <c r="E211" s="107"/>
      <c r="F211" s="107"/>
      <c r="G211" s="107"/>
      <c r="H211" s="107"/>
    </row>
    <row r="212" spans="2:8" x14ac:dyDescent="0.25">
      <c r="B212" s="107"/>
      <c r="C212" s="107"/>
      <c r="D212" s="107"/>
      <c r="E212" s="107"/>
      <c r="F212" s="107"/>
      <c r="G212" s="107"/>
      <c r="H212" s="107"/>
    </row>
    <row r="213" spans="2:8" x14ac:dyDescent="0.25">
      <c r="B213" s="107"/>
      <c r="C213" s="107"/>
      <c r="D213" s="107"/>
      <c r="E213" s="107"/>
      <c r="F213" s="107"/>
      <c r="G213" s="107"/>
      <c r="H213" s="107"/>
    </row>
    <row r="214" spans="2:8" x14ac:dyDescent="0.25">
      <c r="B214" s="107"/>
      <c r="C214" s="107"/>
      <c r="D214" s="107"/>
      <c r="E214" s="107"/>
      <c r="F214" s="107"/>
      <c r="G214" s="107"/>
      <c r="H214" s="107"/>
    </row>
    <row r="215" spans="2:8" x14ac:dyDescent="0.25">
      <c r="B215" s="107"/>
      <c r="C215" s="107"/>
      <c r="D215" s="107"/>
      <c r="E215" s="107"/>
      <c r="F215" s="107"/>
      <c r="G215" s="107"/>
      <c r="H215" s="107"/>
    </row>
    <row r="216" spans="2:8" x14ac:dyDescent="0.25">
      <c r="B216" s="107"/>
      <c r="C216" s="107"/>
      <c r="D216" s="107"/>
      <c r="E216" s="107"/>
      <c r="F216" s="107"/>
      <c r="G216" s="107"/>
      <c r="H216" s="107"/>
    </row>
    <row r="217" spans="2:8" x14ac:dyDescent="0.25">
      <c r="B217" s="107"/>
      <c r="C217" s="107"/>
      <c r="D217" s="107"/>
      <c r="E217" s="107"/>
      <c r="F217" s="107"/>
      <c r="G217" s="107"/>
      <c r="H217" s="107"/>
    </row>
    <row r="218" spans="2:8" x14ac:dyDescent="0.25">
      <c r="B218" s="107"/>
      <c r="C218" s="107"/>
      <c r="D218" s="107"/>
      <c r="E218" s="107"/>
      <c r="F218" s="107"/>
      <c r="G218" s="107"/>
      <c r="H218" s="107"/>
    </row>
    <row r="219" spans="2:8" x14ac:dyDescent="0.25">
      <c r="B219" s="107"/>
      <c r="C219" s="107"/>
      <c r="D219" s="107"/>
      <c r="E219" s="107"/>
      <c r="F219" s="107"/>
      <c r="G219" s="107"/>
      <c r="H219" s="107"/>
    </row>
    <row r="220" spans="2:8" x14ac:dyDescent="0.25">
      <c r="B220" s="107"/>
      <c r="C220" s="107"/>
      <c r="D220" s="107"/>
      <c r="E220" s="107"/>
      <c r="F220" s="107"/>
      <c r="G220" s="107"/>
      <c r="H220" s="107"/>
    </row>
    <row r="221" spans="2:8" x14ac:dyDescent="0.25">
      <c r="B221" s="107"/>
      <c r="C221" s="107"/>
      <c r="D221" s="107"/>
      <c r="E221" s="107"/>
      <c r="F221" s="107"/>
      <c r="G221" s="107"/>
      <c r="H221" s="107"/>
    </row>
    <row r="222" spans="2:8" x14ac:dyDescent="0.25">
      <c r="B222" s="107"/>
      <c r="C222" s="107"/>
      <c r="D222" s="107"/>
      <c r="E222" s="107"/>
      <c r="F222" s="107"/>
      <c r="G222" s="107"/>
      <c r="H222" s="107"/>
    </row>
    <row r="223" spans="2:8" x14ac:dyDescent="0.25">
      <c r="B223" s="107"/>
      <c r="C223" s="107"/>
      <c r="D223" s="107"/>
      <c r="E223" s="107"/>
      <c r="F223" s="107"/>
      <c r="G223" s="107"/>
      <c r="H223" s="107"/>
    </row>
    <row r="224" spans="2:8" x14ac:dyDescent="0.25">
      <c r="B224" s="107"/>
      <c r="C224" s="107"/>
      <c r="D224" s="107"/>
      <c r="E224" s="107"/>
      <c r="F224" s="107"/>
      <c r="G224" s="107"/>
      <c r="H224" s="107"/>
    </row>
    <row r="225" spans="2:8" x14ac:dyDescent="0.25">
      <c r="B225" s="107"/>
      <c r="C225" s="107"/>
      <c r="D225" s="107"/>
      <c r="E225" s="107"/>
      <c r="F225" s="107"/>
      <c r="G225" s="107"/>
      <c r="H225" s="107"/>
    </row>
    <row r="226" spans="2:8" x14ac:dyDescent="0.25">
      <c r="B226" s="107"/>
      <c r="C226" s="107"/>
      <c r="D226" s="107"/>
      <c r="E226" s="107"/>
      <c r="F226" s="107"/>
      <c r="G226" s="107"/>
      <c r="H226" s="107"/>
    </row>
    <row r="227" spans="2:8" x14ac:dyDescent="0.25">
      <c r="B227" s="107"/>
      <c r="C227" s="107"/>
      <c r="D227" s="107"/>
      <c r="E227" s="107"/>
      <c r="F227" s="107"/>
      <c r="G227" s="107"/>
      <c r="H227" s="107"/>
    </row>
    <row r="228" spans="2:8" x14ac:dyDescent="0.25">
      <c r="B228" s="107"/>
      <c r="C228" s="107"/>
      <c r="D228" s="107"/>
      <c r="E228" s="107"/>
      <c r="F228" s="107"/>
      <c r="G228" s="107"/>
      <c r="H228" s="107"/>
    </row>
    <row r="229" spans="2:8" x14ac:dyDescent="0.25">
      <c r="B229" s="107"/>
      <c r="C229" s="107"/>
      <c r="D229" s="107"/>
      <c r="E229" s="107"/>
      <c r="F229" s="107"/>
      <c r="G229" s="107"/>
      <c r="H229" s="107"/>
    </row>
    <row r="230" spans="2:8" x14ac:dyDescent="0.25">
      <c r="B230" s="107"/>
      <c r="C230" s="107"/>
      <c r="D230" s="107"/>
      <c r="E230" s="107"/>
      <c r="F230" s="107"/>
      <c r="G230" s="107"/>
      <c r="H230" s="107"/>
    </row>
    <row r="231" spans="2:8" x14ac:dyDescent="0.25">
      <c r="B231" s="107"/>
      <c r="C231" s="107"/>
      <c r="D231" s="107"/>
      <c r="E231" s="107"/>
      <c r="F231" s="107"/>
      <c r="G231" s="107"/>
      <c r="H231" s="107"/>
    </row>
    <row r="232" spans="2:8" x14ac:dyDescent="0.25">
      <c r="B232" s="107"/>
      <c r="C232" s="107"/>
      <c r="D232" s="107"/>
      <c r="E232" s="107"/>
      <c r="F232" s="107"/>
      <c r="G232" s="107"/>
      <c r="H232" s="107"/>
    </row>
    <row r="233" spans="2:8" x14ac:dyDescent="0.25">
      <c r="B233" s="107"/>
      <c r="C233" s="107"/>
      <c r="D233" s="107"/>
      <c r="E233" s="107"/>
      <c r="F233" s="107"/>
      <c r="G233" s="107"/>
      <c r="H233" s="107"/>
    </row>
    <row r="234" spans="2:8" x14ac:dyDescent="0.25">
      <c r="B234" s="107"/>
      <c r="C234" s="107"/>
      <c r="D234" s="107"/>
      <c r="E234" s="107"/>
      <c r="F234" s="107"/>
      <c r="G234" s="107"/>
      <c r="H234" s="107"/>
    </row>
    <row r="235" spans="2:8" x14ac:dyDescent="0.25">
      <c r="B235" s="107"/>
      <c r="C235" s="107"/>
      <c r="D235" s="107"/>
      <c r="E235" s="107"/>
      <c r="F235" s="107"/>
      <c r="G235" s="107"/>
      <c r="H235" s="107"/>
    </row>
    <row r="236" spans="2:8" x14ac:dyDescent="0.25">
      <c r="B236" s="107"/>
      <c r="C236" s="107"/>
      <c r="D236" s="107"/>
      <c r="E236" s="107"/>
      <c r="F236" s="107"/>
      <c r="G236" s="107"/>
      <c r="H236" s="107"/>
    </row>
    <row r="237" spans="2:8" x14ac:dyDescent="0.25">
      <c r="B237" s="107"/>
      <c r="C237" s="107"/>
      <c r="D237" s="107"/>
      <c r="E237" s="107"/>
      <c r="F237" s="107"/>
      <c r="G237" s="107"/>
      <c r="H237" s="107"/>
    </row>
    <row r="238" spans="2:8" x14ac:dyDescent="0.25">
      <c r="B238" s="107"/>
      <c r="C238" s="107"/>
      <c r="D238" s="107"/>
      <c r="E238" s="107"/>
      <c r="F238" s="107"/>
      <c r="G238" s="107"/>
      <c r="H238" s="107"/>
    </row>
    <row r="239" spans="2:8" x14ac:dyDescent="0.25">
      <c r="B239" s="107"/>
      <c r="C239" s="107"/>
      <c r="D239" s="107"/>
      <c r="E239" s="107"/>
      <c r="F239" s="107"/>
      <c r="G239" s="107"/>
      <c r="H239" s="107"/>
    </row>
    <row r="240" spans="2:8" x14ac:dyDescent="0.25">
      <c r="B240" s="107"/>
      <c r="C240" s="107"/>
      <c r="D240" s="107"/>
      <c r="E240" s="107"/>
      <c r="F240" s="107"/>
      <c r="G240" s="107"/>
      <c r="H240" s="107"/>
    </row>
    <row r="241" spans="2:8" x14ac:dyDescent="0.25">
      <c r="B241" s="107"/>
      <c r="C241" s="107"/>
      <c r="D241" s="107"/>
      <c r="E241" s="107"/>
      <c r="F241" s="107"/>
      <c r="G241" s="107"/>
      <c r="H241" s="107"/>
    </row>
    <row r="242" spans="2:8" x14ac:dyDescent="0.25">
      <c r="B242" s="107"/>
      <c r="C242" s="107"/>
      <c r="D242" s="107"/>
      <c r="E242" s="107"/>
      <c r="F242" s="107"/>
      <c r="G242" s="107"/>
      <c r="H242" s="107"/>
    </row>
    <row r="243" spans="2:8" x14ac:dyDescent="0.25">
      <c r="B243" s="107"/>
      <c r="C243" s="107"/>
      <c r="D243" s="107"/>
      <c r="E243" s="107"/>
      <c r="F243" s="107"/>
      <c r="G243" s="107"/>
      <c r="H243" s="107"/>
    </row>
    <row r="244" spans="2:8" x14ac:dyDescent="0.25">
      <c r="B244" s="107"/>
      <c r="C244" s="107"/>
      <c r="D244" s="107"/>
      <c r="E244" s="107"/>
      <c r="F244" s="107"/>
      <c r="G244" s="107"/>
      <c r="H244" s="107"/>
    </row>
    <row r="245" spans="2:8" x14ac:dyDescent="0.25">
      <c r="B245" s="107"/>
      <c r="C245" s="107"/>
      <c r="D245" s="107"/>
      <c r="E245" s="107"/>
      <c r="F245" s="107"/>
      <c r="G245" s="107"/>
      <c r="H245" s="107"/>
    </row>
    <row r="246" spans="2:8" x14ac:dyDescent="0.25">
      <c r="B246" s="107"/>
      <c r="C246" s="107"/>
      <c r="D246" s="107"/>
      <c r="E246" s="107"/>
      <c r="F246" s="107"/>
      <c r="G246" s="107"/>
      <c r="H246" s="107"/>
    </row>
    <row r="247" spans="2:8" x14ac:dyDescent="0.25">
      <c r="B247" s="107"/>
      <c r="C247" s="107"/>
      <c r="D247" s="107"/>
      <c r="E247" s="107"/>
      <c r="F247" s="107"/>
      <c r="G247" s="107"/>
      <c r="H247" s="107"/>
    </row>
    <row r="248" spans="2:8" x14ac:dyDescent="0.25">
      <c r="B248" s="107"/>
      <c r="C248" s="107"/>
      <c r="D248" s="107"/>
      <c r="E248" s="107"/>
      <c r="F248" s="107"/>
      <c r="G248" s="107"/>
      <c r="H248" s="107"/>
    </row>
    <row r="249" spans="2:8" x14ac:dyDescent="0.25">
      <c r="B249" s="107"/>
      <c r="C249" s="107"/>
      <c r="D249" s="107"/>
      <c r="E249" s="107"/>
      <c r="F249" s="107"/>
      <c r="G249" s="107"/>
      <c r="H249" s="107"/>
    </row>
    <row r="250" spans="2:8" x14ac:dyDescent="0.25">
      <c r="B250" s="107"/>
      <c r="C250" s="107"/>
      <c r="D250" s="107"/>
      <c r="E250" s="107"/>
      <c r="F250" s="107"/>
      <c r="G250" s="107"/>
      <c r="H250" s="107"/>
    </row>
    <row r="251" spans="2:8" x14ac:dyDescent="0.25">
      <c r="B251" s="107"/>
      <c r="C251" s="107"/>
      <c r="D251" s="107"/>
      <c r="E251" s="107"/>
      <c r="F251" s="107"/>
      <c r="G251" s="107"/>
      <c r="H251" s="107"/>
    </row>
    <row r="252" spans="2:8" x14ac:dyDescent="0.25">
      <c r="B252" s="107"/>
      <c r="C252" s="107"/>
      <c r="D252" s="107"/>
      <c r="E252" s="107"/>
      <c r="F252" s="107"/>
      <c r="G252" s="107"/>
      <c r="H252" s="107"/>
    </row>
    <row r="253" spans="2:8" x14ac:dyDescent="0.25">
      <c r="B253" s="107"/>
      <c r="C253" s="107"/>
      <c r="D253" s="107"/>
      <c r="E253" s="107"/>
      <c r="F253" s="107"/>
      <c r="G253" s="107"/>
      <c r="H253" s="107"/>
    </row>
    <row r="254" spans="2:8" x14ac:dyDescent="0.25">
      <c r="B254" s="107"/>
      <c r="C254" s="107"/>
      <c r="D254" s="107"/>
      <c r="E254" s="107"/>
      <c r="F254" s="107"/>
      <c r="G254" s="107"/>
      <c r="H254" s="107"/>
    </row>
    <row r="255" spans="2:8" x14ac:dyDescent="0.25">
      <c r="B255" s="107"/>
      <c r="C255" s="107"/>
      <c r="D255" s="107"/>
      <c r="E255" s="107"/>
      <c r="F255" s="107"/>
      <c r="G255" s="107"/>
      <c r="H255" s="107"/>
    </row>
    <row r="256" spans="2:8" x14ac:dyDescent="0.25">
      <c r="B256" s="107"/>
      <c r="C256" s="107"/>
      <c r="D256" s="107"/>
      <c r="E256" s="107"/>
      <c r="F256" s="107"/>
      <c r="G256" s="107"/>
      <c r="H256" s="107"/>
    </row>
    <row r="257" spans="2:8" x14ac:dyDescent="0.25">
      <c r="B257" s="107"/>
      <c r="C257" s="107"/>
      <c r="D257" s="107"/>
      <c r="E257" s="107"/>
      <c r="F257" s="107"/>
      <c r="G257" s="107"/>
      <c r="H257" s="107"/>
    </row>
    <row r="258" spans="2:8" x14ac:dyDescent="0.25">
      <c r="B258" s="107"/>
      <c r="C258" s="107"/>
      <c r="D258" s="107"/>
      <c r="E258" s="107"/>
      <c r="F258" s="107"/>
      <c r="G258" s="107"/>
      <c r="H258" s="107"/>
    </row>
    <row r="259" spans="2:8" x14ac:dyDescent="0.25">
      <c r="B259" s="107"/>
      <c r="C259" s="107"/>
      <c r="D259" s="107"/>
      <c r="E259" s="107"/>
      <c r="F259" s="107"/>
      <c r="G259" s="107"/>
      <c r="H259" s="107"/>
    </row>
    <row r="260" spans="2:8" x14ac:dyDescent="0.25">
      <c r="B260" s="107"/>
      <c r="C260" s="107"/>
      <c r="D260" s="107"/>
      <c r="E260" s="107"/>
      <c r="F260" s="107"/>
      <c r="G260" s="107"/>
      <c r="H260" s="107"/>
    </row>
    <row r="261" spans="2:8" x14ac:dyDescent="0.25">
      <c r="B261" s="107"/>
      <c r="C261" s="107"/>
      <c r="D261" s="107"/>
      <c r="E261" s="107"/>
      <c r="F261" s="107"/>
      <c r="G261" s="107"/>
      <c r="H261" s="107"/>
    </row>
    <row r="262" spans="2:8" x14ac:dyDescent="0.25">
      <c r="B262" s="107"/>
      <c r="C262" s="107"/>
      <c r="D262" s="107"/>
      <c r="E262" s="107"/>
      <c r="F262" s="107"/>
      <c r="G262" s="107"/>
      <c r="H262" s="107"/>
    </row>
    <row r="263" spans="2:8" x14ac:dyDescent="0.25">
      <c r="B263" s="107"/>
      <c r="C263" s="107"/>
      <c r="D263" s="107"/>
      <c r="E263" s="107"/>
      <c r="F263" s="107"/>
      <c r="G263" s="107"/>
      <c r="H263" s="107"/>
    </row>
    <row r="264" spans="2:8" x14ac:dyDescent="0.25">
      <c r="B264" s="107"/>
      <c r="C264" s="107"/>
      <c r="D264" s="107"/>
      <c r="E264" s="107"/>
      <c r="F264" s="107"/>
      <c r="G264" s="107"/>
      <c r="H264" s="107"/>
    </row>
    <row r="265" spans="2:8" x14ac:dyDescent="0.25">
      <c r="B265" s="107"/>
      <c r="C265" s="107"/>
      <c r="D265" s="107"/>
      <c r="E265" s="107"/>
      <c r="F265" s="107"/>
      <c r="G265" s="107"/>
      <c r="H265" s="107"/>
    </row>
    <row r="266" spans="2:8" x14ac:dyDescent="0.25">
      <c r="B266" s="107"/>
      <c r="C266" s="107"/>
      <c r="D266" s="107"/>
      <c r="E266" s="107"/>
      <c r="F266" s="107"/>
      <c r="G266" s="107"/>
      <c r="H266" s="107"/>
    </row>
    <row r="267" spans="2:8" x14ac:dyDescent="0.25">
      <c r="B267" s="107"/>
      <c r="C267" s="107"/>
      <c r="D267" s="107"/>
      <c r="E267" s="107"/>
      <c r="F267" s="107"/>
      <c r="G267" s="107"/>
      <c r="H267" s="107"/>
    </row>
    <row r="268" spans="2:8" x14ac:dyDescent="0.25">
      <c r="B268" s="107"/>
      <c r="C268" s="107"/>
      <c r="D268" s="107"/>
      <c r="E268" s="107"/>
      <c r="F268" s="107"/>
      <c r="G268" s="107"/>
      <c r="H268" s="107"/>
    </row>
    <row r="269" spans="2:8" x14ac:dyDescent="0.25">
      <c r="B269" s="107"/>
      <c r="C269" s="107"/>
      <c r="D269" s="107"/>
      <c r="E269" s="107"/>
      <c r="F269" s="107"/>
      <c r="G269" s="107"/>
      <c r="H269" s="107"/>
    </row>
    <row r="270" spans="2:8" x14ac:dyDescent="0.25">
      <c r="B270" s="107"/>
      <c r="C270" s="107"/>
      <c r="D270" s="107"/>
      <c r="E270" s="107"/>
      <c r="F270" s="107"/>
      <c r="G270" s="107"/>
      <c r="H270" s="107"/>
    </row>
    <row r="271" spans="2:8" x14ac:dyDescent="0.25">
      <c r="B271" s="107"/>
      <c r="C271" s="107"/>
      <c r="D271" s="107"/>
      <c r="E271" s="107"/>
      <c r="F271" s="107"/>
      <c r="G271" s="107"/>
      <c r="H271" s="107"/>
    </row>
    <row r="272" spans="2:8" x14ac:dyDescent="0.25">
      <c r="B272" s="107"/>
      <c r="C272" s="107"/>
      <c r="D272" s="107"/>
      <c r="E272" s="107"/>
      <c r="F272" s="107"/>
      <c r="G272" s="107"/>
      <c r="H272" s="107"/>
    </row>
    <row r="273" spans="2:8" x14ac:dyDescent="0.25">
      <c r="B273" s="107"/>
      <c r="C273" s="107"/>
      <c r="D273" s="107"/>
      <c r="E273" s="107"/>
      <c r="F273" s="107"/>
      <c r="G273" s="107"/>
      <c r="H273" s="107"/>
    </row>
    <row r="274" spans="2:8" x14ac:dyDescent="0.25">
      <c r="B274" s="107"/>
      <c r="C274" s="107"/>
      <c r="D274" s="107"/>
      <c r="E274" s="107"/>
      <c r="F274" s="107"/>
      <c r="G274" s="107"/>
      <c r="H274" s="107"/>
    </row>
    <row r="275" spans="2:8" x14ac:dyDescent="0.25">
      <c r="B275" s="107"/>
      <c r="C275" s="107"/>
      <c r="D275" s="107"/>
      <c r="E275" s="107"/>
      <c r="F275" s="107"/>
      <c r="G275" s="107"/>
      <c r="H275" s="107"/>
    </row>
    <row r="276" spans="2:8" x14ac:dyDescent="0.25">
      <c r="B276" s="107"/>
      <c r="C276" s="107"/>
      <c r="D276" s="107"/>
      <c r="E276" s="107"/>
      <c r="F276" s="107"/>
      <c r="G276" s="107"/>
      <c r="H276" s="107"/>
    </row>
    <row r="277" spans="2:8" x14ac:dyDescent="0.25">
      <c r="B277" s="107"/>
      <c r="C277" s="107"/>
      <c r="D277" s="107"/>
      <c r="E277" s="107"/>
      <c r="F277" s="107"/>
      <c r="G277" s="107"/>
      <c r="H277" s="107"/>
    </row>
    <row r="278" spans="2:8" x14ac:dyDescent="0.25">
      <c r="B278" s="107"/>
      <c r="C278" s="107"/>
      <c r="D278" s="107"/>
      <c r="E278" s="107"/>
      <c r="F278" s="107"/>
      <c r="G278" s="107"/>
      <c r="H278" s="107"/>
    </row>
    <row r="279" spans="2:8" x14ac:dyDescent="0.25">
      <c r="B279" s="107"/>
      <c r="C279" s="107"/>
      <c r="D279" s="107"/>
      <c r="E279" s="107"/>
      <c r="F279" s="107"/>
      <c r="G279" s="107"/>
      <c r="H279" s="107"/>
    </row>
    <row r="280" spans="2:8" x14ac:dyDescent="0.25">
      <c r="B280" s="107"/>
      <c r="C280" s="107"/>
      <c r="D280" s="107"/>
      <c r="E280" s="107"/>
      <c r="F280" s="107"/>
      <c r="G280" s="107"/>
      <c r="H280" s="107"/>
    </row>
    <row r="281" spans="2:8" x14ac:dyDescent="0.25">
      <c r="B281" s="107"/>
      <c r="C281" s="107"/>
      <c r="D281" s="107"/>
      <c r="E281" s="107"/>
      <c r="F281" s="107"/>
      <c r="G281" s="107"/>
      <c r="H281" s="107"/>
    </row>
    <row r="282" spans="2:8" x14ac:dyDescent="0.25">
      <c r="B282" s="107"/>
      <c r="C282" s="107"/>
      <c r="D282" s="107"/>
      <c r="E282" s="107"/>
      <c r="F282" s="107"/>
      <c r="G282" s="107"/>
      <c r="H282" s="107"/>
    </row>
    <row r="283" spans="2:8" x14ac:dyDescent="0.25">
      <c r="B283" s="107"/>
      <c r="C283" s="107"/>
      <c r="D283" s="107"/>
      <c r="E283" s="107"/>
      <c r="F283" s="107"/>
      <c r="G283" s="107"/>
      <c r="H283" s="107"/>
    </row>
    <row r="284" spans="2:8" x14ac:dyDescent="0.25">
      <c r="B284" s="107"/>
      <c r="C284" s="107"/>
      <c r="D284" s="107"/>
      <c r="E284" s="107"/>
      <c r="F284" s="107"/>
      <c r="G284" s="107"/>
      <c r="H284" s="107"/>
    </row>
    <row r="285" spans="2:8" x14ac:dyDescent="0.25">
      <c r="B285" s="107"/>
      <c r="C285" s="107"/>
      <c r="D285" s="107"/>
      <c r="E285" s="107"/>
      <c r="F285" s="107"/>
      <c r="G285" s="107"/>
      <c r="H285" s="107"/>
    </row>
    <row r="286" spans="2:8" x14ac:dyDescent="0.25">
      <c r="B286" s="107"/>
      <c r="C286" s="107"/>
      <c r="D286" s="107"/>
      <c r="E286" s="107"/>
      <c r="F286" s="107"/>
      <c r="G286" s="107"/>
      <c r="H286" s="107"/>
    </row>
    <row r="287" spans="2:8" x14ac:dyDescent="0.25">
      <c r="B287" s="107"/>
      <c r="C287" s="107"/>
      <c r="D287" s="107"/>
      <c r="E287" s="107"/>
      <c r="F287" s="107"/>
      <c r="G287" s="107"/>
      <c r="H287" s="107"/>
    </row>
    <row r="288" spans="2:8" x14ac:dyDescent="0.25">
      <c r="B288" s="107"/>
      <c r="C288" s="107"/>
      <c r="D288" s="107"/>
      <c r="E288" s="107"/>
      <c r="F288" s="107"/>
      <c r="G288" s="107"/>
      <c r="H288" s="107"/>
    </row>
    <row r="289" spans="2:8" x14ac:dyDescent="0.25">
      <c r="B289" s="107"/>
      <c r="C289" s="107"/>
      <c r="D289" s="107"/>
      <c r="E289" s="107"/>
      <c r="F289" s="107"/>
      <c r="G289" s="107"/>
      <c r="H289" s="107"/>
    </row>
    <row r="290" spans="2:8" x14ac:dyDescent="0.25">
      <c r="B290" s="107"/>
      <c r="C290" s="107"/>
      <c r="D290" s="107"/>
      <c r="E290" s="107"/>
      <c r="F290" s="107"/>
      <c r="G290" s="107"/>
      <c r="H290" s="107"/>
    </row>
    <row r="291" spans="2:8" x14ac:dyDescent="0.25">
      <c r="B291" s="107"/>
      <c r="C291" s="107"/>
      <c r="D291" s="107"/>
      <c r="E291" s="107"/>
      <c r="F291" s="107"/>
      <c r="G291" s="107"/>
      <c r="H291" s="107"/>
    </row>
    <row r="292" spans="2:8" x14ac:dyDescent="0.25">
      <c r="B292" s="107"/>
      <c r="C292" s="107"/>
      <c r="D292" s="107"/>
      <c r="E292" s="107"/>
      <c r="F292" s="107"/>
      <c r="G292" s="107"/>
      <c r="H292" s="107"/>
    </row>
    <row r="293" spans="2:8" x14ac:dyDescent="0.25">
      <c r="B293" s="107"/>
      <c r="C293" s="107"/>
      <c r="D293" s="107"/>
      <c r="E293" s="107"/>
      <c r="F293" s="107"/>
      <c r="G293" s="107"/>
      <c r="H293" s="107"/>
    </row>
    <row r="294" spans="2:8" x14ac:dyDescent="0.25">
      <c r="B294" s="107"/>
      <c r="C294" s="107"/>
      <c r="D294" s="107"/>
      <c r="E294" s="107"/>
      <c r="F294" s="107"/>
      <c r="G294" s="107"/>
      <c r="H294" s="107"/>
    </row>
    <row r="295" spans="2:8" x14ac:dyDescent="0.25">
      <c r="B295" s="107"/>
      <c r="C295" s="107"/>
      <c r="D295" s="107"/>
      <c r="E295" s="107"/>
      <c r="F295" s="107"/>
      <c r="G295" s="107"/>
      <c r="H295" s="107"/>
    </row>
    <row r="296" spans="2:8" x14ac:dyDescent="0.25">
      <c r="B296" s="107"/>
      <c r="C296" s="107"/>
      <c r="D296" s="107"/>
      <c r="E296" s="107"/>
      <c r="F296" s="107"/>
      <c r="G296" s="107"/>
      <c r="H296" s="107"/>
    </row>
    <row r="297" spans="2:8" x14ac:dyDescent="0.25">
      <c r="B297" s="107"/>
      <c r="C297" s="107"/>
      <c r="D297" s="107"/>
      <c r="E297" s="107"/>
      <c r="F297" s="107"/>
      <c r="G297" s="107"/>
      <c r="H297" s="107"/>
    </row>
    <row r="298" spans="2:8" x14ac:dyDescent="0.25">
      <c r="B298" s="107"/>
      <c r="C298" s="107"/>
      <c r="D298" s="107"/>
      <c r="E298" s="107"/>
      <c r="F298" s="107"/>
      <c r="G298" s="107"/>
      <c r="H298" s="107"/>
    </row>
    <row r="299" spans="2:8" x14ac:dyDescent="0.25">
      <c r="B299" s="107"/>
      <c r="C299" s="107"/>
      <c r="D299" s="107"/>
      <c r="E299" s="107"/>
      <c r="F299" s="107"/>
      <c r="G299" s="107"/>
      <c r="H299" s="107"/>
    </row>
    <row r="300" spans="2:8" x14ac:dyDescent="0.25">
      <c r="B300" s="107"/>
      <c r="C300" s="107"/>
      <c r="D300" s="107"/>
      <c r="E300" s="107"/>
      <c r="F300" s="107"/>
      <c r="G300" s="107"/>
      <c r="H300" s="107"/>
    </row>
    <row r="301" spans="2:8" x14ac:dyDescent="0.25">
      <c r="B301" s="107"/>
      <c r="C301" s="107"/>
      <c r="D301" s="107"/>
      <c r="E301" s="107"/>
      <c r="F301" s="107"/>
      <c r="G301" s="107"/>
      <c r="H301" s="107"/>
    </row>
    <row r="302" spans="2:8" x14ac:dyDescent="0.25">
      <c r="B302" s="107"/>
      <c r="C302" s="107"/>
      <c r="D302" s="107"/>
      <c r="E302" s="107"/>
      <c r="F302" s="107"/>
      <c r="G302" s="107"/>
      <c r="H302" s="107"/>
    </row>
    <row r="303" spans="2:8" x14ac:dyDescent="0.25">
      <c r="B303" s="107"/>
      <c r="C303" s="107"/>
      <c r="D303" s="107"/>
      <c r="E303" s="107"/>
      <c r="F303" s="107"/>
      <c r="G303" s="107"/>
      <c r="H303" s="107"/>
    </row>
    <row r="304" spans="2:8" x14ac:dyDescent="0.25">
      <c r="B304" s="107"/>
      <c r="C304" s="107"/>
      <c r="D304" s="107"/>
      <c r="E304" s="107"/>
      <c r="F304" s="107"/>
      <c r="G304" s="107"/>
      <c r="H304" s="107"/>
    </row>
    <row r="305" spans="2:8" x14ac:dyDescent="0.25">
      <c r="B305" s="107"/>
      <c r="C305" s="107"/>
      <c r="D305" s="107"/>
      <c r="E305" s="107"/>
      <c r="F305" s="107"/>
      <c r="G305" s="107"/>
      <c r="H305" s="107"/>
    </row>
    <row r="306" spans="2:8" x14ac:dyDescent="0.25">
      <c r="B306" s="107"/>
      <c r="C306" s="107"/>
      <c r="D306" s="107"/>
      <c r="E306" s="107"/>
      <c r="F306" s="107"/>
      <c r="G306" s="107"/>
      <c r="H306" s="107"/>
    </row>
    <row r="307" spans="2:8" x14ac:dyDescent="0.25">
      <c r="B307" s="107"/>
      <c r="C307" s="107"/>
      <c r="D307" s="107"/>
      <c r="E307" s="107"/>
      <c r="F307" s="107"/>
      <c r="G307" s="107"/>
      <c r="H307" s="107"/>
    </row>
    <row r="308" spans="2:8" x14ac:dyDescent="0.25">
      <c r="B308" s="107"/>
      <c r="C308" s="107"/>
      <c r="D308" s="107"/>
      <c r="E308" s="107"/>
      <c r="F308" s="107"/>
      <c r="G308" s="107"/>
      <c r="H308" s="107"/>
    </row>
    <row r="309" spans="2:8" x14ac:dyDescent="0.25">
      <c r="B309" s="107"/>
      <c r="C309" s="107"/>
      <c r="D309" s="107"/>
      <c r="E309" s="107"/>
      <c r="F309" s="107"/>
      <c r="G309" s="107"/>
      <c r="H309" s="107"/>
    </row>
    <row r="310" spans="2:8" x14ac:dyDescent="0.25">
      <c r="B310" s="107"/>
      <c r="C310" s="107"/>
      <c r="D310" s="107"/>
      <c r="E310" s="107"/>
      <c r="F310" s="107"/>
      <c r="G310" s="107"/>
      <c r="H310" s="107"/>
    </row>
    <row r="311" spans="2:8" x14ac:dyDescent="0.25">
      <c r="B311" s="107"/>
      <c r="C311" s="107"/>
      <c r="D311" s="107"/>
      <c r="E311" s="107"/>
      <c r="F311" s="107"/>
      <c r="G311" s="107"/>
      <c r="H311" s="107"/>
    </row>
    <row r="312" spans="2:8" x14ac:dyDescent="0.25">
      <c r="B312" s="107"/>
      <c r="C312" s="107"/>
      <c r="D312" s="107"/>
      <c r="E312" s="107"/>
      <c r="F312" s="107"/>
      <c r="G312" s="107"/>
      <c r="H312" s="107"/>
    </row>
    <row r="313" spans="2:8" x14ac:dyDescent="0.25">
      <c r="B313" s="107"/>
      <c r="C313" s="107"/>
      <c r="D313" s="107"/>
      <c r="E313" s="107"/>
      <c r="F313" s="107"/>
      <c r="G313" s="107"/>
      <c r="H313" s="107"/>
    </row>
    <row r="314" spans="2:8" x14ac:dyDescent="0.25">
      <c r="B314" s="107"/>
      <c r="C314" s="107"/>
      <c r="D314" s="107"/>
      <c r="E314" s="107"/>
      <c r="F314" s="107"/>
      <c r="G314" s="107"/>
      <c r="H314" s="107"/>
    </row>
    <row r="315" spans="2:8" x14ac:dyDescent="0.25">
      <c r="B315" s="107"/>
      <c r="C315" s="107"/>
      <c r="D315" s="107"/>
      <c r="E315" s="107"/>
      <c r="F315" s="107"/>
      <c r="G315" s="107"/>
      <c r="H315" s="107"/>
    </row>
    <row r="316" spans="2:8" x14ac:dyDescent="0.25">
      <c r="B316" s="107"/>
      <c r="C316" s="107"/>
      <c r="D316" s="107"/>
      <c r="E316" s="107"/>
      <c r="F316" s="107"/>
      <c r="G316" s="107"/>
      <c r="H316" s="107"/>
    </row>
    <row r="317" spans="2:8" x14ac:dyDescent="0.25">
      <c r="B317" s="107"/>
      <c r="C317" s="107"/>
      <c r="D317" s="107"/>
      <c r="E317" s="107"/>
      <c r="F317" s="107"/>
      <c r="G317" s="107"/>
      <c r="H317" s="107"/>
    </row>
    <row r="318" spans="2:8" x14ac:dyDescent="0.25">
      <c r="B318" s="107"/>
      <c r="C318" s="107"/>
      <c r="D318" s="107"/>
      <c r="E318" s="107"/>
      <c r="F318" s="107"/>
      <c r="G318" s="107"/>
      <c r="H318" s="107"/>
    </row>
    <row r="319" spans="2:8" x14ac:dyDescent="0.25">
      <c r="B319" s="107"/>
      <c r="C319" s="107"/>
      <c r="D319" s="107"/>
      <c r="E319" s="107"/>
      <c r="F319" s="107"/>
      <c r="G319" s="107"/>
      <c r="H319" s="107"/>
    </row>
    <row r="320" spans="2:8" x14ac:dyDescent="0.25">
      <c r="B320" s="107"/>
      <c r="C320" s="107"/>
      <c r="D320" s="107"/>
      <c r="E320" s="107"/>
      <c r="F320" s="107"/>
      <c r="G320" s="107"/>
      <c r="H320" s="107"/>
    </row>
    <row r="321" spans="2:8" x14ac:dyDescent="0.25">
      <c r="B321" s="107"/>
      <c r="C321" s="107"/>
      <c r="D321" s="107"/>
      <c r="E321" s="107"/>
      <c r="F321" s="107"/>
      <c r="G321" s="107"/>
      <c r="H321" s="107"/>
    </row>
    <row r="322" spans="2:8" x14ac:dyDescent="0.25">
      <c r="B322" s="107"/>
      <c r="C322" s="107"/>
      <c r="D322" s="107"/>
      <c r="E322" s="107"/>
      <c r="F322" s="107"/>
      <c r="G322" s="107"/>
      <c r="H322" s="107"/>
    </row>
    <row r="323" spans="2:8" x14ac:dyDescent="0.25">
      <c r="B323" s="107"/>
      <c r="C323" s="107"/>
      <c r="D323" s="107"/>
      <c r="E323" s="107"/>
      <c r="F323" s="107"/>
      <c r="G323" s="107"/>
      <c r="H323" s="107"/>
    </row>
    <row r="324" spans="2:8" x14ac:dyDescent="0.25">
      <c r="B324" s="107"/>
      <c r="C324" s="107"/>
      <c r="D324" s="107"/>
      <c r="E324" s="107"/>
      <c r="F324" s="107"/>
      <c r="G324" s="107"/>
      <c r="H324" s="107"/>
    </row>
    <row r="325" spans="2:8" x14ac:dyDescent="0.25">
      <c r="B325" s="107"/>
      <c r="C325" s="107"/>
      <c r="D325" s="107"/>
      <c r="E325" s="107"/>
      <c r="F325" s="107"/>
      <c r="G325" s="107"/>
      <c r="H325" s="107"/>
    </row>
    <row r="326" spans="2:8" x14ac:dyDescent="0.25">
      <c r="B326" s="107"/>
      <c r="C326" s="107"/>
      <c r="D326" s="107"/>
      <c r="E326" s="107"/>
      <c r="F326" s="107"/>
      <c r="G326" s="107"/>
      <c r="H326" s="107"/>
    </row>
    <row r="327" spans="2:8" x14ac:dyDescent="0.25">
      <c r="B327" s="107"/>
      <c r="C327" s="107"/>
      <c r="D327" s="107"/>
      <c r="E327" s="107"/>
      <c r="F327" s="107"/>
      <c r="G327" s="107"/>
      <c r="H327" s="107"/>
    </row>
    <row r="328" spans="2:8" x14ac:dyDescent="0.25">
      <c r="B328" s="107"/>
      <c r="C328" s="107"/>
      <c r="D328" s="107"/>
      <c r="E328" s="107"/>
      <c r="F328" s="107"/>
      <c r="G328" s="107"/>
      <c r="H328" s="107"/>
    </row>
    <row r="329" spans="2:8" x14ac:dyDescent="0.25">
      <c r="B329" s="107"/>
      <c r="C329" s="107"/>
      <c r="D329" s="107"/>
      <c r="E329" s="107"/>
      <c r="F329" s="107"/>
      <c r="G329" s="107"/>
      <c r="H329" s="107"/>
    </row>
    <row r="330" spans="2:8" x14ac:dyDescent="0.25">
      <c r="B330" s="107"/>
      <c r="C330" s="107"/>
      <c r="D330" s="107"/>
      <c r="E330" s="107"/>
      <c r="F330" s="107"/>
      <c r="G330" s="107"/>
      <c r="H330" s="107"/>
    </row>
    <row r="331" spans="2:8" x14ac:dyDescent="0.25">
      <c r="B331" s="107"/>
      <c r="C331" s="107"/>
      <c r="D331" s="107"/>
      <c r="E331" s="107"/>
      <c r="F331" s="107"/>
      <c r="G331" s="107"/>
      <c r="H331" s="107"/>
    </row>
    <row r="332" spans="2:8" x14ac:dyDescent="0.25">
      <c r="B332" s="107"/>
      <c r="C332" s="107"/>
      <c r="D332" s="107"/>
      <c r="E332" s="107"/>
      <c r="F332" s="107"/>
      <c r="G332" s="107"/>
      <c r="H332" s="107"/>
    </row>
    <row r="333" spans="2:8" x14ac:dyDescent="0.25">
      <c r="B333" s="107"/>
      <c r="C333" s="107"/>
      <c r="D333" s="107"/>
      <c r="E333" s="107"/>
      <c r="F333" s="107"/>
      <c r="G333" s="107"/>
      <c r="H333" s="107"/>
    </row>
    <row r="334" spans="2:8" x14ac:dyDescent="0.25">
      <c r="B334" s="107"/>
      <c r="C334" s="107"/>
      <c r="D334" s="107"/>
      <c r="E334" s="107"/>
      <c r="F334" s="107"/>
      <c r="G334" s="107"/>
      <c r="H334" s="107"/>
    </row>
    <row r="335" spans="2:8" x14ac:dyDescent="0.25">
      <c r="B335" s="107"/>
      <c r="C335" s="107"/>
      <c r="D335" s="107"/>
      <c r="E335" s="107"/>
      <c r="F335" s="107"/>
      <c r="G335" s="107"/>
      <c r="H335" s="107"/>
    </row>
    <row r="336" spans="2:8" x14ac:dyDescent="0.25">
      <c r="B336" s="107"/>
      <c r="C336" s="107"/>
      <c r="D336" s="107"/>
      <c r="E336" s="107"/>
      <c r="F336" s="107"/>
      <c r="G336" s="107"/>
      <c r="H336" s="107"/>
    </row>
    <row r="337" spans="2:8" x14ac:dyDescent="0.25">
      <c r="B337" s="107"/>
      <c r="C337" s="107"/>
      <c r="D337" s="107"/>
      <c r="E337" s="107"/>
      <c r="F337" s="107"/>
      <c r="G337" s="107"/>
      <c r="H337" s="107"/>
    </row>
    <row r="338" spans="2:8" x14ac:dyDescent="0.25">
      <c r="B338" s="107"/>
      <c r="C338" s="107"/>
      <c r="D338" s="107"/>
      <c r="E338" s="107"/>
      <c r="F338" s="107"/>
      <c r="G338" s="107"/>
      <c r="H338" s="107"/>
    </row>
    <row r="339" spans="2:8" x14ac:dyDescent="0.25">
      <c r="B339" s="107"/>
      <c r="C339" s="107"/>
      <c r="D339" s="107"/>
      <c r="E339" s="107"/>
      <c r="F339" s="107"/>
      <c r="G339" s="107"/>
      <c r="H339" s="107"/>
    </row>
    <row r="340" spans="2:8" x14ac:dyDescent="0.25">
      <c r="B340" s="107"/>
      <c r="C340" s="107"/>
      <c r="D340" s="107"/>
      <c r="E340" s="107"/>
      <c r="F340" s="107"/>
      <c r="G340" s="107"/>
      <c r="H340" s="107"/>
    </row>
    <row r="341" spans="2:8" x14ac:dyDescent="0.25">
      <c r="B341" s="107"/>
      <c r="C341" s="107"/>
      <c r="D341" s="107"/>
      <c r="E341" s="107"/>
      <c r="F341" s="107"/>
      <c r="G341" s="107"/>
      <c r="H341" s="107"/>
    </row>
    <row r="342" spans="2:8" x14ac:dyDescent="0.25">
      <c r="B342" s="107"/>
      <c r="C342" s="107"/>
      <c r="D342" s="107"/>
      <c r="E342" s="107"/>
      <c r="F342" s="107"/>
      <c r="G342" s="107"/>
      <c r="H342" s="107"/>
    </row>
    <row r="343" spans="2:8" x14ac:dyDescent="0.25">
      <c r="B343" s="107"/>
      <c r="C343" s="107"/>
      <c r="D343" s="107"/>
      <c r="E343" s="107"/>
      <c r="F343" s="107"/>
      <c r="G343" s="107"/>
      <c r="H343" s="107"/>
    </row>
    <row r="344" spans="2:8" x14ac:dyDescent="0.25">
      <c r="B344" s="107"/>
      <c r="C344" s="107"/>
      <c r="D344" s="107"/>
      <c r="E344" s="107"/>
      <c r="F344" s="107"/>
      <c r="G344" s="107"/>
      <c r="H344" s="107"/>
    </row>
    <row r="345" spans="2:8" x14ac:dyDescent="0.25">
      <c r="B345" s="107"/>
      <c r="C345" s="107"/>
      <c r="D345" s="107"/>
      <c r="E345" s="107"/>
      <c r="F345" s="107"/>
      <c r="G345" s="107"/>
      <c r="H345" s="107"/>
    </row>
    <row r="346" spans="2:8" x14ac:dyDescent="0.25">
      <c r="B346" s="107"/>
      <c r="C346" s="107"/>
      <c r="D346" s="107"/>
      <c r="E346" s="107"/>
      <c r="F346" s="107"/>
      <c r="G346" s="107"/>
      <c r="H346" s="107"/>
    </row>
    <row r="347" spans="2:8" x14ac:dyDescent="0.25">
      <c r="B347" s="107"/>
      <c r="C347" s="107"/>
      <c r="D347" s="107"/>
      <c r="E347" s="107"/>
      <c r="F347" s="107"/>
      <c r="G347" s="107"/>
      <c r="H347" s="107"/>
    </row>
    <row r="348" spans="2:8" x14ac:dyDescent="0.25">
      <c r="B348" s="107"/>
      <c r="C348" s="107"/>
      <c r="D348" s="107"/>
      <c r="E348" s="107"/>
      <c r="F348" s="107"/>
      <c r="G348" s="107"/>
      <c r="H348" s="107"/>
    </row>
    <row r="349" spans="2:8" x14ac:dyDescent="0.25">
      <c r="B349" s="107"/>
      <c r="C349" s="107"/>
      <c r="D349" s="107"/>
      <c r="E349" s="107"/>
      <c r="F349" s="107"/>
      <c r="G349" s="107"/>
      <c r="H349" s="107"/>
    </row>
    <row r="350" spans="2:8" x14ac:dyDescent="0.25">
      <c r="B350" s="107"/>
      <c r="C350" s="107"/>
      <c r="D350" s="107"/>
      <c r="E350" s="107"/>
      <c r="F350" s="107"/>
      <c r="G350" s="107"/>
      <c r="H350" s="107"/>
    </row>
    <row r="351" spans="2:8" x14ac:dyDescent="0.25">
      <c r="B351" s="107"/>
      <c r="C351" s="107"/>
      <c r="D351" s="107"/>
      <c r="E351" s="107"/>
      <c r="F351" s="107"/>
      <c r="G351" s="107"/>
      <c r="H351" s="107"/>
    </row>
    <row r="352" spans="2:8" x14ac:dyDescent="0.25">
      <c r="B352" s="107"/>
      <c r="C352" s="107"/>
      <c r="D352" s="107"/>
      <c r="E352" s="107"/>
      <c r="F352" s="107"/>
      <c r="G352" s="107"/>
      <c r="H352" s="107"/>
    </row>
    <row r="353" spans="2:8" x14ac:dyDescent="0.25">
      <c r="B353" s="107"/>
      <c r="C353" s="107"/>
      <c r="D353" s="107"/>
      <c r="E353" s="107"/>
      <c r="F353" s="107"/>
      <c r="G353" s="107"/>
      <c r="H353" s="107"/>
    </row>
    <row r="354" spans="2:8" x14ac:dyDescent="0.25">
      <c r="B354" s="107"/>
      <c r="C354" s="107"/>
      <c r="D354" s="107"/>
      <c r="E354" s="107"/>
      <c r="F354" s="107"/>
      <c r="G354" s="107"/>
      <c r="H354" s="107"/>
    </row>
    <row r="355" spans="2:8" x14ac:dyDescent="0.25">
      <c r="B355" s="107"/>
      <c r="C355" s="107"/>
      <c r="D355" s="107"/>
      <c r="E355" s="107"/>
      <c r="F355" s="107"/>
      <c r="G355" s="107"/>
      <c r="H355" s="107"/>
    </row>
    <row r="356" spans="2:8" x14ac:dyDescent="0.25">
      <c r="B356" s="107"/>
      <c r="C356" s="107"/>
      <c r="D356" s="107"/>
      <c r="E356" s="107"/>
      <c r="F356" s="107"/>
      <c r="G356" s="107"/>
      <c r="H356" s="107"/>
    </row>
    <row r="357" spans="2:8" x14ac:dyDescent="0.25">
      <c r="B357" s="107"/>
      <c r="C357" s="107"/>
      <c r="D357" s="107"/>
      <c r="E357" s="107"/>
      <c r="F357" s="107"/>
      <c r="G357" s="107"/>
      <c r="H357" s="107"/>
    </row>
    <row r="358" spans="2:8" x14ac:dyDescent="0.25">
      <c r="B358" s="107"/>
      <c r="C358" s="107"/>
      <c r="D358" s="107"/>
      <c r="E358" s="107"/>
      <c r="F358" s="107"/>
      <c r="G358" s="107"/>
      <c r="H358" s="107"/>
    </row>
    <row r="359" spans="2:8" x14ac:dyDescent="0.25">
      <c r="B359" s="107"/>
      <c r="C359" s="107"/>
      <c r="D359" s="107"/>
      <c r="E359" s="107"/>
      <c r="F359" s="107"/>
      <c r="G359" s="107"/>
      <c r="H359" s="107"/>
    </row>
    <row r="360" spans="2:8" x14ac:dyDescent="0.25">
      <c r="B360" s="107"/>
      <c r="C360" s="107"/>
      <c r="D360" s="107"/>
      <c r="E360" s="107"/>
      <c r="F360" s="107"/>
      <c r="G360" s="107"/>
      <c r="H360" s="107"/>
    </row>
    <row r="361" spans="2:8" x14ac:dyDescent="0.25">
      <c r="B361" s="107"/>
      <c r="C361" s="107"/>
      <c r="D361" s="107"/>
      <c r="E361" s="107"/>
      <c r="F361" s="107"/>
      <c r="G361" s="107"/>
      <c r="H361" s="107"/>
    </row>
    <row r="362" spans="2:8" x14ac:dyDescent="0.25">
      <c r="B362" s="107"/>
      <c r="C362" s="107"/>
      <c r="D362" s="107"/>
      <c r="E362" s="107"/>
      <c r="F362" s="107"/>
      <c r="G362" s="107"/>
      <c r="H362" s="107"/>
    </row>
    <row r="363" spans="2:8" x14ac:dyDescent="0.25">
      <c r="B363" s="107"/>
      <c r="C363" s="107"/>
      <c r="D363" s="107"/>
      <c r="E363" s="107"/>
      <c r="F363" s="107"/>
      <c r="G363" s="107"/>
      <c r="H363" s="107"/>
    </row>
    <row r="364" spans="2:8" x14ac:dyDescent="0.25">
      <c r="B364" s="107"/>
      <c r="C364" s="107"/>
      <c r="D364" s="107"/>
      <c r="E364" s="107"/>
      <c r="F364" s="107"/>
      <c r="G364" s="107"/>
      <c r="H364" s="107"/>
    </row>
    <row r="365" spans="2:8" x14ac:dyDescent="0.25">
      <c r="B365" s="107"/>
      <c r="C365" s="107"/>
      <c r="D365" s="107"/>
      <c r="E365" s="107"/>
      <c r="F365" s="107"/>
      <c r="G365" s="107"/>
      <c r="H365" s="107"/>
    </row>
    <row r="366" spans="2:8" x14ac:dyDescent="0.25">
      <c r="B366" s="107"/>
      <c r="C366" s="107"/>
      <c r="D366" s="107"/>
      <c r="E366" s="107"/>
      <c r="F366" s="107"/>
      <c r="G366" s="107"/>
      <c r="H366" s="107"/>
    </row>
    <row r="367" spans="2:8" x14ac:dyDescent="0.25">
      <c r="B367" s="107"/>
      <c r="C367" s="107"/>
      <c r="D367" s="107"/>
      <c r="E367" s="107"/>
      <c r="F367" s="107"/>
      <c r="G367" s="107"/>
      <c r="H367" s="107"/>
    </row>
    <row r="368" spans="2:8" x14ac:dyDescent="0.25">
      <c r="B368" s="107"/>
      <c r="C368" s="107"/>
      <c r="D368" s="107"/>
      <c r="E368" s="107"/>
      <c r="F368" s="107"/>
      <c r="G368" s="107"/>
      <c r="H368" s="107"/>
    </row>
    <row r="369" spans="2:8" x14ac:dyDescent="0.25">
      <c r="B369" s="107"/>
      <c r="C369" s="107"/>
      <c r="D369" s="107"/>
      <c r="E369" s="107"/>
      <c r="F369" s="107"/>
      <c r="G369" s="107"/>
      <c r="H369" s="107"/>
    </row>
    <row r="370" spans="2:8" x14ac:dyDescent="0.25">
      <c r="B370" s="107"/>
      <c r="C370" s="107"/>
      <c r="D370" s="107"/>
      <c r="E370" s="107"/>
      <c r="F370" s="107"/>
      <c r="G370" s="107"/>
      <c r="H370" s="107"/>
    </row>
    <row r="371" spans="2:8" x14ac:dyDescent="0.25">
      <c r="B371" s="107"/>
      <c r="C371" s="107"/>
      <c r="D371" s="107"/>
      <c r="E371" s="107"/>
      <c r="F371" s="107"/>
      <c r="G371" s="107"/>
      <c r="H371" s="107"/>
    </row>
    <row r="372" spans="2:8" x14ac:dyDescent="0.25">
      <c r="B372" s="107"/>
      <c r="C372" s="107"/>
      <c r="D372" s="107"/>
      <c r="E372" s="107"/>
      <c r="F372" s="107"/>
      <c r="G372" s="107"/>
      <c r="H372" s="107"/>
    </row>
    <row r="373" spans="2:8" x14ac:dyDescent="0.25">
      <c r="B373" s="107"/>
      <c r="C373" s="107"/>
      <c r="D373" s="107"/>
      <c r="E373" s="107"/>
      <c r="F373" s="107"/>
      <c r="G373" s="107"/>
      <c r="H373" s="107"/>
    </row>
    <row r="374" spans="2:8" x14ac:dyDescent="0.25">
      <c r="B374" s="107"/>
      <c r="C374" s="107"/>
      <c r="D374" s="107"/>
      <c r="E374" s="107"/>
      <c r="F374" s="107"/>
      <c r="G374" s="107"/>
      <c r="H374" s="107"/>
    </row>
    <row r="375" spans="2:8" x14ac:dyDescent="0.25">
      <c r="B375" s="107"/>
      <c r="C375" s="107"/>
      <c r="D375" s="107"/>
      <c r="E375" s="107"/>
      <c r="F375" s="107"/>
      <c r="G375" s="107"/>
      <c r="H375" s="107"/>
    </row>
    <row r="376" spans="2:8" x14ac:dyDescent="0.25">
      <c r="B376" s="107"/>
      <c r="C376" s="107"/>
      <c r="D376" s="107"/>
      <c r="E376" s="107"/>
      <c r="F376" s="107"/>
      <c r="G376" s="107"/>
      <c r="H376" s="107"/>
    </row>
    <row r="377" spans="2:8" x14ac:dyDescent="0.25">
      <c r="B377" s="107"/>
      <c r="C377" s="107"/>
      <c r="D377" s="107"/>
      <c r="E377" s="107"/>
      <c r="F377" s="107"/>
      <c r="G377" s="107"/>
      <c r="H377" s="107"/>
    </row>
    <row r="378" spans="2:8" x14ac:dyDescent="0.25">
      <c r="B378" s="107"/>
      <c r="C378" s="107"/>
      <c r="D378" s="107"/>
      <c r="E378" s="107"/>
      <c r="F378" s="107"/>
      <c r="G378" s="107"/>
      <c r="H378" s="107"/>
    </row>
    <row r="379" spans="2:8" x14ac:dyDescent="0.25">
      <c r="B379" s="107"/>
      <c r="C379" s="107"/>
      <c r="D379" s="107"/>
      <c r="E379" s="107"/>
      <c r="F379" s="107"/>
      <c r="G379" s="107"/>
      <c r="H379" s="107"/>
    </row>
    <row r="380" spans="2:8" x14ac:dyDescent="0.25">
      <c r="B380" s="107"/>
      <c r="C380" s="107"/>
      <c r="D380" s="107"/>
      <c r="E380" s="107"/>
      <c r="F380" s="107"/>
      <c r="G380" s="107"/>
      <c r="H380" s="107"/>
    </row>
    <row r="381" spans="2:8" x14ac:dyDescent="0.25">
      <c r="B381" s="107"/>
      <c r="C381" s="107"/>
      <c r="D381" s="107"/>
      <c r="E381" s="107"/>
      <c r="F381" s="107"/>
      <c r="G381" s="107"/>
      <c r="H381" s="107"/>
    </row>
    <row r="382" spans="2:8" x14ac:dyDescent="0.25">
      <c r="B382" s="107"/>
      <c r="C382" s="107"/>
      <c r="D382" s="107"/>
      <c r="E382" s="107"/>
      <c r="F382" s="107"/>
      <c r="G382" s="107"/>
      <c r="H382" s="107"/>
    </row>
    <row r="383" spans="2:8" x14ac:dyDescent="0.25">
      <c r="B383" s="107"/>
      <c r="C383" s="107"/>
      <c r="D383" s="107"/>
      <c r="E383" s="107"/>
      <c r="F383" s="107"/>
      <c r="G383" s="107"/>
      <c r="H383" s="107"/>
    </row>
    <row r="384" spans="2:8" x14ac:dyDescent="0.25">
      <c r="B384" s="107"/>
      <c r="C384" s="107"/>
      <c r="D384" s="107"/>
      <c r="E384" s="107"/>
      <c r="F384" s="107"/>
      <c r="G384" s="107"/>
      <c r="H384" s="107"/>
    </row>
    <row r="385" spans="2:8" x14ac:dyDescent="0.25">
      <c r="B385" s="107"/>
      <c r="C385" s="107"/>
      <c r="D385" s="107"/>
      <c r="E385" s="107"/>
      <c r="F385" s="107"/>
      <c r="G385" s="107"/>
      <c r="H385" s="107"/>
    </row>
    <row r="386" spans="2:8" x14ac:dyDescent="0.25">
      <c r="B386" s="107"/>
      <c r="C386" s="107"/>
      <c r="D386" s="107"/>
      <c r="E386" s="107"/>
      <c r="F386" s="107"/>
      <c r="G386" s="107"/>
      <c r="H386" s="107"/>
    </row>
    <row r="387" spans="2:8" x14ac:dyDescent="0.25">
      <c r="B387" s="107"/>
      <c r="C387" s="107"/>
      <c r="D387" s="107"/>
      <c r="E387" s="107"/>
      <c r="F387" s="107"/>
      <c r="G387" s="107"/>
      <c r="H387" s="107"/>
    </row>
    <row r="388" spans="2:8" x14ac:dyDescent="0.25">
      <c r="B388" s="107"/>
      <c r="C388" s="107"/>
      <c r="D388" s="107"/>
      <c r="E388" s="107"/>
      <c r="F388" s="107"/>
      <c r="G388" s="107"/>
      <c r="H388" s="107"/>
    </row>
    <row r="389" spans="2:8" x14ac:dyDescent="0.25">
      <c r="B389" s="107"/>
      <c r="C389" s="107"/>
      <c r="D389" s="107"/>
      <c r="E389" s="107"/>
      <c r="F389" s="107"/>
      <c r="G389" s="107"/>
      <c r="H389" s="107"/>
    </row>
    <row r="390" spans="2:8" x14ac:dyDescent="0.25">
      <c r="B390" s="107"/>
      <c r="C390" s="107"/>
      <c r="D390" s="107"/>
      <c r="E390" s="107"/>
      <c r="F390" s="107"/>
      <c r="G390" s="107"/>
      <c r="H390" s="107"/>
    </row>
    <row r="391" spans="2:8" x14ac:dyDescent="0.25">
      <c r="B391" s="107"/>
      <c r="C391" s="107"/>
      <c r="D391" s="107"/>
      <c r="E391" s="107"/>
      <c r="F391" s="107"/>
      <c r="G391" s="107"/>
      <c r="H391" s="107"/>
    </row>
    <row r="392" spans="2:8" x14ac:dyDescent="0.25">
      <c r="B392" s="107"/>
      <c r="C392" s="107"/>
      <c r="D392" s="107"/>
      <c r="E392" s="107"/>
      <c r="F392" s="107"/>
      <c r="G392" s="107"/>
      <c r="H392" s="107"/>
    </row>
    <row r="393" spans="2:8" x14ac:dyDescent="0.25">
      <c r="B393" s="107"/>
      <c r="C393" s="107"/>
      <c r="D393" s="107"/>
      <c r="E393" s="107"/>
      <c r="F393" s="107"/>
      <c r="G393" s="107"/>
      <c r="H393" s="107"/>
    </row>
    <row r="394" spans="2:8" x14ac:dyDescent="0.25">
      <c r="B394" s="107"/>
      <c r="C394" s="107"/>
      <c r="D394" s="107"/>
      <c r="E394" s="107"/>
      <c r="F394" s="107"/>
      <c r="G394" s="107"/>
      <c r="H394" s="107"/>
    </row>
    <row r="395" spans="2:8" x14ac:dyDescent="0.25">
      <c r="B395" s="107"/>
      <c r="C395" s="107"/>
      <c r="D395" s="107"/>
      <c r="E395" s="107"/>
      <c r="F395" s="107"/>
      <c r="G395" s="107"/>
      <c r="H395" s="107"/>
    </row>
    <row r="396" spans="2:8" x14ac:dyDescent="0.25">
      <c r="B396" s="107"/>
      <c r="C396" s="107"/>
      <c r="D396" s="107"/>
      <c r="E396" s="107"/>
      <c r="F396" s="107"/>
      <c r="G396" s="107"/>
      <c r="H396" s="107"/>
    </row>
    <row r="397" spans="2:8" x14ac:dyDescent="0.25">
      <c r="B397" s="107"/>
      <c r="C397" s="107"/>
      <c r="D397" s="107"/>
      <c r="E397" s="107"/>
      <c r="F397" s="107"/>
      <c r="G397" s="107"/>
      <c r="H397" s="107"/>
    </row>
    <row r="398" spans="2:8" x14ac:dyDescent="0.25">
      <c r="B398" s="107"/>
      <c r="C398" s="107"/>
      <c r="D398" s="107"/>
      <c r="E398" s="107"/>
      <c r="F398" s="107"/>
      <c r="G398" s="107"/>
      <c r="H398" s="107"/>
    </row>
    <row r="399" spans="2:8" x14ac:dyDescent="0.25">
      <c r="B399" s="107"/>
      <c r="C399" s="107"/>
      <c r="D399" s="107"/>
      <c r="E399" s="107"/>
      <c r="F399" s="107"/>
      <c r="G399" s="107"/>
      <c r="H399" s="107"/>
    </row>
    <row r="400" spans="2:8" x14ac:dyDescent="0.25">
      <c r="B400" s="107"/>
      <c r="C400" s="107"/>
      <c r="D400" s="107"/>
      <c r="E400" s="107"/>
      <c r="F400" s="107"/>
      <c r="G400" s="107"/>
      <c r="H400" s="107"/>
    </row>
    <row r="401" spans="2:8" x14ac:dyDescent="0.25">
      <c r="B401" s="107"/>
      <c r="C401" s="107"/>
      <c r="D401" s="107"/>
      <c r="E401" s="107"/>
      <c r="F401" s="107"/>
      <c r="G401" s="107"/>
      <c r="H401" s="107"/>
    </row>
    <row r="402" spans="2:8" x14ac:dyDescent="0.25">
      <c r="B402" s="107"/>
      <c r="C402" s="107"/>
      <c r="D402" s="107"/>
      <c r="E402" s="107"/>
      <c r="F402" s="107"/>
      <c r="G402" s="107"/>
      <c r="H402" s="107"/>
    </row>
    <row r="403" spans="2:8" x14ac:dyDescent="0.25">
      <c r="B403" s="107"/>
      <c r="C403" s="107"/>
      <c r="D403" s="107"/>
      <c r="E403" s="107"/>
      <c r="F403" s="107"/>
      <c r="G403" s="107"/>
      <c r="H403" s="107"/>
    </row>
    <row r="404" spans="2:8" x14ac:dyDescent="0.25">
      <c r="B404" s="107"/>
      <c r="C404" s="107"/>
      <c r="D404" s="107"/>
      <c r="E404" s="107"/>
      <c r="F404" s="107"/>
      <c r="G404" s="107"/>
      <c r="H404" s="107"/>
    </row>
    <row r="405" spans="2:8" x14ac:dyDescent="0.25">
      <c r="B405" s="107"/>
      <c r="C405" s="107"/>
      <c r="D405" s="107"/>
      <c r="E405" s="107"/>
      <c r="F405" s="107"/>
      <c r="G405" s="107"/>
      <c r="H405" s="107"/>
    </row>
    <row r="406" spans="2:8" x14ac:dyDescent="0.25">
      <c r="B406" s="107"/>
      <c r="C406" s="107"/>
      <c r="D406" s="107"/>
      <c r="E406" s="107"/>
      <c r="F406" s="107"/>
      <c r="G406" s="107"/>
      <c r="H406" s="107"/>
    </row>
    <row r="407" spans="2:8" x14ac:dyDescent="0.25">
      <c r="B407" s="107"/>
      <c r="C407" s="107"/>
      <c r="D407" s="107"/>
      <c r="E407" s="107"/>
      <c r="F407" s="107"/>
      <c r="G407" s="107"/>
      <c r="H407" s="107"/>
    </row>
    <row r="408" spans="2:8" x14ac:dyDescent="0.25">
      <c r="B408" s="107"/>
      <c r="C408" s="107"/>
      <c r="D408" s="107"/>
      <c r="E408" s="107"/>
      <c r="F408" s="107"/>
      <c r="G408" s="107"/>
      <c r="H408" s="107"/>
    </row>
    <row r="409" spans="2:8" x14ac:dyDescent="0.25">
      <c r="B409" s="107"/>
      <c r="C409" s="107"/>
      <c r="D409" s="107"/>
      <c r="E409" s="107"/>
      <c r="F409" s="107"/>
      <c r="G409" s="107"/>
      <c r="H409" s="107"/>
    </row>
    <row r="410" spans="2:8" x14ac:dyDescent="0.25">
      <c r="B410" s="107"/>
      <c r="C410" s="107"/>
      <c r="D410" s="107"/>
      <c r="E410" s="107"/>
      <c r="F410" s="107"/>
      <c r="G410" s="107"/>
      <c r="H410" s="107"/>
    </row>
    <row r="411" spans="2:8" x14ac:dyDescent="0.25">
      <c r="B411" s="107"/>
      <c r="C411" s="107"/>
      <c r="D411" s="107"/>
      <c r="E411" s="107"/>
      <c r="F411" s="107"/>
      <c r="G411" s="107"/>
      <c r="H411" s="107"/>
    </row>
    <row r="412" spans="2:8" x14ac:dyDescent="0.25">
      <c r="B412" s="107"/>
      <c r="C412" s="107"/>
      <c r="D412" s="107"/>
      <c r="E412" s="107"/>
      <c r="F412" s="107"/>
      <c r="G412" s="107"/>
      <c r="H412" s="107"/>
    </row>
    <row r="413" spans="2:8" x14ac:dyDescent="0.25">
      <c r="B413" s="107"/>
      <c r="C413" s="107"/>
      <c r="D413" s="107"/>
      <c r="E413" s="107"/>
      <c r="F413" s="107"/>
      <c r="G413" s="107"/>
      <c r="H413" s="107"/>
    </row>
    <row r="414" spans="2:8" x14ac:dyDescent="0.25">
      <c r="B414" s="107"/>
      <c r="C414" s="107"/>
      <c r="D414" s="107"/>
      <c r="E414" s="107"/>
      <c r="F414" s="107"/>
      <c r="G414" s="107"/>
      <c r="H414" s="107"/>
    </row>
    <row r="415" spans="2:8" x14ac:dyDescent="0.25">
      <c r="B415" s="107"/>
      <c r="C415" s="107"/>
      <c r="D415" s="107"/>
      <c r="E415" s="107"/>
      <c r="F415" s="107"/>
      <c r="G415" s="107"/>
      <c r="H415" s="107"/>
    </row>
    <row r="416" spans="2:8" x14ac:dyDescent="0.25">
      <c r="B416" s="107"/>
      <c r="C416" s="107"/>
      <c r="D416" s="107"/>
      <c r="E416" s="107"/>
      <c r="F416" s="107"/>
      <c r="G416" s="107"/>
      <c r="H416" s="107"/>
    </row>
    <row r="417" spans="2:8" x14ac:dyDescent="0.25">
      <c r="B417" s="107"/>
      <c r="C417" s="107"/>
      <c r="D417" s="107"/>
      <c r="E417" s="107"/>
      <c r="F417" s="107"/>
      <c r="G417" s="107"/>
      <c r="H417" s="107"/>
    </row>
    <row r="418" spans="2:8" x14ac:dyDescent="0.25">
      <c r="B418" s="107"/>
      <c r="C418" s="107"/>
      <c r="D418" s="107"/>
      <c r="E418" s="107"/>
      <c r="F418" s="107"/>
      <c r="G418" s="107"/>
      <c r="H418" s="107"/>
    </row>
    <row r="419" spans="2:8" x14ac:dyDescent="0.25">
      <c r="B419" s="107"/>
      <c r="C419" s="107"/>
      <c r="D419" s="107"/>
      <c r="E419" s="107"/>
      <c r="F419" s="107"/>
      <c r="G419" s="107"/>
      <c r="H419" s="107"/>
    </row>
    <row r="420" spans="2:8" x14ac:dyDescent="0.25">
      <c r="B420" s="107"/>
      <c r="C420" s="107"/>
      <c r="D420" s="107"/>
      <c r="E420" s="107"/>
      <c r="F420" s="107"/>
      <c r="G420" s="107"/>
      <c r="H420" s="107"/>
    </row>
    <row r="421" spans="2:8" x14ac:dyDescent="0.25">
      <c r="B421" s="107"/>
      <c r="C421" s="107"/>
      <c r="D421" s="107"/>
      <c r="E421" s="107"/>
      <c r="F421" s="107"/>
      <c r="G421" s="107"/>
      <c r="H421" s="107"/>
    </row>
    <row r="422" spans="2:8" x14ac:dyDescent="0.25">
      <c r="B422" s="107"/>
      <c r="C422" s="107"/>
      <c r="D422" s="107"/>
      <c r="E422" s="107"/>
      <c r="F422" s="107"/>
      <c r="G422" s="107"/>
      <c r="H422" s="107"/>
    </row>
    <row r="423" spans="2:8" x14ac:dyDescent="0.25">
      <c r="B423" s="107"/>
      <c r="C423" s="107"/>
      <c r="D423" s="107"/>
      <c r="E423" s="107"/>
      <c r="F423" s="107"/>
      <c r="G423" s="107"/>
      <c r="H423" s="107"/>
    </row>
    <row r="424" spans="2:8" x14ac:dyDescent="0.25">
      <c r="B424" s="107"/>
      <c r="C424" s="107"/>
      <c r="D424" s="107"/>
      <c r="E424" s="107"/>
      <c r="F424" s="107"/>
      <c r="G424" s="107"/>
      <c r="H424" s="107"/>
    </row>
    <row r="425" spans="2:8" x14ac:dyDescent="0.25">
      <c r="B425" s="107"/>
      <c r="C425" s="107"/>
      <c r="D425" s="107"/>
      <c r="E425" s="107"/>
      <c r="F425" s="107"/>
      <c r="G425" s="107"/>
      <c r="H425" s="107"/>
    </row>
    <row r="426" spans="2:8" x14ac:dyDescent="0.25">
      <c r="B426" s="107"/>
      <c r="C426" s="107"/>
      <c r="D426" s="107"/>
      <c r="E426" s="107"/>
      <c r="F426" s="107"/>
      <c r="G426" s="107"/>
      <c r="H426" s="107"/>
    </row>
    <row r="427" spans="2:8" x14ac:dyDescent="0.25">
      <c r="B427" s="107"/>
      <c r="C427" s="107"/>
      <c r="D427" s="107"/>
      <c r="E427" s="107"/>
      <c r="F427" s="107"/>
      <c r="G427" s="107"/>
      <c r="H427" s="107"/>
    </row>
    <row r="428" spans="2:8" x14ac:dyDescent="0.25">
      <c r="B428" s="107"/>
      <c r="C428" s="107"/>
      <c r="D428" s="107"/>
      <c r="E428" s="107"/>
      <c r="F428" s="107"/>
      <c r="G428" s="107"/>
      <c r="H428" s="107"/>
    </row>
    <row r="429" spans="2:8" x14ac:dyDescent="0.25">
      <c r="B429" s="107"/>
      <c r="C429" s="107"/>
      <c r="D429" s="107"/>
      <c r="E429" s="107"/>
      <c r="F429" s="107"/>
      <c r="G429" s="107"/>
      <c r="H429" s="107"/>
    </row>
    <row r="430" spans="2:8" x14ac:dyDescent="0.25">
      <c r="B430" s="107"/>
      <c r="C430" s="107"/>
      <c r="D430" s="107"/>
      <c r="E430" s="107"/>
      <c r="F430" s="107"/>
      <c r="G430" s="107"/>
      <c r="H430" s="107"/>
    </row>
    <row r="431" spans="2:8" x14ac:dyDescent="0.25">
      <c r="B431" s="107"/>
      <c r="C431" s="107"/>
      <c r="D431" s="107"/>
      <c r="E431" s="107"/>
      <c r="F431" s="107"/>
      <c r="G431" s="107"/>
      <c r="H431" s="107"/>
    </row>
    <row r="432" spans="2:8" x14ac:dyDescent="0.25">
      <c r="B432" s="107"/>
      <c r="C432" s="107"/>
      <c r="D432" s="107"/>
      <c r="E432" s="107"/>
      <c r="F432" s="107"/>
      <c r="G432" s="107"/>
      <c r="H432" s="107"/>
    </row>
    <row r="433" spans="2:8" x14ac:dyDescent="0.25">
      <c r="B433" s="107"/>
      <c r="C433" s="107"/>
      <c r="D433" s="107"/>
      <c r="E433" s="107"/>
      <c r="F433" s="107"/>
      <c r="G433" s="107"/>
      <c r="H433" s="107"/>
    </row>
    <row r="434" spans="2:8" x14ac:dyDescent="0.25">
      <c r="B434" s="107"/>
      <c r="C434" s="107"/>
      <c r="D434" s="107"/>
      <c r="E434" s="107"/>
      <c r="F434" s="107"/>
      <c r="G434" s="107"/>
      <c r="H434" s="107"/>
    </row>
    <row r="435" spans="2:8" x14ac:dyDescent="0.25">
      <c r="B435" s="107"/>
      <c r="C435" s="107"/>
      <c r="D435" s="107"/>
      <c r="E435" s="107"/>
      <c r="F435" s="107"/>
      <c r="G435" s="107"/>
      <c r="H435" s="107"/>
    </row>
    <row r="436" spans="2:8" x14ac:dyDescent="0.25">
      <c r="B436" s="107"/>
      <c r="C436" s="107"/>
      <c r="D436" s="107"/>
      <c r="E436" s="107"/>
      <c r="F436" s="107"/>
      <c r="G436" s="107"/>
      <c r="H436" s="107"/>
    </row>
    <row r="437" spans="2:8" x14ac:dyDescent="0.25">
      <c r="B437" s="107"/>
      <c r="C437" s="107"/>
      <c r="D437" s="107"/>
      <c r="E437" s="107"/>
      <c r="F437" s="107"/>
      <c r="G437" s="107"/>
      <c r="H437" s="107"/>
    </row>
    <row r="438" spans="2:8" x14ac:dyDescent="0.25">
      <c r="B438" s="107"/>
      <c r="C438" s="107"/>
      <c r="D438" s="107"/>
      <c r="E438" s="107"/>
      <c r="F438" s="107"/>
      <c r="G438" s="107"/>
      <c r="H438" s="107"/>
    </row>
    <row r="439" spans="2:8" x14ac:dyDescent="0.25">
      <c r="B439" s="107"/>
      <c r="C439" s="107"/>
      <c r="D439" s="107"/>
      <c r="E439" s="107"/>
      <c r="F439" s="107"/>
      <c r="G439" s="107"/>
      <c r="H439" s="107"/>
    </row>
    <row r="440" spans="2:8" x14ac:dyDescent="0.25">
      <c r="B440" s="107"/>
      <c r="C440" s="107"/>
      <c r="D440" s="107"/>
      <c r="E440" s="107"/>
      <c r="F440" s="107"/>
      <c r="G440" s="107"/>
      <c r="H440" s="107"/>
    </row>
    <row r="441" spans="2:8" x14ac:dyDescent="0.25">
      <c r="B441" s="107"/>
      <c r="C441" s="107"/>
      <c r="D441" s="107"/>
      <c r="E441" s="107"/>
      <c r="F441" s="107"/>
      <c r="G441" s="107"/>
      <c r="H441" s="107"/>
    </row>
    <row r="442" spans="2:8" x14ac:dyDescent="0.25">
      <c r="B442" s="107"/>
      <c r="C442" s="107"/>
      <c r="D442" s="107"/>
      <c r="E442" s="107"/>
      <c r="F442" s="107"/>
      <c r="G442" s="107"/>
      <c r="H442" s="107"/>
    </row>
    <row r="443" spans="2:8" x14ac:dyDescent="0.25">
      <c r="B443" s="107"/>
      <c r="C443" s="107"/>
      <c r="D443" s="107"/>
      <c r="E443" s="107"/>
      <c r="F443" s="107"/>
      <c r="G443" s="107"/>
      <c r="H443" s="107"/>
    </row>
    <row r="444" spans="2:8" x14ac:dyDescent="0.25">
      <c r="B444" s="107"/>
      <c r="C444" s="107"/>
      <c r="D444" s="107"/>
      <c r="E444" s="107"/>
      <c r="F444" s="107"/>
      <c r="G444" s="107"/>
      <c r="H444" s="107"/>
    </row>
    <row r="445" spans="2:8" x14ac:dyDescent="0.25">
      <c r="B445" s="107"/>
      <c r="C445" s="107"/>
      <c r="D445" s="107"/>
      <c r="E445" s="107"/>
      <c r="F445" s="107"/>
      <c r="G445" s="107"/>
      <c r="H445" s="107"/>
    </row>
    <row r="446" spans="2:8" x14ac:dyDescent="0.25">
      <c r="B446" s="107"/>
      <c r="C446" s="107"/>
      <c r="D446" s="107"/>
      <c r="E446" s="107"/>
      <c r="F446" s="107"/>
      <c r="G446" s="107"/>
      <c r="H446" s="107"/>
    </row>
    <row r="447" spans="2:8" x14ac:dyDescent="0.25">
      <c r="B447" s="107"/>
      <c r="C447" s="107"/>
      <c r="D447" s="107"/>
      <c r="E447" s="107"/>
      <c r="F447" s="107"/>
      <c r="G447" s="107"/>
      <c r="H447" s="107"/>
    </row>
    <row r="448" spans="2:8" x14ac:dyDescent="0.25">
      <c r="B448" s="107"/>
      <c r="C448" s="107"/>
      <c r="D448" s="107"/>
      <c r="E448" s="107"/>
      <c r="F448" s="107"/>
      <c r="G448" s="107"/>
      <c r="H448" s="107"/>
    </row>
    <row r="449" spans="2:8" x14ac:dyDescent="0.25">
      <c r="B449" s="107"/>
      <c r="C449" s="107"/>
      <c r="D449" s="107"/>
      <c r="E449" s="107"/>
      <c r="F449" s="107"/>
      <c r="G449" s="107"/>
      <c r="H449" s="107"/>
    </row>
    <row r="450" spans="2:8" x14ac:dyDescent="0.25">
      <c r="B450" s="107"/>
      <c r="C450" s="107"/>
      <c r="D450" s="107"/>
      <c r="E450" s="107"/>
      <c r="F450" s="107"/>
      <c r="G450" s="107"/>
      <c r="H450" s="107"/>
    </row>
    <row r="451" spans="2:8" x14ac:dyDescent="0.25">
      <c r="B451" s="107"/>
      <c r="C451" s="107"/>
      <c r="D451" s="107"/>
      <c r="E451" s="107"/>
      <c r="F451" s="107"/>
      <c r="G451" s="107"/>
      <c r="H451" s="107"/>
    </row>
    <row r="452" spans="2:8" x14ac:dyDescent="0.25">
      <c r="B452" s="107"/>
      <c r="C452" s="107"/>
      <c r="D452" s="107"/>
      <c r="E452" s="107"/>
      <c r="F452" s="107"/>
      <c r="G452" s="107"/>
      <c r="H452" s="107"/>
    </row>
    <row r="453" spans="2:8" x14ac:dyDescent="0.25">
      <c r="B453" s="107"/>
      <c r="C453" s="107"/>
      <c r="D453" s="107"/>
      <c r="E453" s="107"/>
      <c r="F453" s="107"/>
      <c r="G453" s="107"/>
      <c r="H453" s="107"/>
    </row>
    <row r="454" spans="2:8" x14ac:dyDescent="0.25">
      <c r="B454" s="107"/>
      <c r="C454" s="107"/>
      <c r="D454" s="107"/>
      <c r="E454" s="107"/>
      <c r="F454" s="107"/>
      <c r="G454" s="107"/>
      <c r="H454" s="107"/>
    </row>
    <row r="455" spans="2:8" x14ac:dyDescent="0.25">
      <c r="B455" s="107"/>
      <c r="C455" s="107"/>
      <c r="D455" s="107"/>
      <c r="E455" s="107"/>
      <c r="F455" s="107"/>
      <c r="G455" s="107"/>
      <c r="H455" s="107"/>
    </row>
    <row r="456" spans="2:8" x14ac:dyDescent="0.25">
      <c r="B456" s="107"/>
      <c r="C456" s="107"/>
      <c r="D456" s="107"/>
      <c r="E456" s="107"/>
      <c r="F456" s="107"/>
      <c r="G456" s="107"/>
      <c r="H456" s="107"/>
    </row>
    <row r="457" spans="2:8" x14ac:dyDescent="0.25">
      <c r="B457" s="107"/>
      <c r="C457" s="107"/>
      <c r="D457" s="107"/>
      <c r="E457" s="107"/>
      <c r="F457" s="107"/>
      <c r="G457" s="107"/>
      <c r="H457" s="107"/>
    </row>
    <row r="458" spans="2:8" x14ac:dyDescent="0.25">
      <c r="B458" s="107"/>
      <c r="C458" s="107"/>
      <c r="D458" s="107"/>
      <c r="E458" s="107"/>
      <c r="F458" s="107"/>
      <c r="G458" s="107"/>
      <c r="H458" s="107"/>
    </row>
    <row r="459" spans="2:8" x14ac:dyDescent="0.25">
      <c r="B459" s="107"/>
      <c r="C459" s="107"/>
      <c r="D459" s="107"/>
      <c r="E459" s="107"/>
      <c r="F459" s="107"/>
      <c r="G459" s="107"/>
      <c r="H459" s="107"/>
    </row>
    <row r="460" spans="2:8" x14ac:dyDescent="0.25">
      <c r="B460" s="107"/>
      <c r="C460" s="107"/>
      <c r="D460" s="107"/>
      <c r="E460" s="107"/>
      <c r="F460" s="107"/>
      <c r="G460" s="107"/>
      <c r="H460" s="107"/>
    </row>
    <row r="461" spans="2:8" x14ac:dyDescent="0.25">
      <c r="B461" s="107"/>
      <c r="C461" s="107"/>
      <c r="D461" s="107"/>
      <c r="E461" s="107"/>
      <c r="F461" s="107"/>
      <c r="G461" s="107"/>
      <c r="H461" s="107"/>
    </row>
    <row r="462" spans="2:8" x14ac:dyDescent="0.25">
      <c r="B462" s="107"/>
      <c r="C462" s="107"/>
      <c r="D462" s="107"/>
      <c r="E462" s="107"/>
      <c r="F462" s="107"/>
      <c r="G462" s="107"/>
      <c r="H462" s="107"/>
    </row>
    <row r="463" spans="2:8" x14ac:dyDescent="0.25">
      <c r="B463" s="107"/>
      <c r="C463" s="107"/>
      <c r="D463" s="107"/>
      <c r="E463" s="107"/>
      <c r="F463" s="107"/>
      <c r="G463" s="107"/>
      <c r="H463" s="107"/>
    </row>
    <row r="464" spans="2:8" x14ac:dyDescent="0.25">
      <c r="B464" s="107"/>
      <c r="C464" s="107"/>
      <c r="D464" s="107"/>
      <c r="E464" s="107"/>
      <c r="F464" s="107"/>
      <c r="G464" s="107"/>
      <c r="H464" s="107"/>
    </row>
    <row r="465" spans="2:8" x14ac:dyDescent="0.25">
      <c r="B465" s="107"/>
      <c r="C465" s="107"/>
      <c r="D465" s="107"/>
      <c r="E465" s="107"/>
      <c r="F465" s="107"/>
      <c r="G465" s="107"/>
      <c r="H465" s="107"/>
    </row>
    <row r="466" spans="2:8" x14ac:dyDescent="0.25">
      <c r="B466" s="107"/>
      <c r="C466" s="107"/>
      <c r="D466" s="107"/>
      <c r="E466" s="107"/>
      <c r="F466" s="107"/>
      <c r="G466" s="107"/>
      <c r="H466" s="107"/>
    </row>
    <row r="467" spans="2:8" x14ac:dyDescent="0.25">
      <c r="B467" s="107"/>
      <c r="C467" s="107"/>
      <c r="D467" s="107"/>
      <c r="E467" s="107"/>
      <c r="F467" s="107"/>
      <c r="G467" s="107"/>
      <c r="H467" s="107"/>
    </row>
    <row r="468" spans="2:8" x14ac:dyDescent="0.25">
      <c r="B468" s="107"/>
      <c r="C468" s="107"/>
      <c r="D468" s="107"/>
      <c r="E468" s="107"/>
      <c r="F468" s="107"/>
      <c r="G468" s="107"/>
      <c r="H468" s="107"/>
    </row>
    <row r="469" spans="2:8" x14ac:dyDescent="0.25">
      <c r="B469" s="107"/>
      <c r="C469" s="107"/>
      <c r="D469" s="107"/>
      <c r="E469" s="107"/>
      <c r="F469" s="107"/>
      <c r="G469" s="107"/>
      <c r="H469" s="107"/>
    </row>
    <row r="470" spans="2:8" x14ac:dyDescent="0.25">
      <c r="B470" s="107"/>
      <c r="C470" s="107"/>
      <c r="D470" s="107"/>
      <c r="E470" s="107"/>
      <c r="F470" s="107"/>
      <c r="G470" s="107"/>
      <c r="H470" s="107"/>
    </row>
    <row r="471" spans="2:8" x14ac:dyDescent="0.25">
      <c r="B471" s="107"/>
      <c r="C471" s="107"/>
      <c r="D471" s="107"/>
      <c r="E471" s="107"/>
      <c r="F471" s="107"/>
      <c r="G471" s="107"/>
      <c r="H471" s="107"/>
    </row>
    <row r="472" spans="2:8" x14ac:dyDescent="0.25">
      <c r="B472" s="107"/>
      <c r="C472" s="107"/>
      <c r="D472" s="107"/>
      <c r="E472" s="107"/>
      <c r="F472" s="107"/>
      <c r="G472" s="107"/>
      <c r="H472" s="107"/>
    </row>
    <row r="473" spans="2:8" x14ac:dyDescent="0.25">
      <c r="B473" s="107"/>
      <c r="C473" s="107"/>
      <c r="D473" s="107"/>
      <c r="E473" s="107"/>
      <c r="F473" s="107"/>
      <c r="G473" s="107"/>
      <c r="H473" s="107"/>
    </row>
    <row r="474" spans="2:8" x14ac:dyDescent="0.25">
      <c r="B474" s="107"/>
      <c r="C474" s="107"/>
      <c r="D474" s="107"/>
      <c r="E474" s="107"/>
      <c r="F474" s="107"/>
      <c r="G474" s="107"/>
      <c r="H474" s="107"/>
    </row>
    <row r="475" spans="2:8" x14ac:dyDescent="0.25">
      <c r="B475" s="107"/>
      <c r="C475" s="107"/>
      <c r="D475" s="107"/>
      <c r="E475" s="107"/>
      <c r="F475" s="107"/>
      <c r="G475" s="107"/>
      <c r="H475" s="107"/>
    </row>
    <row r="476" spans="2:8" x14ac:dyDescent="0.25">
      <c r="B476" s="107"/>
      <c r="C476" s="107"/>
      <c r="D476" s="107"/>
      <c r="E476" s="107"/>
      <c r="F476" s="107"/>
      <c r="G476" s="107"/>
      <c r="H476" s="107"/>
    </row>
    <row r="477" spans="2:8" x14ac:dyDescent="0.25">
      <c r="B477" s="107"/>
      <c r="C477" s="107"/>
      <c r="D477" s="107"/>
      <c r="E477" s="107"/>
      <c r="F477" s="107"/>
      <c r="G477" s="107"/>
      <c r="H477" s="107"/>
    </row>
    <row r="478" spans="2:8" x14ac:dyDescent="0.25">
      <c r="B478" s="107"/>
      <c r="C478" s="107"/>
      <c r="D478" s="107"/>
      <c r="E478" s="107"/>
      <c r="F478" s="107"/>
      <c r="G478" s="107"/>
      <c r="H478" s="107"/>
    </row>
    <row r="479" spans="2:8" x14ac:dyDescent="0.25">
      <c r="B479" s="107"/>
      <c r="C479" s="107"/>
      <c r="D479" s="107"/>
      <c r="E479" s="107"/>
      <c r="F479" s="107"/>
      <c r="G479" s="107"/>
      <c r="H479" s="107"/>
    </row>
    <row r="480" spans="2:8" x14ac:dyDescent="0.25">
      <c r="B480" s="107"/>
      <c r="C480" s="107"/>
      <c r="D480" s="107"/>
      <c r="E480" s="107"/>
      <c r="F480" s="107"/>
      <c r="G480" s="107"/>
      <c r="H480" s="107"/>
    </row>
    <row r="481" spans="2:8" x14ac:dyDescent="0.25">
      <c r="B481" s="107"/>
      <c r="C481" s="107"/>
      <c r="D481" s="107"/>
      <c r="E481" s="107"/>
      <c r="F481" s="107"/>
      <c r="G481" s="107"/>
      <c r="H481" s="107"/>
    </row>
    <row r="482" spans="2:8" x14ac:dyDescent="0.25">
      <c r="B482" s="107"/>
      <c r="C482" s="107"/>
      <c r="D482" s="107"/>
      <c r="E482" s="107"/>
      <c r="F482" s="107"/>
      <c r="G482" s="107"/>
      <c r="H482" s="107"/>
    </row>
    <row r="483" spans="2:8" x14ac:dyDescent="0.25">
      <c r="B483" s="107"/>
      <c r="C483" s="107"/>
      <c r="D483" s="107"/>
      <c r="E483" s="107"/>
      <c r="F483" s="107"/>
      <c r="G483" s="107"/>
      <c r="H483" s="107"/>
    </row>
    <row r="484" spans="2:8" x14ac:dyDescent="0.25">
      <c r="B484" s="107"/>
      <c r="C484" s="107"/>
      <c r="D484" s="107"/>
      <c r="E484" s="107"/>
      <c r="F484" s="107"/>
      <c r="G484" s="107"/>
      <c r="H484" s="107"/>
    </row>
    <row r="485" spans="2:8" x14ac:dyDescent="0.25">
      <c r="B485" s="107"/>
      <c r="C485" s="107"/>
      <c r="D485" s="107"/>
      <c r="E485" s="107"/>
      <c r="F485" s="107"/>
      <c r="G485" s="107"/>
      <c r="H485" s="107"/>
    </row>
    <row r="486" spans="2:8" x14ac:dyDescent="0.25">
      <c r="B486" s="107"/>
      <c r="C486" s="107"/>
      <c r="D486" s="107"/>
      <c r="E486" s="107"/>
      <c r="F486" s="107"/>
      <c r="G486" s="107"/>
      <c r="H486" s="107"/>
    </row>
    <row r="487" spans="2:8" x14ac:dyDescent="0.25">
      <c r="B487" s="107"/>
      <c r="C487" s="107"/>
      <c r="D487" s="107"/>
      <c r="E487" s="107"/>
      <c r="F487" s="107"/>
      <c r="G487" s="107"/>
      <c r="H487" s="107"/>
    </row>
    <row r="488" spans="2:8" x14ac:dyDescent="0.25">
      <c r="B488" s="107"/>
      <c r="C488" s="107"/>
      <c r="D488" s="107"/>
      <c r="E488" s="107"/>
      <c r="F488" s="107"/>
      <c r="G488" s="107"/>
      <c r="H488" s="107"/>
    </row>
    <row r="489" spans="2:8" x14ac:dyDescent="0.25">
      <c r="B489" s="107"/>
      <c r="C489" s="107"/>
      <c r="D489" s="107"/>
      <c r="E489" s="107"/>
      <c r="F489" s="107"/>
      <c r="G489" s="107"/>
      <c r="H489" s="107"/>
    </row>
    <row r="490" spans="2:8" x14ac:dyDescent="0.25">
      <c r="B490" s="107"/>
      <c r="C490" s="107"/>
      <c r="D490" s="107"/>
      <c r="E490" s="107"/>
      <c r="F490" s="107"/>
      <c r="G490" s="107"/>
      <c r="H490" s="107"/>
    </row>
    <row r="491" spans="2:8" x14ac:dyDescent="0.25">
      <c r="B491" s="107"/>
      <c r="C491" s="107"/>
      <c r="D491" s="107"/>
      <c r="E491" s="107"/>
      <c r="F491" s="107"/>
      <c r="G491" s="107"/>
      <c r="H491" s="107"/>
    </row>
    <row r="492" spans="2:8" x14ac:dyDescent="0.25">
      <c r="B492" s="107"/>
      <c r="C492" s="107"/>
      <c r="D492" s="107"/>
      <c r="E492" s="107"/>
      <c r="F492" s="107"/>
      <c r="G492" s="107"/>
      <c r="H492" s="107"/>
    </row>
    <row r="493" spans="2:8" x14ac:dyDescent="0.25">
      <c r="B493" s="107"/>
      <c r="C493" s="107"/>
      <c r="D493" s="107"/>
      <c r="E493" s="107"/>
      <c r="F493" s="107"/>
      <c r="G493" s="107"/>
      <c r="H493" s="107"/>
    </row>
    <row r="494" spans="2:8" x14ac:dyDescent="0.25">
      <c r="B494" s="107"/>
      <c r="C494" s="107"/>
      <c r="D494" s="107"/>
      <c r="E494" s="107"/>
      <c r="F494" s="107"/>
      <c r="G494" s="107"/>
      <c r="H494" s="107"/>
    </row>
    <row r="495" spans="2:8" x14ac:dyDescent="0.25">
      <c r="B495" s="107"/>
      <c r="C495" s="107"/>
      <c r="D495" s="107"/>
      <c r="E495" s="107"/>
      <c r="F495" s="107"/>
      <c r="G495" s="107"/>
      <c r="H495" s="107"/>
    </row>
    <row r="496" spans="2:8" x14ac:dyDescent="0.25">
      <c r="B496" s="107"/>
      <c r="C496" s="107"/>
      <c r="D496" s="107"/>
      <c r="E496" s="107"/>
      <c r="F496" s="107"/>
      <c r="G496" s="107"/>
      <c r="H496" s="107"/>
    </row>
    <row r="497" spans="2:8" x14ac:dyDescent="0.25">
      <c r="B497" s="107"/>
      <c r="C497" s="107"/>
      <c r="D497" s="107"/>
      <c r="E497" s="107"/>
      <c r="F497" s="107"/>
      <c r="G497" s="107"/>
      <c r="H497" s="107"/>
    </row>
    <row r="498" spans="2:8" x14ac:dyDescent="0.25">
      <c r="B498" s="107"/>
      <c r="C498" s="107"/>
      <c r="D498" s="107"/>
      <c r="E498" s="107"/>
      <c r="F498" s="107"/>
      <c r="G498" s="107"/>
      <c r="H498" s="107"/>
    </row>
    <row r="499" spans="2:8" x14ac:dyDescent="0.25">
      <c r="B499" s="107"/>
      <c r="C499" s="107"/>
      <c r="D499" s="107"/>
      <c r="E499" s="107"/>
      <c r="F499" s="107"/>
      <c r="G499" s="107"/>
      <c r="H499" s="107"/>
    </row>
    <row r="500" spans="2:8" x14ac:dyDescent="0.25">
      <c r="B500" s="107"/>
      <c r="C500" s="107"/>
      <c r="D500" s="107"/>
      <c r="E500" s="107"/>
      <c r="F500" s="107"/>
      <c r="G500" s="107"/>
      <c r="H500" s="107"/>
    </row>
    <row r="501" spans="2:8" x14ac:dyDescent="0.25">
      <c r="B501" s="107"/>
      <c r="C501" s="107"/>
      <c r="D501" s="107"/>
      <c r="E501" s="107"/>
      <c r="F501" s="107"/>
      <c r="G501" s="107"/>
      <c r="H501" s="107"/>
    </row>
    <row r="502" spans="2:8" x14ac:dyDescent="0.25">
      <c r="B502" s="107"/>
      <c r="C502" s="107"/>
      <c r="D502" s="107"/>
      <c r="E502" s="107"/>
      <c r="F502" s="107"/>
      <c r="G502" s="107"/>
      <c r="H502" s="107"/>
    </row>
    <row r="503" spans="2:8" x14ac:dyDescent="0.25">
      <c r="B503" s="107"/>
      <c r="C503" s="107"/>
      <c r="D503" s="107"/>
      <c r="E503" s="107"/>
      <c r="F503" s="107"/>
      <c r="G503" s="107"/>
      <c r="H503" s="107"/>
    </row>
    <row r="504" spans="2:8" x14ac:dyDescent="0.25">
      <c r="B504" s="107"/>
      <c r="C504" s="107"/>
      <c r="D504" s="107"/>
      <c r="E504" s="107"/>
      <c r="F504" s="107"/>
      <c r="G504" s="107"/>
      <c r="H504" s="107"/>
    </row>
    <row r="505" spans="2:8" x14ac:dyDescent="0.25">
      <c r="B505" s="107"/>
      <c r="C505" s="107"/>
      <c r="D505" s="107"/>
      <c r="E505" s="107"/>
      <c r="F505" s="107"/>
      <c r="G505" s="107"/>
      <c r="H505" s="107"/>
    </row>
    <row r="506" spans="2:8" x14ac:dyDescent="0.25">
      <c r="B506" s="107"/>
      <c r="C506" s="107"/>
      <c r="D506" s="107"/>
      <c r="E506" s="107"/>
      <c r="F506" s="107"/>
      <c r="G506" s="107"/>
      <c r="H506" s="107"/>
    </row>
    <row r="507" spans="2:8" x14ac:dyDescent="0.25">
      <c r="B507" s="107"/>
      <c r="C507" s="107"/>
      <c r="D507" s="107"/>
      <c r="E507" s="107"/>
      <c r="F507" s="107"/>
      <c r="G507" s="107"/>
      <c r="H507" s="107"/>
    </row>
    <row r="508" spans="2:8" x14ac:dyDescent="0.25">
      <c r="B508" s="107"/>
      <c r="C508" s="107"/>
      <c r="D508" s="107"/>
      <c r="E508" s="107"/>
      <c r="F508" s="107"/>
      <c r="G508" s="107"/>
      <c r="H508" s="107"/>
    </row>
    <row r="509" spans="2:8" x14ac:dyDescent="0.25">
      <c r="B509" s="107"/>
      <c r="C509" s="107"/>
      <c r="D509" s="107"/>
      <c r="E509" s="107"/>
      <c r="F509" s="107"/>
      <c r="G509" s="107"/>
      <c r="H509" s="107"/>
    </row>
    <row r="510" spans="2:8" x14ac:dyDescent="0.25">
      <c r="B510" s="107"/>
      <c r="C510" s="107"/>
      <c r="D510" s="107"/>
      <c r="E510" s="107"/>
      <c r="F510" s="107"/>
      <c r="G510" s="107"/>
      <c r="H510" s="107"/>
    </row>
    <row r="511" spans="2:8" x14ac:dyDescent="0.25">
      <c r="B511" s="107"/>
      <c r="C511" s="107"/>
      <c r="D511" s="107"/>
      <c r="E511" s="107"/>
      <c r="F511" s="107"/>
      <c r="G511" s="107"/>
      <c r="H511" s="107"/>
    </row>
    <row r="512" spans="2:8" x14ac:dyDescent="0.25">
      <c r="B512" s="107"/>
      <c r="C512" s="107"/>
      <c r="D512" s="107"/>
      <c r="E512" s="107"/>
      <c r="F512" s="107"/>
      <c r="G512" s="107"/>
      <c r="H512" s="107"/>
    </row>
    <row r="513" spans="2:8" x14ac:dyDescent="0.25">
      <c r="B513" s="107"/>
      <c r="C513" s="107"/>
      <c r="D513" s="107"/>
      <c r="E513" s="107"/>
      <c r="F513" s="107"/>
      <c r="G513" s="107"/>
      <c r="H513" s="107"/>
    </row>
    <row r="514" spans="2:8" x14ac:dyDescent="0.25">
      <c r="B514" s="107"/>
      <c r="C514" s="107"/>
      <c r="D514" s="107"/>
      <c r="E514" s="107"/>
      <c r="F514" s="107"/>
      <c r="G514" s="107"/>
      <c r="H514" s="107"/>
    </row>
    <row r="515" spans="2:8" x14ac:dyDescent="0.25">
      <c r="B515" s="107"/>
      <c r="C515" s="107"/>
      <c r="D515" s="107"/>
      <c r="E515" s="107"/>
      <c r="F515" s="107"/>
      <c r="G515" s="107"/>
      <c r="H515" s="107"/>
    </row>
    <row r="516" spans="2:8" x14ac:dyDescent="0.25">
      <c r="B516" s="107"/>
      <c r="C516" s="107"/>
      <c r="D516" s="107"/>
      <c r="E516" s="107"/>
      <c r="F516" s="107"/>
      <c r="G516" s="107"/>
      <c r="H516" s="107"/>
    </row>
    <row r="517" spans="2:8" x14ac:dyDescent="0.25">
      <c r="B517" s="107"/>
      <c r="C517" s="107"/>
      <c r="D517" s="107"/>
      <c r="E517" s="107"/>
      <c r="F517" s="107"/>
      <c r="G517" s="107"/>
      <c r="H517" s="107"/>
    </row>
    <row r="518" spans="2:8" x14ac:dyDescent="0.25">
      <c r="B518" s="107"/>
      <c r="C518" s="107"/>
      <c r="D518" s="107"/>
      <c r="E518" s="107"/>
      <c r="F518" s="107"/>
      <c r="G518" s="107"/>
      <c r="H518" s="107"/>
    </row>
    <row r="519" spans="2:8" x14ac:dyDescent="0.25">
      <c r="B519" s="107"/>
      <c r="C519" s="107"/>
      <c r="D519" s="107"/>
      <c r="E519" s="107"/>
      <c r="F519" s="107"/>
      <c r="G519" s="107"/>
      <c r="H519" s="107"/>
    </row>
    <row r="520" spans="2:8" x14ac:dyDescent="0.25">
      <c r="B520" s="107"/>
      <c r="C520" s="107"/>
      <c r="D520" s="107"/>
      <c r="E520" s="107"/>
      <c r="F520" s="107"/>
      <c r="G520" s="107"/>
      <c r="H520" s="107"/>
    </row>
    <row r="521" spans="2:8" x14ac:dyDescent="0.25">
      <c r="B521" s="107"/>
      <c r="C521" s="107"/>
      <c r="D521" s="107"/>
      <c r="E521" s="107"/>
      <c r="F521" s="107"/>
      <c r="G521" s="107"/>
      <c r="H521" s="107"/>
    </row>
    <row r="522" spans="2:8" x14ac:dyDescent="0.25">
      <c r="B522" s="107"/>
      <c r="C522" s="107"/>
      <c r="D522" s="107"/>
      <c r="E522" s="107"/>
      <c r="F522" s="107"/>
      <c r="G522" s="107"/>
      <c r="H522" s="107"/>
    </row>
    <row r="523" spans="2:8" x14ac:dyDescent="0.25">
      <c r="B523" s="107"/>
      <c r="C523" s="107"/>
      <c r="D523" s="107"/>
      <c r="E523" s="107"/>
      <c r="F523" s="107"/>
      <c r="G523" s="107"/>
      <c r="H523" s="107"/>
    </row>
    <row r="524" spans="2:8" x14ac:dyDescent="0.25">
      <c r="B524" s="107"/>
      <c r="C524" s="107"/>
      <c r="D524" s="107"/>
      <c r="E524" s="107"/>
      <c r="F524" s="107"/>
      <c r="G524" s="107"/>
      <c r="H524" s="107"/>
    </row>
    <row r="525" spans="2:8" x14ac:dyDescent="0.25">
      <c r="B525" s="107"/>
      <c r="C525" s="107"/>
      <c r="D525" s="107"/>
      <c r="E525" s="107"/>
      <c r="F525" s="107"/>
      <c r="G525" s="107"/>
      <c r="H525" s="107"/>
    </row>
    <row r="526" spans="2:8" x14ac:dyDescent="0.25">
      <c r="B526" s="107"/>
      <c r="C526" s="107"/>
      <c r="D526" s="107"/>
      <c r="E526" s="107"/>
      <c r="F526" s="107"/>
      <c r="G526" s="107"/>
      <c r="H526" s="107"/>
    </row>
    <row r="527" spans="2:8" x14ac:dyDescent="0.25">
      <c r="B527" s="107"/>
      <c r="C527" s="107"/>
      <c r="D527" s="107"/>
      <c r="E527" s="107"/>
      <c r="F527" s="107"/>
      <c r="G527" s="107"/>
      <c r="H527" s="107"/>
    </row>
    <row r="528" spans="2:8" x14ac:dyDescent="0.25">
      <c r="B528" s="107"/>
      <c r="C528" s="107"/>
      <c r="D528" s="107"/>
      <c r="E528" s="107"/>
      <c r="F528" s="107"/>
      <c r="G528" s="107"/>
      <c r="H528" s="107"/>
    </row>
    <row r="529" spans="2:8" x14ac:dyDescent="0.25">
      <c r="B529" s="107"/>
      <c r="C529" s="107"/>
      <c r="D529" s="107"/>
      <c r="E529" s="107"/>
      <c r="F529" s="107"/>
      <c r="G529" s="107"/>
      <c r="H529" s="107"/>
    </row>
    <row r="530" spans="2:8" x14ac:dyDescent="0.25">
      <c r="B530" s="107"/>
      <c r="C530" s="107"/>
      <c r="D530" s="107"/>
      <c r="E530" s="107"/>
      <c r="F530" s="107"/>
      <c r="G530" s="107"/>
      <c r="H530" s="107"/>
    </row>
    <row r="531" spans="2:8" x14ac:dyDescent="0.25">
      <c r="B531" s="107"/>
      <c r="C531" s="107"/>
      <c r="D531" s="107"/>
      <c r="E531" s="107"/>
      <c r="F531" s="107"/>
      <c r="G531" s="107"/>
      <c r="H531" s="107"/>
    </row>
    <row r="532" spans="2:8" x14ac:dyDescent="0.25">
      <c r="B532" s="107"/>
      <c r="C532" s="107"/>
      <c r="D532" s="107"/>
      <c r="E532" s="107"/>
      <c r="F532" s="107"/>
      <c r="G532" s="107"/>
      <c r="H532" s="107"/>
    </row>
    <row r="533" spans="2:8" x14ac:dyDescent="0.25">
      <c r="B533" s="107"/>
      <c r="C533" s="107"/>
      <c r="D533" s="107"/>
      <c r="E533" s="107"/>
      <c r="F533" s="107"/>
      <c r="G533" s="107"/>
      <c r="H533" s="107"/>
    </row>
    <row r="534" spans="2:8" x14ac:dyDescent="0.25">
      <c r="B534" s="107"/>
      <c r="C534" s="107"/>
      <c r="D534" s="107"/>
      <c r="E534" s="107"/>
      <c r="F534" s="107"/>
      <c r="G534" s="107"/>
      <c r="H534" s="107"/>
    </row>
    <row r="535" spans="2:8" x14ac:dyDescent="0.25">
      <c r="B535" s="107"/>
      <c r="C535" s="107"/>
      <c r="D535" s="107"/>
      <c r="E535" s="107"/>
      <c r="F535" s="107"/>
      <c r="G535" s="107"/>
      <c r="H535" s="107"/>
    </row>
    <row r="536" spans="2:8" x14ac:dyDescent="0.25">
      <c r="B536" s="107"/>
      <c r="C536" s="107"/>
      <c r="D536" s="107"/>
      <c r="E536" s="107"/>
      <c r="F536" s="107"/>
      <c r="G536" s="107"/>
      <c r="H536" s="107"/>
    </row>
    <row r="537" spans="2:8" x14ac:dyDescent="0.25">
      <c r="B537" s="107"/>
      <c r="C537" s="107"/>
      <c r="D537" s="107"/>
      <c r="E537" s="107"/>
      <c r="F537" s="107"/>
      <c r="G537" s="107"/>
      <c r="H537" s="107"/>
    </row>
    <row r="538" spans="2:8" x14ac:dyDescent="0.25">
      <c r="B538" s="107"/>
      <c r="C538" s="107"/>
      <c r="D538" s="107"/>
      <c r="E538" s="107"/>
      <c r="F538" s="107"/>
      <c r="G538" s="107"/>
      <c r="H538" s="107"/>
    </row>
    <row r="539" spans="2:8" x14ac:dyDescent="0.25">
      <c r="B539" s="107"/>
      <c r="C539" s="107"/>
      <c r="D539" s="107"/>
      <c r="E539" s="107"/>
      <c r="F539" s="107"/>
      <c r="G539" s="107"/>
      <c r="H539" s="107"/>
    </row>
    <row r="540" spans="2:8" x14ac:dyDescent="0.25">
      <c r="B540" s="107"/>
      <c r="C540" s="107"/>
      <c r="D540" s="107"/>
      <c r="E540" s="107"/>
      <c r="F540" s="107"/>
      <c r="G540" s="107"/>
      <c r="H540" s="107"/>
    </row>
    <row r="541" spans="2:8" x14ac:dyDescent="0.25">
      <c r="B541" s="107"/>
      <c r="C541" s="107"/>
      <c r="D541" s="107"/>
      <c r="E541" s="107"/>
      <c r="F541" s="107"/>
      <c r="G541" s="107"/>
      <c r="H541" s="107"/>
    </row>
    <row r="542" spans="2:8" x14ac:dyDescent="0.25">
      <c r="B542" s="107"/>
      <c r="C542" s="107"/>
      <c r="D542" s="107"/>
      <c r="E542" s="107"/>
      <c r="F542" s="107"/>
      <c r="G542" s="107"/>
      <c r="H542" s="107"/>
    </row>
    <row r="543" spans="2:8" x14ac:dyDescent="0.25">
      <c r="B543" s="107"/>
      <c r="C543" s="107"/>
      <c r="D543" s="107"/>
      <c r="E543" s="107"/>
      <c r="F543" s="107"/>
      <c r="G543" s="107"/>
      <c r="H543" s="107"/>
    </row>
    <row r="544" spans="2:8" x14ac:dyDescent="0.25">
      <c r="B544" s="107"/>
      <c r="C544" s="107"/>
      <c r="D544" s="107"/>
      <c r="E544" s="107"/>
      <c r="F544" s="107"/>
      <c r="G544" s="107"/>
      <c r="H544" s="107"/>
    </row>
    <row r="545" spans="2:8" x14ac:dyDescent="0.25">
      <c r="B545" s="107"/>
      <c r="C545" s="107"/>
      <c r="D545" s="107"/>
      <c r="E545" s="107"/>
      <c r="F545" s="107"/>
      <c r="G545" s="107"/>
      <c r="H545" s="107"/>
    </row>
    <row r="546" spans="2:8" x14ac:dyDescent="0.25">
      <c r="B546" s="107"/>
      <c r="C546" s="107"/>
      <c r="D546" s="107"/>
      <c r="E546" s="107"/>
      <c r="F546" s="107"/>
      <c r="G546" s="107"/>
      <c r="H546" s="107"/>
    </row>
    <row r="547" spans="2:8" x14ac:dyDescent="0.25">
      <c r="B547" s="107"/>
      <c r="C547" s="107"/>
      <c r="D547" s="107"/>
      <c r="E547" s="107"/>
      <c r="F547" s="107"/>
      <c r="G547" s="107"/>
      <c r="H547" s="107"/>
    </row>
    <row r="548" spans="2:8" x14ac:dyDescent="0.25">
      <c r="B548" s="107"/>
      <c r="C548" s="107"/>
      <c r="D548" s="107"/>
      <c r="E548" s="107"/>
      <c r="F548" s="107"/>
      <c r="G548" s="107"/>
      <c r="H548" s="107"/>
    </row>
    <row r="549" spans="2:8" x14ac:dyDescent="0.25">
      <c r="B549" s="107"/>
      <c r="C549" s="107"/>
      <c r="D549" s="107"/>
      <c r="E549" s="107"/>
      <c r="F549" s="107"/>
      <c r="G549" s="107"/>
      <c r="H549" s="107"/>
    </row>
    <row r="550" spans="2:8" x14ac:dyDescent="0.25">
      <c r="B550" s="107"/>
      <c r="C550" s="107"/>
      <c r="D550" s="107"/>
      <c r="E550" s="107"/>
      <c r="F550" s="107"/>
      <c r="G550" s="107"/>
      <c r="H550" s="107"/>
    </row>
    <row r="551" spans="2:8" x14ac:dyDescent="0.25">
      <c r="B551" s="107"/>
      <c r="C551" s="107"/>
      <c r="D551" s="107"/>
      <c r="E551" s="107"/>
      <c r="F551" s="107"/>
      <c r="G551" s="107"/>
      <c r="H551" s="107"/>
    </row>
    <row r="552" spans="2:8" x14ac:dyDescent="0.25">
      <c r="B552" s="107"/>
      <c r="C552" s="107"/>
      <c r="D552" s="107"/>
      <c r="E552" s="107"/>
      <c r="F552" s="107"/>
      <c r="G552" s="107"/>
      <c r="H552" s="107"/>
    </row>
    <row r="553" spans="2:8" x14ac:dyDescent="0.25">
      <c r="B553" s="107"/>
      <c r="C553" s="107"/>
      <c r="D553" s="107"/>
      <c r="E553" s="107"/>
      <c r="F553" s="107"/>
      <c r="G553" s="107"/>
      <c r="H553" s="107"/>
    </row>
    <row r="554" spans="2:8" x14ac:dyDescent="0.25">
      <c r="B554" s="107"/>
      <c r="C554" s="107"/>
      <c r="D554" s="107"/>
      <c r="E554" s="107"/>
      <c r="F554" s="107"/>
      <c r="G554" s="107"/>
      <c r="H554" s="107"/>
    </row>
    <row r="555" spans="2:8" x14ac:dyDescent="0.25">
      <c r="B555" s="107"/>
      <c r="C555" s="107"/>
      <c r="D555" s="107"/>
      <c r="E555" s="107"/>
      <c r="F555" s="107"/>
      <c r="G555" s="107"/>
      <c r="H555" s="107"/>
    </row>
    <row r="556" spans="2:8" x14ac:dyDescent="0.25">
      <c r="B556" s="107"/>
      <c r="C556" s="107"/>
      <c r="D556" s="107"/>
      <c r="E556" s="107"/>
      <c r="F556" s="107"/>
      <c r="G556" s="107"/>
      <c r="H556" s="107"/>
    </row>
    <row r="557" spans="2:8" x14ac:dyDescent="0.25">
      <c r="B557" s="107"/>
      <c r="C557" s="107"/>
      <c r="D557" s="107"/>
      <c r="E557" s="107"/>
      <c r="F557" s="107"/>
      <c r="G557" s="107"/>
      <c r="H557" s="107"/>
    </row>
    <row r="558" spans="2:8" x14ac:dyDescent="0.25">
      <c r="B558" s="107"/>
      <c r="C558" s="107"/>
      <c r="D558" s="107"/>
      <c r="E558" s="107"/>
      <c r="F558" s="107"/>
      <c r="G558" s="107"/>
      <c r="H558" s="107"/>
    </row>
    <row r="559" spans="2:8" x14ac:dyDescent="0.25">
      <c r="B559" s="107"/>
      <c r="C559" s="107"/>
      <c r="D559" s="107"/>
      <c r="E559" s="107"/>
      <c r="F559" s="107"/>
      <c r="G559" s="107"/>
      <c r="H559" s="107"/>
    </row>
    <row r="560" spans="2:8" x14ac:dyDescent="0.25">
      <c r="B560" s="107"/>
      <c r="C560" s="107"/>
      <c r="D560" s="107"/>
      <c r="E560" s="107"/>
      <c r="F560" s="107"/>
      <c r="G560" s="107"/>
      <c r="H560" s="107"/>
    </row>
    <row r="561" spans="2:8" x14ac:dyDescent="0.25">
      <c r="B561" s="107"/>
      <c r="C561" s="107"/>
      <c r="D561" s="107"/>
      <c r="E561" s="107"/>
      <c r="F561" s="107"/>
      <c r="G561" s="107"/>
      <c r="H561" s="107"/>
    </row>
    <row r="562" spans="2:8" x14ac:dyDescent="0.25">
      <c r="B562" s="107"/>
      <c r="C562" s="107"/>
      <c r="D562" s="107"/>
      <c r="E562" s="107"/>
      <c r="F562" s="107"/>
      <c r="G562" s="107"/>
      <c r="H562" s="107"/>
    </row>
    <row r="563" spans="2:8" x14ac:dyDescent="0.25">
      <c r="B563" s="107"/>
      <c r="C563" s="107"/>
      <c r="D563" s="107"/>
      <c r="E563" s="107"/>
      <c r="F563" s="107"/>
      <c r="G563" s="107"/>
      <c r="H563" s="107"/>
    </row>
    <row r="564" spans="2:8" x14ac:dyDescent="0.25">
      <c r="B564" s="107"/>
      <c r="C564" s="107"/>
      <c r="D564" s="107"/>
      <c r="E564" s="107"/>
      <c r="F564" s="107"/>
      <c r="G564" s="107"/>
      <c r="H564" s="107"/>
    </row>
    <row r="565" spans="2:8" x14ac:dyDescent="0.25">
      <c r="B565" s="107"/>
      <c r="C565" s="107"/>
      <c r="D565" s="107"/>
      <c r="E565" s="107"/>
      <c r="F565" s="107"/>
      <c r="G565" s="107"/>
      <c r="H565" s="107"/>
    </row>
    <row r="566" spans="2:8" x14ac:dyDescent="0.25">
      <c r="B566" s="107"/>
      <c r="C566" s="107"/>
      <c r="D566" s="107"/>
      <c r="E566" s="107"/>
      <c r="F566" s="107"/>
      <c r="G566" s="107"/>
      <c r="H566" s="107"/>
    </row>
    <row r="567" spans="2:8" x14ac:dyDescent="0.25">
      <c r="B567" s="107"/>
      <c r="C567" s="107"/>
      <c r="D567" s="107"/>
      <c r="E567" s="107"/>
      <c r="F567" s="107"/>
      <c r="G567" s="107"/>
      <c r="H567" s="107"/>
    </row>
    <row r="568" spans="2:8" x14ac:dyDescent="0.25">
      <c r="B568" s="107"/>
      <c r="C568" s="107"/>
      <c r="D568" s="107"/>
      <c r="E568" s="107"/>
      <c r="F568" s="107"/>
      <c r="G568" s="107"/>
      <c r="H568" s="107"/>
    </row>
    <row r="569" spans="2:8" x14ac:dyDescent="0.25">
      <c r="B569" s="107"/>
      <c r="C569" s="107"/>
      <c r="D569" s="107"/>
      <c r="E569" s="107"/>
      <c r="F569" s="107"/>
      <c r="G569" s="107"/>
      <c r="H569" s="107"/>
    </row>
    <row r="570" spans="2:8" x14ac:dyDescent="0.25">
      <c r="B570" s="107"/>
      <c r="C570" s="107"/>
      <c r="D570" s="107"/>
      <c r="E570" s="107"/>
      <c r="F570" s="107"/>
      <c r="G570" s="107"/>
      <c r="H570" s="107"/>
    </row>
    <row r="571" spans="2:8" x14ac:dyDescent="0.25">
      <c r="B571" s="107"/>
      <c r="C571" s="107"/>
      <c r="D571" s="107"/>
      <c r="E571" s="107"/>
      <c r="F571" s="107"/>
      <c r="G571" s="107"/>
      <c r="H571" s="107"/>
    </row>
    <row r="572" spans="2:8" x14ac:dyDescent="0.25">
      <c r="B572" s="107"/>
      <c r="C572" s="107"/>
      <c r="D572" s="107"/>
      <c r="E572" s="107"/>
      <c r="F572" s="107"/>
      <c r="G572" s="107"/>
      <c r="H572" s="107"/>
    </row>
    <row r="573" spans="2:8" x14ac:dyDescent="0.25">
      <c r="B573" s="107"/>
      <c r="C573" s="107"/>
      <c r="D573" s="107"/>
      <c r="E573" s="107"/>
      <c r="F573" s="107"/>
      <c r="G573" s="107"/>
      <c r="H573" s="107"/>
    </row>
    <row r="574" spans="2:8" x14ac:dyDescent="0.25">
      <c r="B574" s="107"/>
      <c r="C574" s="107"/>
      <c r="D574" s="107"/>
      <c r="E574" s="107"/>
      <c r="F574" s="107"/>
      <c r="G574" s="107"/>
      <c r="H574" s="107"/>
    </row>
    <row r="575" spans="2:8" x14ac:dyDescent="0.25">
      <c r="B575" s="107"/>
      <c r="C575" s="107"/>
      <c r="D575" s="107"/>
      <c r="E575" s="107"/>
      <c r="F575" s="107"/>
      <c r="G575" s="107"/>
      <c r="H575" s="107"/>
    </row>
    <row r="576" spans="2:8" x14ac:dyDescent="0.25">
      <c r="B576" s="107"/>
      <c r="C576" s="107"/>
      <c r="D576" s="107"/>
      <c r="E576" s="107"/>
      <c r="F576" s="107"/>
      <c r="G576" s="107"/>
      <c r="H576" s="107"/>
    </row>
    <row r="577" spans="2:8" x14ac:dyDescent="0.25">
      <c r="B577" s="107"/>
      <c r="C577" s="107"/>
      <c r="D577" s="107"/>
      <c r="E577" s="107"/>
      <c r="F577" s="107"/>
      <c r="G577" s="107"/>
      <c r="H577" s="107"/>
    </row>
    <row r="578" spans="2:8" x14ac:dyDescent="0.25">
      <c r="B578" s="107"/>
      <c r="C578" s="107"/>
      <c r="D578" s="107"/>
      <c r="E578" s="107"/>
      <c r="F578" s="107"/>
      <c r="G578" s="107"/>
      <c r="H578" s="107"/>
    </row>
    <row r="579" spans="2:8" x14ac:dyDescent="0.25">
      <c r="B579" s="107"/>
      <c r="C579" s="107"/>
      <c r="D579" s="107"/>
      <c r="E579" s="107"/>
      <c r="F579" s="107"/>
      <c r="G579" s="107"/>
      <c r="H579" s="107"/>
    </row>
    <row r="580" spans="2:8" x14ac:dyDescent="0.25">
      <c r="B580" s="107"/>
      <c r="C580" s="107"/>
      <c r="D580" s="107"/>
      <c r="E580" s="107"/>
      <c r="F580" s="107"/>
      <c r="G580" s="107"/>
      <c r="H580" s="107"/>
    </row>
    <row r="581" spans="2:8" x14ac:dyDescent="0.25">
      <c r="B581" s="107"/>
      <c r="C581" s="107"/>
      <c r="D581" s="107"/>
      <c r="E581" s="107"/>
      <c r="F581" s="107"/>
      <c r="G581" s="107"/>
      <c r="H581" s="107"/>
    </row>
    <row r="582" spans="2:8" x14ac:dyDescent="0.25">
      <c r="B582" s="107"/>
      <c r="C582" s="107"/>
      <c r="D582" s="107"/>
      <c r="E582" s="107"/>
      <c r="F582" s="107"/>
      <c r="G582" s="107"/>
      <c r="H582" s="107"/>
    </row>
    <row r="583" spans="2:8" x14ac:dyDescent="0.25">
      <c r="B583" s="107"/>
      <c r="C583" s="107"/>
      <c r="D583" s="107"/>
      <c r="E583" s="107"/>
      <c r="F583" s="107"/>
      <c r="G583" s="107"/>
      <c r="H583" s="107"/>
    </row>
    <row r="584" spans="2:8" x14ac:dyDescent="0.25">
      <c r="B584" s="107"/>
      <c r="C584" s="107"/>
      <c r="D584" s="107"/>
      <c r="E584" s="107"/>
      <c r="F584" s="107"/>
      <c r="G584" s="107"/>
      <c r="H584" s="107"/>
    </row>
    <row r="585" spans="2:8" x14ac:dyDescent="0.25">
      <c r="B585" s="107"/>
      <c r="C585" s="107"/>
      <c r="D585" s="107"/>
      <c r="E585" s="107"/>
      <c r="F585" s="107"/>
      <c r="G585" s="107"/>
      <c r="H585" s="107"/>
    </row>
    <row r="586" spans="2:8" x14ac:dyDescent="0.25">
      <c r="B586" s="107"/>
      <c r="C586" s="107"/>
      <c r="D586" s="107"/>
      <c r="E586" s="107"/>
      <c r="F586" s="107"/>
      <c r="G586" s="107"/>
      <c r="H586" s="107"/>
    </row>
    <row r="587" spans="2:8" x14ac:dyDescent="0.25">
      <c r="B587" s="107"/>
      <c r="C587" s="107"/>
      <c r="D587" s="107"/>
      <c r="E587" s="107"/>
      <c r="F587" s="107"/>
      <c r="G587" s="107"/>
      <c r="H587" s="107"/>
    </row>
    <row r="588" spans="2:8" x14ac:dyDescent="0.25">
      <c r="B588" s="107"/>
      <c r="C588" s="107"/>
      <c r="D588" s="107"/>
      <c r="E588" s="107"/>
      <c r="F588" s="107"/>
      <c r="G588" s="107"/>
      <c r="H588" s="107"/>
    </row>
    <row r="589" spans="2:8" x14ac:dyDescent="0.25">
      <c r="B589" s="107"/>
      <c r="C589" s="107"/>
      <c r="D589" s="107"/>
      <c r="E589" s="107"/>
      <c r="F589" s="107"/>
      <c r="G589" s="107"/>
      <c r="H589" s="107"/>
    </row>
    <row r="590" spans="2:8" x14ac:dyDescent="0.25">
      <c r="B590" s="107"/>
      <c r="C590" s="107"/>
      <c r="D590" s="107"/>
      <c r="E590" s="107"/>
      <c r="F590" s="107"/>
      <c r="G590" s="107"/>
      <c r="H590" s="107"/>
    </row>
    <row r="591" spans="2:8" x14ac:dyDescent="0.25">
      <c r="B591" s="107"/>
      <c r="C591" s="107"/>
      <c r="D591" s="107"/>
      <c r="E591" s="107"/>
      <c r="F591" s="107"/>
      <c r="G591" s="107"/>
      <c r="H591" s="107"/>
    </row>
    <row r="592" spans="2:8" x14ac:dyDescent="0.25">
      <c r="B592" s="107"/>
      <c r="C592" s="107"/>
      <c r="D592" s="107"/>
      <c r="E592" s="107"/>
      <c r="F592" s="107"/>
      <c r="G592" s="107"/>
      <c r="H592" s="107"/>
    </row>
    <row r="593" spans="2:8" x14ac:dyDescent="0.25">
      <c r="B593" s="107"/>
      <c r="C593" s="107"/>
      <c r="D593" s="107"/>
      <c r="E593" s="107"/>
      <c r="F593" s="107"/>
      <c r="G593" s="107"/>
      <c r="H593" s="107"/>
    </row>
    <row r="594" spans="2:8" x14ac:dyDescent="0.25">
      <c r="B594" s="107"/>
      <c r="C594" s="107"/>
      <c r="D594" s="107"/>
      <c r="E594" s="107"/>
      <c r="F594" s="107"/>
      <c r="G594" s="107"/>
      <c r="H594" s="107"/>
    </row>
    <row r="595" spans="2:8" x14ac:dyDescent="0.25">
      <c r="B595" s="107"/>
      <c r="C595" s="107"/>
      <c r="D595" s="107"/>
      <c r="E595" s="107"/>
      <c r="F595" s="107"/>
      <c r="G595" s="107"/>
      <c r="H595" s="107"/>
    </row>
    <row r="596" spans="2:8" x14ac:dyDescent="0.25">
      <c r="B596" s="107"/>
      <c r="C596" s="107"/>
      <c r="D596" s="107"/>
      <c r="E596" s="107"/>
      <c r="F596" s="107"/>
      <c r="G596" s="107"/>
      <c r="H596" s="107"/>
    </row>
    <row r="597" spans="2:8" x14ac:dyDescent="0.25">
      <c r="B597" s="107"/>
      <c r="C597" s="107"/>
      <c r="D597" s="107"/>
      <c r="E597" s="107"/>
      <c r="F597" s="107"/>
      <c r="G597" s="107"/>
      <c r="H597" s="107"/>
    </row>
    <row r="598" spans="2:8" x14ac:dyDescent="0.25">
      <c r="B598" s="107"/>
      <c r="C598" s="107"/>
      <c r="D598" s="107"/>
      <c r="E598" s="107"/>
      <c r="F598" s="107"/>
      <c r="G598" s="107"/>
      <c r="H598" s="107"/>
    </row>
    <row r="599" spans="2:8" x14ac:dyDescent="0.25">
      <c r="B599" s="107"/>
      <c r="C599" s="107"/>
      <c r="D599" s="107"/>
      <c r="E599" s="107"/>
      <c r="F599" s="107"/>
      <c r="G599" s="107"/>
      <c r="H599" s="107"/>
    </row>
    <row r="600" spans="2:8" x14ac:dyDescent="0.25">
      <c r="B600" s="107"/>
      <c r="C600" s="107"/>
      <c r="D600" s="107"/>
      <c r="E600" s="107"/>
      <c r="F600" s="107"/>
      <c r="G600" s="107"/>
      <c r="H600" s="107"/>
    </row>
    <row r="601" spans="2:8" x14ac:dyDescent="0.25">
      <c r="B601" s="107"/>
      <c r="C601" s="107"/>
      <c r="D601" s="107"/>
      <c r="E601" s="107"/>
      <c r="F601" s="107"/>
      <c r="G601" s="107"/>
      <c r="H601" s="107"/>
    </row>
    <row r="602" spans="2:8" x14ac:dyDescent="0.25">
      <c r="B602" s="107"/>
      <c r="C602" s="107"/>
      <c r="D602" s="107"/>
      <c r="E602" s="107"/>
      <c r="F602" s="107"/>
      <c r="G602" s="107"/>
      <c r="H602" s="107"/>
    </row>
    <row r="603" spans="2:8" x14ac:dyDescent="0.25">
      <c r="B603" s="107"/>
      <c r="C603" s="107"/>
      <c r="D603" s="107"/>
      <c r="E603" s="107"/>
      <c r="F603" s="107"/>
      <c r="G603" s="107"/>
      <c r="H603" s="107"/>
    </row>
    <row r="604" spans="2:8" x14ac:dyDescent="0.25">
      <c r="B604" s="107"/>
      <c r="C604" s="107"/>
      <c r="D604" s="107"/>
      <c r="E604" s="107"/>
      <c r="F604" s="107"/>
      <c r="G604" s="107"/>
      <c r="H604" s="107"/>
    </row>
    <row r="605" spans="2:8" x14ac:dyDescent="0.25">
      <c r="B605" s="107"/>
      <c r="C605" s="107"/>
      <c r="D605" s="107"/>
      <c r="E605" s="107"/>
      <c r="F605" s="107"/>
      <c r="G605" s="107"/>
      <c r="H605" s="107"/>
    </row>
    <row r="606" spans="2:8" x14ac:dyDescent="0.25">
      <c r="B606" s="107"/>
      <c r="C606" s="107"/>
      <c r="D606" s="107"/>
      <c r="E606" s="107"/>
      <c r="F606" s="107"/>
      <c r="G606" s="107"/>
      <c r="H606" s="107"/>
    </row>
    <row r="607" spans="2:8" x14ac:dyDescent="0.25">
      <c r="B607" s="107"/>
      <c r="C607" s="107"/>
      <c r="D607" s="107"/>
      <c r="E607" s="107"/>
      <c r="F607" s="107"/>
      <c r="G607" s="107"/>
      <c r="H607" s="107"/>
    </row>
    <row r="608" spans="2:8" x14ac:dyDescent="0.25">
      <c r="B608" s="107"/>
      <c r="C608" s="107"/>
      <c r="D608" s="107"/>
      <c r="E608" s="107"/>
      <c r="F608" s="107"/>
      <c r="G608" s="107"/>
      <c r="H608" s="107"/>
    </row>
    <row r="609" spans="2:8" x14ac:dyDescent="0.25">
      <c r="B609" s="107"/>
      <c r="C609" s="107"/>
      <c r="D609" s="107"/>
      <c r="E609" s="107"/>
      <c r="F609" s="107"/>
      <c r="G609" s="107"/>
      <c r="H609" s="107"/>
    </row>
    <row r="610" spans="2:8" x14ac:dyDescent="0.25">
      <c r="B610" s="107"/>
      <c r="C610" s="107"/>
      <c r="D610" s="107"/>
      <c r="E610" s="107"/>
      <c r="F610" s="107"/>
      <c r="G610" s="107"/>
      <c r="H610" s="107"/>
    </row>
    <row r="611" spans="2:8" x14ac:dyDescent="0.25">
      <c r="B611" s="107"/>
      <c r="C611" s="107"/>
      <c r="D611" s="107"/>
      <c r="E611" s="107"/>
      <c r="F611" s="107"/>
      <c r="G611" s="107"/>
      <c r="H611" s="107"/>
    </row>
    <row r="612" spans="2:8" x14ac:dyDescent="0.25">
      <c r="B612" s="107"/>
      <c r="C612" s="107"/>
      <c r="D612" s="107"/>
      <c r="E612" s="107"/>
      <c r="F612" s="107"/>
      <c r="G612" s="107"/>
      <c r="H612" s="107"/>
    </row>
    <row r="613" spans="2:8" x14ac:dyDescent="0.25">
      <c r="B613" s="107"/>
      <c r="C613" s="107"/>
      <c r="D613" s="107"/>
      <c r="E613" s="107"/>
      <c r="F613" s="107"/>
      <c r="G613" s="107"/>
      <c r="H613" s="107"/>
    </row>
    <row r="614" spans="2:8" x14ac:dyDescent="0.25">
      <c r="B614" s="107"/>
      <c r="C614" s="107"/>
      <c r="D614" s="107"/>
      <c r="E614" s="107"/>
      <c r="F614" s="107"/>
      <c r="G614" s="107"/>
      <c r="H614" s="107"/>
    </row>
    <row r="615" spans="2:8" x14ac:dyDescent="0.25">
      <c r="B615" s="107"/>
      <c r="C615" s="107"/>
      <c r="D615" s="107"/>
      <c r="E615" s="107"/>
      <c r="F615" s="107"/>
      <c r="G615" s="107"/>
      <c r="H615" s="107"/>
    </row>
    <row r="616" spans="2:8" x14ac:dyDescent="0.25">
      <c r="B616" s="107"/>
      <c r="C616" s="107"/>
      <c r="D616" s="107"/>
      <c r="E616" s="107"/>
      <c r="F616" s="107"/>
      <c r="G616" s="107"/>
      <c r="H616" s="107"/>
    </row>
    <row r="617" spans="2:8" x14ac:dyDescent="0.25">
      <c r="B617" s="107"/>
      <c r="C617" s="107"/>
      <c r="D617" s="107"/>
      <c r="E617" s="107"/>
      <c r="F617" s="107"/>
      <c r="G617" s="107"/>
      <c r="H617" s="107"/>
    </row>
    <row r="618" spans="2:8" x14ac:dyDescent="0.25">
      <c r="B618" s="107"/>
      <c r="C618" s="107"/>
      <c r="D618" s="107"/>
      <c r="E618" s="107"/>
      <c r="F618" s="107"/>
      <c r="G618" s="107"/>
      <c r="H618" s="107"/>
    </row>
    <row r="619" spans="2:8" x14ac:dyDescent="0.25">
      <c r="B619" s="107"/>
      <c r="C619" s="107"/>
      <c r="D619" s="107"/>
      <c r="E619" s="107"/>
      <c r="F619" s="107"/>
      <c r="G619" s="107"/>
      <c r="H619" s="107"/>
    </row>
    <row r="620" spans="2:8" x14ac:dyDescent="0.25">
      <c r="B620" s="107"/>
      <c r="C620" s="107"/>
      <c r="D620" s="107"/>
      <c r="E620" s="107"/>
      <c r="F620" s="107"/>
      <c r="G620" s="107"/>
      <c r="H620" s="107"/>
    </row>
    <row r="621" spans="2:8" x14ac:dyDescent="0.25">
      <c r="B621" s="107"/>
      <c r="C621" s="107"/>
      <c r="D621" s="107"/>
      <c r="E621" s="107"/>
      <c r="F621" s="107"/>
      <c r="G621" s="107"/>
      <c r="H621" s="107"/>
    </row>
    <row r="622" spans="2:8" x14ac:dyDescent="0.25">
      <c r="B622" s="107"/>
      <c r="C622" s="107"/>
      <c r="D622" s="107"/>
      <c r="E622" s="107"/>
      <c r="F622" s="107"/>
      <c r="G622" s="107"/>
      <c r="H622" s="107"/>
    </row>
    <row r="623" spans="2:8" x14ac:dyDescent="0.25">
      <c r="B623" s="107"/>
      <c r="C623" s="107"/>
      <c r="D623" s="107"/>
      <c r="E623" s="107"/>
      <c r="F623" s="107"/>
      <c r="G623" s="107"/>
      <c r="H623" s="107"/>
    </row>
    <row r="624" spans="2:8" x14ac:dyDescent="0.25">
      <c r="B624" s="107"/>
      <c r="C624" s="107"/>
      <c r="D624" s="107"/>
      <c r="E624" s="107"/>
      <c r="F624" s="107"/>
      <c r="G624" s="107"/>
      <c r="H624" s="107"/>
    </row>
    <row r="625" spans="2:8" x14ac:dyDescent="0.25">
      <c r="B625" s="107"/>
      <c r="C625" s="107"/>
      <c r="D625" s="107"/>
      <c r="E625" s="107"/>
      <c r="F625" s="107"/>
      <c r="G625" s="107"/>
      <c r="H625" s="107"/>
    </row>
    <row r="626" spans="2:8" x14ac:dyDescent="0.25">
      <c r="B626" s="107"/>
      <c r="C626" s="107"/>
      <c r="D626" s="107"/>
      <c r="E626" s="107"/>
      <c r="F626" s="107"/>
      <c r="G626" s="107"/>
      <c r="H626" s="107"/>
    </row>
    <row r="627" spans="2:8" x14ac:dyDescent="0.25">
      <c r="B627" s="107"/>
      <c r="C627" s="107"/>
      <c r="D627" s="107"/>
      <c r="E627" s="107"/>
      <c r="F627" s="107"/>
      <c r="G627" s="107"/>
      <c r="H627" s="107"/>
    </row>
    <row r="628" spans="2:8" x14ac:dyDescent="0.25">
      <c r="B628" s="107"/>
      <c r="C628" s="107"/>
      <c r="D628" s="107"/>
      <c r="E628" s="107"/>
      <c r="F628" s="107"/>
      <c r="G628" s="107"/>
      <c r="H628" s="107"/>
    </row>
    <row r="629" spans="2:8" x14ac:dyDescent="0.25">
      <c r="B629" s="107"/>
      <c r="C629" s="107"/>
      <c r="D629" s="107"/>
      <c r="E629" s="107"/>
      <c r="F629" s="107"/>
      <c r="G629" s="107"/>
      <c r="H629" s="107"/>
    </row>
    <row r="630" spans="2:8" x14ac:dyDescent="0.25">
      <c r="B630" s="107"/>
      <c r="C630" s="107"/>
      <c r="D630" s="107"/>
      <c r="E630" s="107"/>
      <c r="F630" s="107"/>
      <c r="G630" s="107"/>
      <c r="H630" s="107"/>
    </row>
    <row r="631" spans="2:8" x14ac:dyDescent="0.25">
      <c r="B631" s="107"/>
      <c r="C631" s="107"/>
      <c r="D631" s="107"/>
      <c r="E631" s="107"/>
      <c r="F631" s="107"/>
      <c r="G631" s="107"/>
      <c r="H631" s="107"/>
    </row>
    <row r="632" spans="2:8" x14ac:dyDescent="0.25">
      <c r="B632" s="107"/>
      <c r="C632" s="107"/>
      <c r="D632" s="107"/>
      <c r="E632" s="107"/>
      <c r="F632" s="107"/>
      <c r="G632" s="107"/>
      <c r="H632" s="107"/>
    </row>
    <row r="633" spans="2:8" x14ac:dyDescent="0.25">
      <c r="B633" s="107"/>
      <c r="C633" s="107"/>
      <c r="D633" s="107"/>
      <c r="E633" s="107"/>
      <c r="F633" s="107"/>
      <c r="G633" s="107"/>
      <c r="H633" s="107"/>
    </row>
    <row r="634" spans="2:8" x14ac:dyDescent="0.25">
      <c r="B634" s="107"/>
      <c r="C634" s="107"/>
      <c r="D634" s="107"/>
      <c r="E634" s="107"/>
      <c r="F634" s="107"/>
      <c r="G634" s="107"/>
      <c r="H634" s="107"/>
    </row>
    <row r="635" spans="2:8" x14ac:dyDescent="0.25">
      <c r="B635" s="107"/>
      <c r="C635" s="107"/>
      <c r="D635" s="107"/>
      <c r="E635" s="107"/>
      <c r="F635" s="107"/>
      <c r="G635" s="107"/>
      <c r="H635" s="107"/>
    </row>
    <row r="636" spans="2:8" x14ac:dyDescent="0.25">
      <c r="B636" s="107"/>
      <c r="C636" s="107"/>
      <c r="D636" s="107"/>
      <c r="E636" s="107"/>
      <c r="F636" s="107"/>
      <c r="G636" s="107"/>
      <c r="H636" s="107"/>
    </row>
    <row r="637" spans="2:8" x14ac:dyDescent="0.25">
      <c r="B637" s="107"/>
      <c r="C637" s="107"/>
      <c r="D637" s="107"/>
      <c r="E637" s="107"/>
      <c r="F637" s="107"/>
      <c r="G637" s="107"/>
      <c r="H637" s="107"/>
    </row>
    <row r="638" spans="2:8" x14ac:dyDescent="0.25">
      <c r="B638" s="107"/>
      <c r="C638" s="107"/>
      <c r="D638" s="107"/>
      <c r="E638" s="107"/>
      <c r="F638" s="107"/>
      <c r="G638" s="107"/>
      <c r="H638" s="107"/>
    </row>
    <row r="639" spans="2:8" x14ac:dyDescent="0.25">
      <c r="B639" s="107"/>
      <c r="C639" s="107"/>
      <c r="D639" s="107"/>
      <c r="E639" s="107"/>
      <c r="F639" s="107"/>
      <c r="G639" s="107"/>
      <c r="H639" s="107"/>
    </row>
    <row r="640" spans="2:8" x14ac:dyDescent="0.25">
      <c r="B640" s="107"/>
      <c r="C640" s="107"/>
      <c r="D640" s="107"/>
      <c r="E640" s="107"/>
      <c r="F640" s="107"/>
      <c r="G640" s="107"/>
      <c r="H640" s="107"/>
    </row>
    <row r="641" spans="2:8" x14ac:dyDescent="0.25">
      <c r="B641" s="107"/>
      <c r="C641" s="107"/>
      <c r="D641" s="107"/>
      <c r="E641" s="107"/>
      <c r="F641" s="107"/>
      <c r="G641" s="107"/>
      <c r="H641" s="107"/>
    </row>
    <row r="642" spans="2:8" x14ac:dyDescent="0.25">
      <c r="B642" s="107"/>
      <c r="C642" s="107"/>
      <c r="D642" s="107"/>
      <c r="E642" s="107"/>
      <c r="F642" s="107"/>
      <c r="G642" s="107"/>
      <c r="H642" s="107"/>
    </row>
    <row r="643" spans="2:8" x14ac:dyDescent="0.25">
      <c r="B643" s="107"/>
      <c r="C643" s="107"/>
      <c r="D643" s="107"/>
      <c r="E643" s="107"/>
      <c r="F643" s="107"/>
      <c r="G643" s="107"/>
      <c r="H643" s="107"/>
    </row>
    <row r="644" spans="2:8" x14ac:dyDescent="0.25">
      <c r="B644" s="107"/>
      <c r="C644" s="107"/>
      <c r="D644" s="107"/>
      <c r="E644" s="107"/>
      <c r="F644" s="107"/>
      <c r="G644" s="107"/>
      <c r="H644" s="107"/>
    </row>
    <row r="645" spans="2:8" x14ac:dyDescent="0.25">
      <c r="B645" s="107"/>
      <c r="C645" s="107"/>
      <c r="D645" s="107"/>
      <c r="E645" s="107"/>
      <c r="F645" s="107"/>
      <c r="G645" s="107"/>
      <c r="H645" s="107"/>
    </row>
    <row r="646" spans="2:8" x14ac:dyDescent="0.25">
      <c r="B646" s="107"/>
      <c r="C646" s="107"/>
      <c r="D646" s="107"/>
      <c r="E646" s="107"/>
      <c r="F646" s="107"/>
      <c r="G646" s="107"/>
      <c r="H646" s="107"/>
    </row>
    <row r="647" spans="2:8" x14ac:dyDescent="0.25">
      <c r="B647" s="107"/>
      <c r="C647" s="107"/>
      <c r="D647" s="107"/>
      <c r="E647" s="107"/>
      <c r="F647" s="107"/>
      <c r="G647" s="107"/>
      <c r="H647" s="107"/>
    </row>
    <row r="648" spans="2:8" x14ac:dyDescent="0.25">
      <c r="B648" s="107"/>
      <c r="C648" s="107"/>
      <c r="D648" s="107"/>
      <c r="E648" s="107"/>
      <c r="F648" s="107"/>
      <c r="G648" s="107"/>
      <c r="H648" s="107"/>
    </row>
    <row r="649" spans="2:8" x14ac:dyDescent="0.25">
      <c r="B649" s="107"/>
      <c r="C649" s="107"/>
      <c r="D649" s="107"/>
      <c r="E649" s="107"/>
      <c r="F649" s="107"/>
      <c r="G649" s="107"/>
      <c r="H649" s="107"/>
    </row>
    <row r="650" spans="2:8" x14ac:dyDescent="0.25">
      <c r="B650" s="107"/>
      <c r="C650" s="107"/>
      <c r="D650" s="107"/>
      <c r="E650" s="107"/>
      <c r="F650" s="107"/>
      <c r="G650" s="107"/>
      <c r="H650" s="107"/>
    </row>
    <row r="651" spans="2:8" x14ac:dyDescent="0.25">
      <c r="B651" s="107"/>
      <c r="C651" s="107"/>
      <c r="D651" s="107"/>
      <c r="E651" s="107"/>
      <c r="F651" s="107"/>
      <c r="G651" s="107"/>
      <c r="H651" s="107"/>
    </row>
    <row r="652" spans="2:8" x14ac:dyDescent="0.25">
      <c r="B652" s="107"/>
      <c r="C652" s="107"/>
      <c r="D652" s="107"/>
      <c r="E652" s="107"/>
      <c r="F652" s="107"/>
      <c r="G652" s="107"/>
      <c r="H652" s="107"/>
    </row>
    <row r="653" spans="2:8" x14ac:dyDescent="0.25">
      <c r="B653" s="107"/>
      <c r="C653" s="107"/>
      <c r="D653" s="107"/>
      <c r="E653" s="107"/>
      <c r="F653" s="107"/>
      <c r="G653" s="107"/>
      <c r="H653" s="107"/>
    </row>
    <row r="654" spans="2:8" x14ac:dyDescent="0.25">
      <c r="B654" s="107"/>
      <c r="C654" s="107"/>
      <c r="D654" s="107"/>
      <c r="E654" s="107"/>
      <c r="F654" s="107"/>
      <c r="G654" s="107"/>
      <c r="H654" s="107"/>
    </row>
    <row r="655" spans="2:8" x14ac:dyDescent="0.25">
      <c r="B655" s="107"/>
      <c r="C655" s="107"/>
      <c r="D655" s="107"/>
      <c r="E655" s="107"/>
      <c r="F655" s="107"/>
      <c r="G655" s="107"/>
      <c r="H655" s="107"/>
    </row>
    <row r="656" spans="2:8" x14ac:dyDescent="0.25">
      <c r="B656" s="107"/>
      <c r="C656" s="107"/>
      <c r="D656" s="107"/>
      <c r="E656" s="107"/>
      <c r="F656" s="107"/>
      <c r="G656" s="107"/>
      <c r="H656" s="107"/>
    </row>
    <row r="657" spans="2:8" x14ac:dyDescent="0.25">
      <c r="B657" s="107"/>
      <c r="C657" s="107"/>
      <c r="D657" s="107"/>
      <c r="E657" s="107"/>
      <c r="F657" s="107"/>
      <c r="G657" s="107"/>
      <c r="H657" s="107"/>
    </row>
    <row r="658" spans="2:8" x14ac:dyDescent="0.25">
      <c r="B658" s="107"/>
      <c r="C658" s="107"/>
      <c r="D658" s="107"/>
      <c r="E658" s="107"/>
      <c r="F658" s="107"/>
      <c r="G658" s="107"/>
      <c r="H658" s="107"/>
    </row>
    <row r="659" spans="2:8" x14ac:dyDescent="0.25">
      <c r="B659" s="107"/>
      <c r="C659" s="107"/>
      <c r="D659" s="107"/>
      <c r="E659" s="107"/>
      <c r="F659" s="107"/>
      <c r="G659" s="107"/>
      <c r="H659" s="107"/>
    </row>
    <row r="660" spans="2:8" x14ac:dyDescent="0.25">
      <c r="B660" s="107"/>
      <c r="C660" s="107"/>
      <c r="D660" s="107"/>
      <c r="E660" s="107"/>
      <c r="F660" s="107"/>
      <c r="G660" s="107"/>
      <c r="H660" s="107"/>
    </row>
    <row r="661" spans="2:8" x14ac:dyDescent="0.25">
      <c r="B661" s="107"/>
      <c r="C661" s="107"/>
      <c r="D661" s="107"/>
      <c r="E661" s="107"/>
      <c r="F661" s="107"/>
      <c r="G661" s="107"/>
      <c r="H661" s="107"/>
    </row>
    <row r="662" spans="2:8" x14ac:dyDescent="0.25">
      <c r="B662" s="107"/>
      <c r="C662" s="107"/>
      <c r="D662" s="107"/>
      <c r="E662" s="107"/>
      <c r="F662" s="107"/>
      <c r="G662" s="107"/>
      <c r="H662" s="107"/>
    </row>
    <row r="663" spans="2:8" x14ac:dyDescent="0.25">
      <c r="B663" s="107"/>
      <c r="C663" s="107"/>
      <c r="D663" s="107"/>
      <c r="E663" s="107"/>
      <c r="F663" s="107"/>
      <c r="G663" s="107"/>
      <c r="H663" s="107"/>
    </row>
    <row r="664" spans="2:8" x14ac:dyDescent="0.25">
      <c r="B664" s="107"/>
      <c r="C664" s="107"/>
      <c r="D664" s="107"/>
      <c r="E664" s="107"/>
      <c r="F664" s="107"/>
      <c r="G664" s="107"/>
      <c r="H664" s="107"/>
    </row>
    <row r="665" spans="2:8" x14ac:dyDescent="0.25">
      <c r="B665" s="107"/>
      <c r="C665" s="107"/>
      <c r="D665" s="107"/>
      <c r="E665" s="107"/>
      <c r="F665" s="107"/>
      <c r="G665" s="107"/>
      <c r="H665" s="107"/>
    </row>
    <row r="666" spans="2:8" x14ac:dyDescent="0.25">
      <c r="B666" s="107"/>
      <c r="C666" s="107"/>
      <c r="D666" s="107"/>
      <c r="E666" s="107"/>
      <c r="F666" s="107"/>
      <c r="G666" s="107"/>
      <c r="H666" s="107"/>
    </row>
    <row r="667" spans="2:8" x14ac:dyDescent="0.25">
      <c r="B667" s="107"/>
      <c r="C667" s="107"/>
      <c r="D667" s="107"/>
      <c r="E667" s="107"/>
      <c r="F667" s="107"/>
      <c r="G667" s="107"/>
      <c r="H667" s="107"/>
    </row>
    <row r="668" spans="2:8" x14ac:dyDescent="0.25">
      <c r="B668" s="107"/>
      <c r="C668" s="107"/>
      <c r="D668" s="107"/>
      <c r="E668" s="107"/>
      <c r="F668" s="107"/>
      <c r="G668" s="107"/>
      <c r="H668" s="107"/>
    </row>
    <row r="669" spans="2:8" x14ac:dyDescent="0.25">
      <c r="B669" s="107"/>
      <c r="C669" s="107"/>
      <c r="D669" s="107"/>
      <c r="E669" s="107"/>
      <c r="F669" s="107"/>
      <c r="G669" s="107"/>
      <c r="H669" s="107"/>
    </row>
    <row r="670" spans="2:8" x14ac:dyDescent="0.25">
      <c r="B670" s="107"/>
      <c r="C670" s="107"/>
      <c r="D670" s="107"/>
      <c r="E670" s="107"/>
      <c r="F670" s="107"/>
      <c r="G670" s="107"/>
      <c r="H670" s="107"/>
    </row>
    <row r="671" spans="2:8" x14ac:dyDescent="0.25">
      <c r="B671" s="107"/>
      <c r="C671" s="107"/>
      <c r="D671" s="107"/>
      <c r="E671" s="107"/>
      <c r="F671" s="107"/>
      <c r="G671" s="107"/>
      <c r="H671" s="107"/>
    </row>
    <row r="672" spans="2:8" x14ac:dyDescent="0.25">
      <c r="B672" s="107"/>
      <c r="C672" s="107"/>
      <c r="D672" s="107"/>
      <c r="E672" s="107"/>
      <c r="F672" s="107"/>
      <c r="G672" s="107"/>
      <c r="H672" s="107"/>
    </row>
    <row r="673" spans="2:8" x14ac:dyDescent="0.25">
      <c r="B673" s="107"/>
      <c r="C673" s="107"/>
      <c r="D673" s="107"/>
      <c r="E673" s="107"/>
      <c r="F673" s="107"/>
      <c r="G673" s="107"/>
      <c r="H673" s="107"/>
    </row>
    <row r="674" spans="2:8" x14ac:dyDescent="0.25">
      <c r="B674" s="107"/>
      <c r="C674" s="107"/>
      <c r="D674" s="107"/>
      <c r="E674" s="107"/>
      <c r="F674" s="107"/>
      <c r="G674" s="107"/>
      <c r="H674" s="107"/>
    </row>
    <row r="675" spans="2:8" x14ac:dyDescent="0.25">
      <c r="B675" s="107"/>
      <c r="C675" s="107"/>
      <c r="D675" s="107"/>
      <c r="E675" s="107"/>
      <c r="F675" s="107"/>
      <c r="G675" s="107"/>
      <c r="H675" s="107"/>
    </row>
    <row r="676" spans="2:8" x14ac:dyDescent="0.25">
      <c r="B676" s="107"/>
      <c r="C676" s="107"/>
      <c r="D676" s="107"/>
      <c r="E676" s="107"/>
      <c r="F676" s="107"/>
      <c r="G676" s="107"/>
      <c r="H676" s="107"/>
    </row>
    <row r="677" spans="2:8" x14ac:dyDescent="0.25">
      <c r="B677" s="107"/>
      <c r="C677" s="107"/>
      <c r="D677" s="107"/>
      <c r="E677" s="107"/>
      <c r="F677" s="107"/>
      <c r="G677" s="107"/>
      <c r="H677" s="107"/>
    </row>
    <row r="678" spans="2:8" x14ac:dyDescent="0.25">
      <c r="B678" s="107"/>
      <c r="C678" s="107"/>
      <c r="D678" s="107"/>
      <c r="E678" s="107"/>
      <c r="F678" s="107"/>
      <c r="G678" s="107"/>
      <c r="H678" s="107"/>
    </row>
    <row r="679" spans="2:8" x14ac:dyDescent="0.25">
      <c r="B679" s="107"/>
      <c r="C679" s="107"/>
      <c r="D679" s="107"/>
      <c r="E679" s="107"/>
      <c r="F679" s="107"/>
      <c r="G679" s="107"/>
      <c r="H679" s="107"/>
    </row>
    <row r="680" spans="2:8" x14ac:dyDescent="0.25">
      <c r="B680" s="107"/>
      <c r="C680" s="107"/>
      <c r="D680" s="107"/>
      <c r="E680" s="107"/>
      <c r="F680" s="107"/>
      <c r="G680" s="107"/>
      <c r="H680" s="107"/>
    </row>
    <row r="681" spans="2:8" x14ac:dyDescent="0.25">
      <c r="B681" s="107"/>
      <c r="C681" s="107"/>
      <c r="D681" s="107"/>
      <c r="E681" s="107"/>
      <c r="F681" s="107"/>
      <c r="G681" s="107"/>
      <c r="H681" s="107"/>
    </row>
    <row r="682" spans="2:8" x14ac:dyDescent="0.25">
      <c r="B682" s="107"/>
      <c r="C682" s="107"/>
      <c r="D682" s="107"/>
      <c r="E682" s="107"/>
      <c r="F682" s="107"/>
      <c r="G682" s="107"/>
      <c r="H682" s="107"/>
    </row>
    <row r="683" spans="2:8" x14ac:dyDescent="0.25">
      <c r="B683" s="107"/>
      <c r="C683" s="107"/>
      <c r="D683" s="107"/>
      <c r="E683" s="107"/>
      <c r="F683" s="107"/>
      <c r="G683" s="107"/>
      <c r="H683" s="107"/>
    </row>
    <row r="684" spans="2:8" x14ac:dyDescent="0.25">
      <c r="B684" s="107"/>
      <c r="C684" s="107"/>
      <c r="D684" s="107"/>
      <c r="E684" s="107"/>
      <c r="F684" s="107"/>
      <c r="G684" s="107"/>
      <c r="H684" s="107"/>
    </row>
    <row r="685" spans="2:8" x14ac:dyDescent="0.25">
      <c r="B685" s="107"/>
      <c r="C685" s="107"/>
      <c r="D685" s="107"/>
      <c r="E685" s="107"/>
      <c r="F685" s="107"/>
      <c r="G685" s="107"/>
      <c r="H685" s="107"/>
    </row>
    <row r="686" spans="2:8" x14ac:dyDescent="0.25">
      <c r="B686" s="107"/>
      <c r="C686" s="107"/>
      <c r="D686" s="107"/>
      <c r="E686" s="107"/>
      <c r="F686" s="107"/>
      <c r="G686" s="107"/>
      <c r="H686" s="107"/>
    </row>
    <row r="687" spans="2:8" x14ac:dyDescent="0.25">
      <c r="B687" s="107"/>
      <c r="C687" s="107"/>
      <c r="D687" s="107"/>
      <c r="E687" s="107"/>
      <c r="F687" s="107"/>
      <c r="G687" s="107"/>
      <c r="H687" s="107"/>
    </row>
    <row r="688" spans="2:8" x14ac:dyDescent="0.25">
      <c r="B688" s="107"/>
      <c r="C688" s="107"/>
      <c r="D688" s="107"/>
      <c r="E688" s="107"/>
      <c r="F688" s="107"/>
      <c r="G688" s="107"/>
      <c r="H688" s="107"/>
    </row>
    <row r="689" spans="2:8" x14ac:dyDescent="0.25">
      <c r="B689" s="107"/>
      <c r="C689" s="107"/>
      <c r="D689" s="107"/>
      <c r="E689" s="107"/>
      <c r="F689" s="107"/>
      <c r="G689" s="107"/>
      <c r="H689" s="107"/>
    </row>
    <row r="690" spans="2:8" x14ac:dyDescent="0.25">
      <c r="B690" s="107"/>
      <c r="C690" s="107"/>
      <c r="D690" s="107"/>
      <c r="E690" s="107"/>
      <c r="F690" s="107"/>
      <c r="G690" s="107"/>
      <c r="H690" s="107"/>
    </row>
    <row r="691" spans="2:8" x14ac:dyDescent="0.25">
      <c r="B691" s="107"/>
      <c r="C691" s="107"/>
      <c r="D691" s="107"/>
      <c r="E691" s="107"/>
      <c r="F691" s="107"/>
      <c r="G691" s="107"/>
      <c r="H691" s="107"/>
    </row>
    <row r="692" spans="2:8" x14ac:dyDescent="0.25">
      <c r="B692" s="107"/>
      <c r="C692" s="107"/>
      <c r="D692" s="107"/>
      <c r="E692" s="107"/>
      <c r="F692" s="107"/>
      <c r="G692" s="107"/>
      <c r="H692" s="107"/>
    </row>
    <row r="693" spans="2:8" x14ac:dyDescent="0.25">
      <c r="B693" s="107"/>
      <c r="C693" s="107"/>
      <c r="D693" s="107"/>
      <c r="E693" s="107"/>
      <c r="F693" s="107"/>
      <c r="G693" s="107"/>
      <c r="H693" s="107"/>
    </row>
    <row r="694" spans="2:8" x14ac:dyDescent="0.25">
      <c r="B694" s="107"/>
      <c r="C694" s="107"/>
      <c r="D694" s="107"/>
      <c r="E694" s="107"/>
      <c r="F694" s="107"/>
      <c r="G694" s="107"/>
      <c r="H694" s="107"/>
    </row>
    <row r="695" spans="2:8" x14ac:dyDescent="0.25">
      <c r="B695" s="107"/>
      <c r="C695" s="107"/>
      <c r="D695" s="107"/>
      <c r="E695" s="107"/>
      <c r="F695" s="107"/>
      <c r="G695" s="107"/>
      <c r="H695" s="107"/>
    </row>
    <row r="696" spans="2:8" x14ac:dyDescent="0.25">
      <c r="B696" s="107"/>
      <c r="C696" s="107"/>
      <c r="D696" s="107"/>
      <c r="E696" s="107"/>
      <c r="F696" s="107"/>
      <c r="G696" s="107"/>
      <c r="H696" s="107"/>
    </row>
    <row r="697" spans="2:8" x14ac:dyDescent="0.25">
      <c r="B697" s="107"/>
      <c r="C697" s="107"/>
      <c r="D697" s="107"/>
      <c r="E697" s="107"/>
      <c r="F697" s="107"/>
      <c r="G697" s="107"/>
      <c r="H697" s="107"/>
    </row>
    <row r="698" spans="2:8" x14ac:dyDescent="0.25">
      <c r="B698" s="107"/>
      <c r="C698" s="107"/>
      <c r="D698" s="107"/>
      <c r="E698" s="107"/>
      <c r="F698" s="107"/>
      <c r="G698" s="107"/>
      <c r="H698" s="107"/>
    </row>
    <row r="699" spans="2:8" x14ac:dyDescent="0.25">
      <c r="B699" s="107"/>
      <c r="C699" s="107"/>
      <c r="D699" s="107"/>
      <c r="E699" s="107"/>
      <c r="F699" s="107"/>
      <c r="G699" s="107"/>
      <c r="H699" s="107"/>
    </row>
    <row r="700" spans="2:8" x14ac:dyDescent="0.25">
      <c r="B700" s="107"/>
      <c r="C700" s="107"/>
      <c r="D700" s="107"/>
      <c r="E700" s="107"/>
      <c r="F700" s="107"/>
      <c r="G700" s="107"/>
      <c r="H700" s="107"/>
    </row>
    <row r="701" spans="2:8" x14ac:dyDescent="0.25">
      <c r="B701" s="107"/>
      <c r="C701" s="107"/>
      <c r="D701" s="107"/>
      <c r="E701" s="107"/>
      <c r="F701" s="107"/>
      <c r="G701" s="107"/>
      <c r="H701" s="107"/>
    </row>
    <row r="702" spans="2:8" x14ac:dyDescent="0.25">
      <c r="B702" s="107"/>
      <c r="C702" s="107"/>
      <c r="D702" s="107"/>
      <c r="E702" s="107"/>
      <c r="F702" s="107"/>
      <c r="G702" s="107"/>
      <c r="H702" s="107"/>
    </row>
    <row r="703" spans="2:8" x14ac:dyDescent="0.25">
      <c r="B703" s="107"/>
      <c r="C703" s="107"/>
      <c r="D703" s="107"/>
      <c r="E703" s="107"/>
      <c r="F703" s="107"/>
      <c r="G703" s="107"/>
      <c r="H703" s="107"/>
    </row>
    <row r="704" spans="2:8" x14ac:dyDescent="0.25">
      <c r="B704" s="107"/>
      <c r="C704" s="107"/>
      <c r="D704" s="107"/>
      <c r="E704" s="107"/>
      <c r="F704" s="107"/>
      <c r="G704" s="107"/>
      <c r="H704" s="107"/>
    </row>
    <row r="705" spans="2:8" x14ac:dyDescent="0.25">
      <c r="B705" s="107"/>
      <c r="C705" s="107"/>
      <c r="D705" s="107"/>
      <c r="E705" s="107"/>
      <c r="F705" s="107"/>
      <c r="G705" s="107"/>
      <c r="H705" s="107"/>
    </row>
    <row r="706" spans="2:8" x14ac:dyDescent="0.25">
      <c r="B706" s="107"/>
      <c r="C706" s="107"/>
      <c r="D706" s="107"/>
      <c r="E706" s="107"/>
      <c r="F706" s="107"/>
      <c r="G706" s="107"/>
      <c r="H706" s="107"/>
    </row>
    <row r="707" spans="2:8" x14ac:dyDescent="0.25">
      <c r="B707" s="107"/>
      <c r="C707" s="107"/>
      <c r="D707" s="107"/>
      <c r="E707" s="107"/>
      <c r="F707" s="107"/>
      <c r="G707" s="107"/>
      <c r="H707" s="107"/>
    </row>
    <row r="708" spans="2:8" x14ac:dyDescent="0.25">
      <c r="B708" s="107"/>
      <c r="C708" s="107"/>
      <c r="D708" s="107"/>
      <c r="E708" s="107"/>
      <c r="F708" s="107"/>
      <c r="G708" s="107"/>
      <c r="H708" s="107"/>
    </row>
    <row r="709" spans="2:8" x14ac:dyDescent="0.25">
      <c r="B709" s="107"/>
      <c r="C709" s="107"/>
      <c r="D709" s="107"/>
      <c r="E709" s="107"/>
      <c r="F709" s="107"/>
      <c r="G709" s="107"/>
      <c r="H709" s="107"/>
    </row>
    <row r="710" spans="2:8" x14ac:dyDescent="0.25">
      <c r="B710" s="107"/>
      <c r="C710" s="107"/>
      <c r="D710" s="107"/>
      <c r="E710" s="107"/>
      <c r="F710" s="107"/>
      <c r="G710" s="107"/>
      <c r="H710" s="107"/>
    </row>
    <row r="711" spans="2:8" x14ac:dyDescent="0.25">
      <c r="B711" s="107"/>
      <c r="C711" s="107"/>
      <c r="D711" s="107"/>
      <c r="E711" s="107"/>
      <c r="F711" s="107"/>
      <c r="G711" s="107"/>
      <c r="H711" s="107"/>
    </row>
    <row r="712" spans="2:8" x14ac:dyDescent="0.25">
      <c r="B712" s="107"/>
      <c r="C712" s="107"/>
      <c r="D712" s="107"/>
      <c r="E712" s="107"/>
      <c r="F712" s="107"/>
      <c r="G712" s="107"/>
      <c r="H712" s="107"/>
    </row>
    <row r="713" spans="2:8" x14ac:dyDescent="0.25">
      <c r="B713" s="107"/>
      <c r="C713" s="107"/>
      <c r="D713" s="107"/>
      <c r="E713" s="107"/>
      <c r="F713" s="107"/>
      <c r="G713" s="107"/>
      <c r="H713" s="107"/>
    </row>
    <row r="714" spans="2:8" x14ac:dyDescent="0.25">
      <c r="B714" s="107"/>
      <c r="C714" s="107"/>
      <c r="D714" s="107"/>
      <c r="E714" s="107"/>
      <c r="F714" s="107"/>
      <c r="G714" s="107"/>
      <c r="H714" s="107"/>
    </row>
    <row r="715" spans="2:8" x14ac:dyDescent="0.25">
      <c r="B715" s="107"/>
      <c r="C715" s="107"/>
      <c r="D715" s="107"/>
      <c r="E715" s="107"/>
      <c r="F715" s="107"/>
      <c r="G715" s="107"/>
      <c r="H715" s="107"/>
    </row>
    <row r="716" spans="2:8" x14ac:dyDescent="0.25">
      <c r="B716" s="107"/>
      <c r="C716" s="107"/>
      <c r="D716" s="107"/>
      <c r="E716" s="107"/>
      <c r="F716" s="107"/>
      <c r="G716" s="107"/>
      <c r="H716" s="107"/>
    </row>
    <row r="717" spans="2:8" x14ac:dyDescent="0.25">
      <c r="B717" s="107"/>
      <c r="C717" s="107"/>
      <c r="D717" s="107"/>
      <c r="E717" s="107"/>
      <c r="F717" s="107"/>
      <c r="G717" s="107"/>
      <c r="H717" s="107"/>
    </row>
    <row r="718" spans="2:8" x14ac:dyDescent="0.25">
      <c r="B718" s="107"/>
      <c r="C718" s="107"/>
      <c r="D718" s="107"/>
      <c r="E718" s="107"/>
      <c r="F718" s="107"/>
      <c r="G718" s="107"/>
      <c r="H718" s="107"/>
    </row>
    <row r="719" spans="2:8" x14ac:dyDescent="0.25">
      <c r="B719" s="107"/>
      <c r="C719" s="107"/>
      <c r="D719" s="107"/>
      <c r="E719" s="107"/>
      <c r="F719" s="107"/>
      <c r="G719" s="107"/>
      <c r="H719" s="107"/>
    </row>
    <row r="720" spans="2:8" x14ac:dyDescent="0.25">
      <c r="B720" s="107"/>
      <c r="C720" s="107"/>
      <c r="D720" s="107"/>
      <c r="E720" s="107"/>
      <c r="F720" s="107"/>
      <c r="G720" s="107"/>
      <c r="H720" s="107"/>
    </row>
    <row r="721" spans="2:8" x14ac:dyDescent="0.25">
      <c r="B721" s="107"/>
      <c r="C721" s="107"/>
      <c r="D721" s="107"/>
      <c r="E721" s="107"/>
      <c r="F721" s="107"/>
      <c r="G721" s="107"/>
      <c r="H721" s="107"/>
    </row>
    <row r="722" spans="2:8" x14ac:dyDescent="0.25">
      <c r="B722" s="107"/>
      <c r="C722" s="107"/>
      <c r="D722" s="107"/>
      <c r="E722" s="107"/>
      <c r="F722" s="107"/>
      <c r="G722" s="107"/>
      <c r="H722" s="107"/>
    </row>
    <row r="723" spans="2:8" x14ac:dyDescent="0.25">
      <c r="B723" s="107"/>
      <c r="C723" s="107"/>
      <c r="D723" s="107"/>
      <c r="E723" s="107"/>
      <c r="F723" s="107"/>
      <c r="G723" s="107"/>
      <c r="H723" s="107"/>
    </row>
    <row r="724" spans="2:8" x14ac:dyDescent="0.25">
      <c r="B724" s="107"/>
      <c r="C724" s="107"/>
      <c r="D724" s="107"/>
      <c r="E724" s="107"/>
      <c r="F724" s="107"/>
      <c r="G724" s="107"/>
      <c r="H724" s="107"/>
    </row>
    <row r="725" spans="2:8" x14ac:dyDescent="0.25">
      <c r="B725" s="107"/>
      <c r="C725" s="107"/>
      <c r="D725" s="107"/>
      <c r="E725" s="107"/>
      <c r="F725" s="107"/>
      <c r="G725" s="107"/>
      <c r="H725" s="107"/>
    </row>
    <row r="726" spans="2:8" x14ac:dyDescent="0.25">
      <c r="B726" s="107"/>
      <c r="C726" s="107"/>
      <c r="D726" s="107"/>
      <c r="E726" s="107"/>
      <c r="F726" s="107"/>
      <c r="G726" s="107"/>
      <c r="H726" s="107"/>
    </row>
    <row r="727" spans="2:8" x14ac:dyDescent="0.25">
      <c r="B727" s="107"/>
      <c r="C727" s="107"/>
      <c r="D727" s="107"/>
      <c r="E727" s="107"/>
      <c r="F727" s="107"/>
      <c r="G727" s="107"/>
      <c r="H727" s="107"/>
    </row>
    <row r="728" spans="2:8" x14ac:dyDescent="0.25">
      <c r="B728" s="107"/>
      <c r="C728" s="107"/>
      <c r="D728" s="107"/>
      <c r="E728" s="107"/>
      <c r="F728" s="107"/>
      <c r="G728" s="107"/>
      <c r="H728" s="107"/>
    </row>
    <row r="729" spans="2:8" x14ac:dyDescent="0.25">
      <c r="B729" s="107"/>
      <c r="C729" s="107"/>
      <c r="D729" s="107"/>
      <c r="E729" s="107"/>
      <c r="F729" s="107"/>
      <c r="G729" s="107"/>
      <c r="H729" s="107"/>
    </row>
    <row r="730" spans="2:8" x14ac:dyDescent="0.25">
      <c r="B730" s="107"/>
      <c r="C730" s="107"/>
      <c r="D730" s="107"/>
      <c r="E730" s="107"/>
      <c r="F730" s="107"/>
      <c r="G730" s="107"/>
      <c r="H730" s="107"/>
    </row>
    <row r="731" spans="2:8" x14ac:dyDescent="0.25">
      <c r="B731" s="107"/>
      <c r="C731" s="107"/>
      <c r="D731" s="107"/>
      <c r="E731" s="107"/>
      <c r="F731" s="107"/>
      <c r="G731" s="107"/>
      <c r="H731" s="107"/>
    </row>
    <row r="732" spans="2:8" x14ac:dyDescent="0.25">
      <c r="B732" s="107"/>
      <c r="C732" s="107"/>
      <c r="D732" s="107"/>
      <c r="E732" s="107"/>
      <c r="F732" s="107"/>
      <c r="G732" s="107"/>
      <c r="H732" s="107"/>
    </row>
    <row r="733" spans="2:8" x14ac:dyDescent="0.25">
      <c r="B733" s="107"/>
      <c r="C733" s="107"/>
      <c r="D733" s="107"/>
      <c r="E733" s="107"/>
      <c r="F733" s="107"/>
      <c r="G733" s="107"/>
      <c r="H733" s="107"/>
    </row>
    <row r="734" spans="2:8" x14ac:dyDescent="0.25">
      <c r="B734" s="107"/>
      <c r="C734" s="107"/>
      <c r="D734" s="107"/>
      <c r="E734" s="107"/>
      <c r="F734" s="107"/>
      <c r="G734" s="107"/>
      <c r="H734" s="107"/>
    </row>
    <row r="735" spans="2:8" x14ac:dyDescent="0.25">
      <c r="B735" s="107"/>
      <c r="C735" s="107"/>
      <c r="D735" s="107"/>
      <c r="E735" s="107"/>
      <c r="F735" s="107"/>
      <c r="G735" s="107"/>
      <c r="H735" s="107"/>
    </row>
    <row r="736" spans="2:8" x14ac:dyDescent="0.25">
      <c r="B736" s="107"/>
      <c r="C736" s="107"/>
      <c r="D736" s="107"/>
      <c r="E736" s="107"/>
      <c r="F736" s="107"/>
      <c r="G736" s="107"/>
      <c r="H736" s="107"/>
    </row>
    <row r="737" spans="2:8" x14ac:dyDescent="0.25">
      <c r="B737" s="107"/>
      <c r="C737" s="107"/>
      <c r="D737" s="107"/>
      <c r="E737" s="107"/>
      <c r="F737" s="107"/>
      <c r="G737" s="107"/>
      <c r="H737" s="107"/>
    </row>
    <row r="738" spans="2:8" x14ac:dyDescent="0.25">
      <c r="B738" s="107"/>
      <c r="C738" s="107"/>
      <c r="D738" s="107"/>
      <c r="E738" s="107"/>
      <c r="F738" s="107"/>
      <c r="G738" s="107"/>
      <c r="H738" s="107"/>
    </row>
    <row r="739" spans="2:8" x14ac:dyDescent="0.25">
      <c r="B739" s="107"/>
      <c r="C739" s="107"/>
      <c r="D739" s="107"/>
      <c r="E739" s="107"/>
      <c r="F739" s="107"/>
      <c r="G739" s="107"/>
      <c r="H739" s="107"/>
    </row>
    <row r="740" spans="2:8" x14ac:dyDescent="0.25">
      <c r="B740" s="107"/>
      <c r="C740" s="107"/>
      <c r="D740" s="107"/>
      <c r="E740" s="107"/>
      <c r="F740" s="107"/>
      <c r="G740" s="107"/>
      <c r="H740" s="107"/>
    </row>
    <row r="741" spans="2:8" x14ac:dyDescent="0.25">
      <c r="B741" s="107"/>
      <c r="C741" s="107"/>
      <c r="D741" s="107"/>
      <c r="E741" s="107"/>
      <c r="F741" s="107"/>
      <c r="G741" s="107"/>
      <c r="H741" s="107"/>
    </row>
    <row r="742" spans="2:8" x14ac:dyDescent="0.25">
      <c r="B742" s="107"/>
      <c r="C742" s="107"/>
      <c r="D742" s="107"/>
      <c r="E742" s="107"/>
      <c r="F742" s="107"/>
      <c r="G742" s="107"/>
      <c r="H742" s="107"/>
    </row>
    <row r="743" spans="2:8" x14ac:dyDescent="0.25">
      <c r="B743" s="107"/>
      <c r="C743" s="107"/>
      <c r="D743" s="107"/>
      <c r="E743" s="107"/>
      <c r="F743" s="107"/>
      <c r="G743" s="107"/>
      <c r="H743" s="107"/>
    </row>
    <row r="744" spans="2:8" x14ac:dyDescent="0.25">
      <c r="B744" s="107"/>
      <c r="C744" s="107"/>
      <c r="D744" s="107"/>
      <c r="E744" s="107"/>
      <c r="F744" s="107"/>
      <c r="G744" s="107"/>
      <c r="H744" s="107"/>
    </row>
    <row r="745" spans="2:8" x14ac:dyDescent="0.25">
      <c r="B745" s="107"/>
      <c r="C745" s="107"/>
      <c r="D745" s="107"/>
      <c r="E745" s="107"/>
      <c r="F745" s="107"/>
      <c r="G745" s="107"/>
      <c r="H745" s="107"/>
    </row>
    <row r="746" spans="2:8" x14ac:dyDescent="0.25">
      <c r="B746" s="107"/>
      <c r="C746" s="107"/>
      <c r="D746" s="107"/>
      <c r="E746" s="107"/>
      <c r="F746" s="107"/>
      <c r="G746" s="107"/>
      <c r="H746" s="107"/>
    </row>
    <row r="747" spans="2:8" x14ac:dyDescent="0.25">
      <c r="B747" s="107"/>
      <c r="C747" s="107"/>
      <c r="D747" s="107"/>
      <c r="E747" s="107"/>
      <c r="F747" s="107"/>
      <c r="G747" s="107"/>
      <c r="H747" s="107"/>
    </row>
    <row r="748" spans="2:8" x14ac:dyDescent="0.25">
      <c r="B748" s="107"/>
      <c r="C748" s="107"/>
      <c r="D748" s="107"/>
      <c r="E748" s="107"/>
      <c r="F748" s="107"/>
      <c r="G748" s="107"/>
      <c r="H748" s="107"/>
    </row>
    <row r="749" spans="2:8" x14ac:dyDescent="0.25">
      <c r="B749" s="107"/>
      <c r="C749" s="107"/>
      <c r="D749" s="107"/>
      <c r="E749" s="107"/>
      <c r="F749" s="107"/>
      <c r="G749" s="107"/>
      <c r="H749" s="107"/>
    </row>
    <row r="750" spans="2:8" x14ac:dyDescent="0.25">
      <c r="B750" s="107"/>
      <c r="C750" s="107"/>
      <c r="D750" s="107"/>
      <c r="E750" s="107"/>
      <c r="F750" s="107"/>
      <c r="G750" s="107"/>
      <c r="H750" s="107"/>
    </row>
    <row r="751" spans="2:8" x14ac:dyDescent="0.25">
      <c r="B751" s="107"/>
      <c r="C751" s="107"/>
      <c r="D751" s="107"/>
      <c r="E751" s="107"/>
      <c r="F751" s="107"/>
      <c r="G751" s="107"/>
      <c r="H751" s="107"/>
    </row>
    <row r="752" spans="2:8" x14ac:dyDescent="0.25">
      <c r="B752" s="107"/>
      <c r="C752" s="107"/>
      <c r="D752" s="107"/>
      <c r="E752" s="107"/>
      <c r="F752" s="107"/>
      <c r="G752" s="107"/>
      <c r="H752" s="107"/>
    </row>
    <row r="753" spans="2:8" x14ac:dyDescent="0.25">
      <c r="B753" s="107"/>
      <c r="C753" s="107"/>
      <c r="D753" s="107"/>
      <c r="E753" s="107"/>
      <c r="F753" s="107"/>
      <c r="G753" s="107"/>
      <c r="H753" s="107"/>
    </row>
    <row r="754" spans="2:8" x14ac:dyDescent="0.25">
      <c r="B754" s="107"/>
      <c r="C754" s="107"/>
      <c r="D754" s="107"/>
      <c r="E754" s="107"/>
      <c r="F754" s="107"/>
      <c r="G754" s="107"/>
      <c r="H754" s="107"/>
    </row>
    <row r="755" spans="2:8" x14ac:dyDescent="0.25">
      <c r="B755" s="107"/>
      <c r="C755" s="107"/>
      <c r="D755" s="107"/>
      <c r="E755" s="107"/>
      <c r="F755" s="107"/>
      <c r="G755" s="107"/>
      <c r="H755" s="107"/>
    </row>
    <row r="756" spans="2:8" x14ac:dyDescent="0.25">
      <c r="B756" s="107"/>
      <c r="C756" s="107"/>
      <c r="D756" s="107"/>
      <c r="E756" s="107"/>
      <c r="F756" s="107"/>
      <c r="G756" s="107"/>
      <c r="H756" s="107"/>
    </row>
    <row r="757" spans="2:8" x14ac:dyDescent="0.25">
      <c r="B757" s="107"/>
      <c r="C757" s="107"/>
      <c r="D757" s="107"/>
      <c r="E757" s="107"/>
      <c r="F757" s="107"/>
      <c r="G757" s="107"/>
      <c r="H757" s="107"/>
    </row>
    <row r="758" spans="2:8" x14ac:dyDescent="0.25">
      <c r="B758" s="107"/>
      <c r="C758" s="107"/>
      <c r="D758" s="107"/>
      <c r="E758" s="107"/>
      <c r="F758" s="107"/>
      <c r="G758" s="107"/>
      <c r="H758" s="107"/>
    </row>
    <row r="759" spans="2:8" x14ac:dyDescent="0.25">
      <c r="B759" s="107"/>
      <c r="C759" s="107"/>
      <c r="D759" s="107"/>
      <c r="E759" s="107"/>
      <c r="F759" s="107"/>
      <c r="G759" s="107"/>
      <c r="H759" s="107"/>
    </row>
    <row r="760" spans="2:8" x14ac:dyDescent="0.25">
      <c r="B760" s="107"/>
      <c r="C760" s="107"/>
      <c r="D760" s="107"/>
      <c r="E760" s="107"/>
      <c r="F760" s="107"/>
      <c r="G760" s="107"/>
      <c r="H760" s="107"/>
    </row>
    <row r="761" spans="2:8" x14ac:dyDescent="0.25">
      <c r="B761" s="107"/>
      <c r="C761" s="107"/>
      <c r="D761" s="107"/>
      <c r="E761" s="107"/>
      <c r="F761" s="107"/>
      <c r="G761" s="107"/>
      <c r="H761" s="107"/>
    </row>
    <row r="762" spans="2:8" x14ac:dyDescent="0.25">
      <c r="B762" s="107"/>
      <c r="C762" s="107"/>
      <c r="D762" s="107"/>
      <c r="E762" s="107"/>
      <c r="F762" s="107"/>
      <c r="G762" s="107"/>
      <c r="H762" s="107"/>
    </row>
    <row r="763" spans="2:8" x14ac:dyDescent="0.25">
      <c r="B763" s="107"/>
      <c r="C763" s="107"/>
      <c r="D763" s="107"/>
      <c r="E763" s="107"/>
      <c r="F763" s="107"/>
      <c r="G763" s="107"/>
      <c r="H763" s="107"/>
    </row>
    <row r="764" spans="2:8" x14ac:dyDescent="0.25">
      <c r="B764" s="107"/>
      <c r="C764" s="107"/>
      <c r="D764" s="107"/>
      <c r="E764" s="107"/>
      <c r="F764" s="107"/>
      <c r="G764" s="107"/>
      <c r="H764" s="107"/>
    </row>
    <row r="765" spans="2:8" x14ac:dyDescent="0.25">
      <c r="B765" s="107"/>
      <c r="C765" s="107"/>
      <c r="D765" s="107"/>
      <c r="E765" s="107"/>
      <c r="F765" s="107"/>
      <c r="G765" s="107"/>
      <c r="H765" s="107"/>
    </row>
    <row r="766" spans="2:8" x14ac:dyDescent="0.25">
      <c r="B766" s="107"/>
      <c r="C766" s="107"/>
      <c r="D766" s="107"/>
      <c r="E766" s="107"/>
      <c r="F766" s="107"/>
      <c r="G766" s="107"/>
      <c r="H766" s="107"/>
    </row>
    <row r="767" spans="2:8" x14ac:dyDescent="0.25">
      <c r="B767" s="107"/>
      <c r="C767" s="107"/>
      <c r="D767" s="107"/>
      <c r="E767" s="107"/>
      <c r="F767" s="107"/>
      <c r="G767" s="107"/>
      <c r="H767" s="107"/>
    </row>
    <row r="768" spans="2:8" x14ac:dyDescent="0.25">
      <c r="B768" s="107"/>
      <c r="C768" s="107"/>
      <c r="D768" s="107"/>
      <c r="E768" s="107"/>
      <c r="F768" s="107"/>
      <c r="G768" s="107"/>
      <c r="H768" s="107"/>
    </row>
    <row r="769" spans="2:8" x14ac:dyDescent="0.25">
      <c r="B769" s="107"/>
      <c r="C769" s="107"/>
      <c r="D769" s="107"/>
      <c r="E769" s="107"/>
      <c r="F769" s="107"/>
      <c r="G769" s="107"/>
      <c r="H769" s="107"/>
    </row>
    <row r="770" spans="2:8" x14ac:dyDescent="0.25">
      <c r="B770" s="107"/>
      <c r="C770" s="107"/>
      <c r="D770" s="107"/>
      <c r="E770" s="107"/>
      <c r="F770" s="107"/>
      <c r="G770" s="107"/>
      <c r="H770" s="107"/>
    </row>
    <row r="771" spans="2:8" x14ac:dyDescent="0.25">
      <c r="B771" s="107"/>
      <c r="C771" s="107"/>
      <c r="D771" s="107"/>
      <c r="E771" s="107"/>
      <c r="F771" s="107"/>
      <c r="G771" s="107"/>
      <c r="H771" s="107"/>
    </row>
    <row r="772" spans="2:8" x14ac:dyDescent="0.25">
      <c r="B772" s="107"/>
      <c r="C772" s="107"/>
      <c r="D772" s="107"/>
      <c r="E772" s="107"/>
      <c r="F772" s="107"/>
      <c r="G772" s="107"/>
      <c r="H772" s="107"/>
    </row>
    <row r="773" spans="2:8" x14ac:dyDescent="0.25">
      <c r="B773" s="107"/>
      <c r="C773" s="107"/>
      <c r="D773" s="107"/>
      <c r="E773" s="107"/>
      <c r="F773" s="107"/>
      <c r="G773" s="107"/>
      <c r="H773" s="107"/>
    </row>
    <row r="774" spans="2:8" x14ac:dyDescent="0.25">
      <c r="B774" s="107"/>
      <c r="C774" s="107"/>
      <c r="D774" s="107"/>
      <c r="E774" s="107"/>
      <c r="F774" s="107"/>
      <c r="G774" s="107"/>
      <c r="H774" s="107"/>
    </row>
    <row r="775" spans="2:8" x14ac:dyDescent="0.25">
      <c r="B775" s="107"/>
      <c r="C775" s="107"/>
      <c r="D775" s="107"/>
      <c r="E775" s="107"/>
      <c r="F775" s="107"/>
      <c r="G775" s="107"/>
      <c r="H775" s="107"/>
    </row>
    <row r="776" spans="2:8" x14ac:dyDescent="0.25">
      <c r="B776" s="107"/>
      <c r="C776" s="107"/>
      <c r="D776" s="107"/>
      <c r="E776" s="107"/>
      <c r="F776" s="107"/>
      <c r="G776" s="107"/>
      <c r="H776" s="107"/>
    </row>
    <row r="777" spans="2:8" x14ac:dyDescent="0.25">
      <c r="B777" s="107"/>
      <c r="C777" s="107"/>
      <c r="D777" s="107"/>
      <c r="E777" s="107"/>
      <c r="F777" s="107"/>
      <c r="G777" s="107"/>
      <c r="H777" s="107"/>
    </row>
    <row r="778" spans="2:8" x14ac:dyDescent="0.25">
      <c r="B778" s="107"/>
      <c r="C778" s="107"/>
      <c r="D778" s="107"/>
      <c r="E778" s="107"/>
      <c r="F778" s="107"/>
      <c r="G778" s="107"/>
      <c r="H778" s="107"/>
    </row>
    <row r="779" spans="2:8" x14ac:dyDescent="0.25">
      <c r="B779" s="107"/>
      <c r="C779" s="107"/>
      <c r="D779" s="107"/>
      <c r="E779" s="107"/>
      <c r="F779" s="107"/>
      <c r="G779" s="107"/>
      <c r="H779" s="107"/>
    </row>
    <row r="780" spans="2:8" x14ac:dyDescent="0.25">
      <c r="B780" s="107"/>
      <c r="C780" s="107"/>
      <c r="D780" s="107"/>
      <c r="E780" s="107"/>
      <c r="F780" s="107"/>
      <c r="G780" s="107"/>
      <c r="H780" s="107"/>
    </row>
    <row r="781" spans="2:8" x14ac:dyDescent="0.25">
      <c r="B781" s="107"/>
      <c r="C781" s="107"/>
      <c r="D781" s="107"/>
      <c r="E781" s="107"/>
      <c r="F781" s="107"/>
      <c r="G781" s="107"/>
      <c r="H781" s="107"/>
    </row>
    <row r="782" spans="2:8" x14ac:dyDescent="0.25">
      <c r="B782" s="107"/>
      <c r="C782" s="107"/>
      <c r="D782" s="107"/>
      <c r="E782" s="107"/>
      <c r="F782" s="107"/>
      <c r="G782" s="107"/>
      <c r="H782" s="107"/>
    </row>
    <row r="783" spans="2:8" x14ac:dyDescent="0.25">
      <c r="B783" s="107"/>
      <c r="C783" s="107"/>
      <c r="D783" s="107"/>
      <c r="E783" s="107"/>
      <c r="F783" s="107"/>
      <c r="G783" s="107"/>
      <c r="H783" s="107"/>
    </row>
    <row r="784" spans="2:8" x14ac:dyDescent="0.25">
      <c r="B784" s="107"/>
      <c r="C784" s="107"/>
      <c r="D784" s="107"/>
      <c r="E784" s="107"/>
      <c r="F784" s="107"/>
      <c r="G784" s="107"/>
      <c r="H784" s="107"/>
    </row>
    <row r="785" spans="2:8" x14ac:dyDescent="0.25">
      <c r="B785" s="107"/>
      <c r="C785" s="107"/>
      <c r="D785" s="107"/>
      <c r="E785" s="107"/>
      <c r="F785" s="107"/>
      <c r="G785" s="107"/>
      <c r="H785" s="107"/>
    </row>
    <row r="786" spans="2:8" x14ac:dyDescent="0.25">
      <c r="B786" s="107"/>
      <c r="C786" s="107"/>
      <c r="D786" s="107"/>
      <c r="E786" s="107"/>
      <c r="F786" s="107"/>
      <c r="G786" s="107"/>
      <c r="H786" s="107"/>
    </row>
    <row r="787" spans="2:8" x14ac:dyDescent="0.25">
      <c r="B787" s="107"/>
      <c r="C787" s="107"/>
      <c r="D787" s="107"/>
      <c r="E787" s="107"/>
      <c r="F787" s="107"/>
      <c r="G787" s="107"/>
      <c r="H787" s="107"/>
    </row>
    <row r="788" spans="2:8" x14ac:dyDescent="0.25">
      <c r="B788" s="107"/>
      <c r="C788" s="107"/>
      <c r="D788" s="107"/>
      <c r="E788" s="107"/>
      <c r="F788" s="107"/>
      <c r="G788" s="107"/>
      <c r="H788" s="107"/>
    </row>
    <row r="789" spans="2:8" x14ac:dyDescent="0.25">
      <c r="B789" s="107"/>
      <c r="C789" s="107"/>
      <c r="D789" s="107"/>
      <c r="E789" s="107"/>
      <c r="F789" s="107"/>
      <c r="G789" s="107"/>
      <c r="H789" s="107"/>
    </row>
    <row r="790" spans="2:8" x14ac:dyDescent="0.25">
      <c r="B790" s="107"/>
      <c r="C790" s="107"/>
      <c r="D790" s="107"/>
      <c r="E790" s="107"/>
      <c r="F790" s="107"/>
      <c r="G790" s="107"/>
      <c r="H790" s="107"/>
    </row>
    <row r="791" spans="2:8" x14ac:dyDescent="0.25">
      <c r="B791" s="107"/>
      <c r="C791" s="107"/>
      <c r="D791" s="107"/>
      <c r="E791" s="107"/>
      <c r="F791" s="107"/>
      <c r="G791" s="107"/>
      <c r="H791" s="107"/>
    </row>
    <row r="792" spans="2:8" x14ac:dyDescent="0.25">
      <c r="B792" s="107"/>
      <c r="C792" s="107"/>
      <c r="D792" s="107"/>
      <c r="E792" s="107"/>
      <c r="F792" s="107"/>
      <c r="G792" s="107"/>
      <c r="H792" s="107"/>
    </row>
    <row r="793" spans="2:8" x14ac:dyDescent="0.25">
      <c r="B793" s="107"/>
      <c r="C793" s="107"/>
      <c r="D793" s="107"/>
      <c r="E793" s="107"/>
      <c r="F793" s="107"/>
      <c r="G793" s="107"/>
      <c r="H793" s="107"/>
    </row>
    <row r="794" spans="2:8" x14ac:dyDescent="0.25">
      <c r="B794" s="107"/>
      <c r="C794" s="107"/>
      <c r="D794" s="107"/>
      <c r="E794" s="107"/>
      <c r="F794" s="107"/>
      <c r="G794" s="107"/>
      <c r="H794" s="107"/>
    </row>
    <row r="795" spans="2:8" x14ac:dyDescent="0.25">
      <c r="B795" s="107"/>
      <c r="C795" s="107"/>
      <c r="D795" s="107"/>
      <c r="E795" s="107"/>
      <c r="F795" s="107"/>
      <c r="G795" s="107"/>
      <c r="H795" s="107"/>
    </row>
    <row r="796" spans="2:8" x14ac:dyDescent="0.25">
      <c r="B796" s="107"/>
      <c r="C796" s="107"/>
      <c r="D796" s="107"/>
      <c r="E796" s="107"/>
      <c r="F796" s="107"/>
      <c r="G796" s="107"/>
      <c r="H796" s="107"/>
    </row>
    <row r="797" spans="2:8" x14ac:dyDescent="0.25">
      <c r="B797" s="107"/>
      <c r="C797" s="107"/>
      <c r="D797" s="107"/>
      <c r="E797" s="107"/>
      <c r="F797" s="107"/>
      <c r="G797" s="107"/>
      <c r="H797" s="107"/>
    </row>
    <row r="798" spans="2:8" x14ac:dyDescent="0.25">
      <c r="B798" s="107"/>
      <c r="C798" s="107"/>
      <c r="D798" s="107"/>
      <c r="E798" s="107"/>
      <c r="F798" s="107"/>
      <c r="G798" s="107"/>
      <c r="H798" s="107"/>
    </row>
    <row r="799" spans="2:8" x14ac:dyDescent="0.25">
      <c r="B799" s="107"/>
      <c r="C799" s="107"/>
      <c r="D799" s="107"/>
      <c r="E799" s="107"/>
      <c r="F799" s="107"/>
      <c r="G799" s="107"/>
      <c r="H799" s="107"/>
    </row>
    <row r="800" spans="2:8" x14ac:dyDescent="0.25">
      <c r="B800" s="107"/>
      <c r="C800" s="107"/>
      <c r="D800" s="107"/>
      <c r="E800" s="107"/>
      <c r="F800" s="107"/>
      <c r="G800" s="107"/>
      <c r="H800" s="107"/>
    </row>
    <row r="801" spans="2:8" x14ac:dyDescent="0.25">
      <c r="B801" s="107"/>
      <c r="C801" s="107"/>
      <c r="D801" s="107"/>
      <c r="E801" s="107"/>
      <c r="F801" s="107"/>
      <c r="G801" s="107"/>
      <c r="H801" s="107"/>
    </row>
    <row r="802" spans="2:8" x14ac:dyDescent="0.25">
      <c r="B802" s="107"/>
      <c r="C802" s="107"/>
      <c r="D802" s="107"/>
      <c r="E802" s="107"/>
      <c r="F802" s="107"/>
      <c r="G802" s="107"/>
      <c r="H802" s="107"/>
    </row>
    <row r="803" spans="2:8" x14ac:dyDescent="0.25">
      <c r="B803" s="107"/>
      <c r="C803" s="107"/>
      <c r="D803" s="107"/>
      <c r="E803" s="107"/>
      <c r="F803" s="107"/>
      <c r="G803" s="107"/>
      <c r="H803" s="107"/>
    </row>
    <row r="804" spans="2:8" x14ac:dyDescent="0.25">
      <c r="B804" s="107"/>
      <c r="C804" s="107"/>
      <c r="D804" s="107"/>
      <c r="E804" s="107"/>
      <c r="F804" s="107"/>
      <c r="G804" s="107"/>
      <c r="H804" s="107"/>
    </row>
    <row r="805" spans="2:8" x14ac:dyDescent="0.25">
      <c r="B805" s="107"/>
      <c r="C805" s="107"/>
      <c r="D805" s="107"/>
      <c r="E805" s="107"/>
      <c r="F805" s="107"/>
      <c r="G805" s="107"/>
      <c r="H805" s="107"/>
    </row>
    <row r="806" spans="2:8" x14ac:dyDescent="0.25">
      <c r="B806" s="107"/>
      <c r="C806" s="107"/>
      <c r="D806" s="107"/>
      <c r="E806" s="107"/>
      <c r="F806" s="107"/>
      <c r="G806" s="107"/>
      <c r="H806" s="107"/>
    </row>
    <row r="807" spans="2:8" x14ac:dyDescent="0.25">
      <c r="B807" s="107"/>
      <c r="C807" s="107"/>
      <c r="D807" s="107"/>
      <c r="E807" s="107"/>
      <c r="F807" s="107"/>
      <c r="G807" s="107"/>
      <c r="H807" s="107"/>
    </row>
    <row r="808" spans="2:8" x14ac:dyDescent="0.25">
      <c r="B808" s="107"/>
      <c r="C808" s="107"/>
      <c r="D808" s="107"/>
      <c r="E808" s="107"/>
      <c r="F808" s="107"/>
      <c r="G808" s="107"/>
      <c r="H808" s="107"/>
    </row>
    <row r="809" spans="2:8" x14ac:dyDescent="0.25">
      <c r="B809" s="107"/>
      <c r="C809" s="107"/>
      <c r="D809" s="107"/>
      <c r="E809" s="107"/>
      <c r="F809" s="107"/>
      <c r="G809" s="107"/>
      <c r="H809" s="107"/>
    </row>
    <row r="810" spans="2:8" x14ac:dyDescent="0.25">
      <c r="B810" s="107"/>
      <c r="C810" s="107"/>
      <c r="D810" s="107"/>
      <c r="E810" s="107"/>
      <c r="F810" s="107"/>
      <c r="G810" s="107"/>
      <c r="H810" s="107"/>
    </row>
    <row r="811" spans="2:8" x14ac:dyDescent="0.25">
      <c r="B811" s="107"/>
      <c r="C811" s="107"/>
      <c r="D811" s="107"/>
      <c r="E811" s="107"/>
      <c r="F811" s="107"/>
      <c r="G811" s="107"/>
      <c r="H811" s="107"/>
    </row>
    <row r="812" spans="2:8" x14ac:dyDescent="0.25">
      <c r="B812" s="107"/>
      <c r="C812" s="107"/>
      <c r="D812" s="107"/>
      <c r="E812" s="107"/>
      <c r="F812" s="107"/>
      <c r="G812" s="107"/>
      <c r="H812" s="107"/>
    </row>
    <row r="813" spans="2:8" x14ac:dyDescent="0.25">
      <c r="B813" s="107"/>
      <c r="C813" s="107"/>
      <c r="D813" s="107"/>
      <c r="E813" s="107"/>
      <c r="F813" s="107"/>
      <c r="G813" s="107"/>
      <c r="H813" s="107"/>
    </row>
    <row r="814" spans="2:8" x14ac:dyDescent="0.25">
      <c r="B814" s="107"/>
      <c r="C814" s="107"/>
      <c r="D814" s="107"/>
      <c r="E814" s="107"/>
      <c r="F814" s="107"/>
      <c r="G814" s="107"/>
      <c r="H814" s="107"/>
    </row>
    <row r="815" spans="2:8" x14ac:dyDescent="0.25">
      <c r="B815" s="107"/>
      <c r="C815" s="107"/>
      <c r="D815" s="107"/>
      <c r="E815" s="107"/>
      <c r="F815" s="107"/>
      <c r="G815" s="107"/>
      <c r="H815" s="107"/>
    </row>
    <row r="816" spans="2:8" x14ac:dyDescent="0.25">
      <c r="B816" s="107"/>
      <c r="C816" s="107"/>
      <c r="D816" s="107"/>
      <c r="E816" s="107"/>
      <c r="F816" s="107"/>
      <c r="G816" s="107"/>
      <c r="H816" s="107"/>
    </row>
    <row r="817" spans="2:8" x14ac:dyDescent="0.25">
      <c r="B817" s="107"/>
      <c r="C817" s="107"/>
      <c r="D817" s="107"/>
      <c r="E817" s="107"/>
      <c r="F817" s="107"/>
      <c r="G817" s="107"/>
      <c r="H817" s="107"/>
    </row>
    <row r="818" spans="2:8" x14ac:dyDescent="0.25">
      <c r="B818" s="107"/>
      <c r="C818" s="107"/>
      <c r="D818" s="107"/>
      <c r="E818" s="107"/>
      <c r="F818" s="107"/>
      <c r="G818" s="107"/>
      <c r="H818" s="107"/>
    </row>
    <row r="819" spans="2:8" x14ac:dyDescent="0.25">
      <c r="B819" s="107"/>
      <c r="C819" s="107"/>
      <c r="D819" s="107"/>
      <c r="E819" s="107"/>
      <c r="F819" s="107"/>
      <c r="G819" s="107"/>
      <c r="H819" s="107"/>
    </row>
    <row r="820" spans="2:8" x14ac:dyDescent="0.25">
      <c r="B820" s="107"/>
      <c r="C820" s="107"/>
      <c r="D820" s="107"/>
      <c r="E820" s="107"/>
      <c r="F820" s="107"/>
      <c r="G820" s="107"/>
      <c r="H820" s="107"/>
    </row>
    <row r="821" spans="2:8" x14ac:dyDescent="0.25">
      <c r="B821" s="107"/>
      <c r="C821" s="107"/>
      <c r="D821" s="107"/>
      <c r="E821" s="107"/>
      <c r="F821" s="107"/>
      <c r="G821" s="107"/>
      <c r="H821" s="107"/>
    </row>
    <row r="822" spans="2:8" x14ac:dyDescent="0.25">
      <c r="B822" s="107"/>
      <c r="C822" s="107"/>
      <c r="D822" s="107"/>
      <c r="E822" s="107"/>
      <c r="F822" s="107"/>
      <c r="G822" s="107"/>
      <c r="H822" s="107"/>
    </row>
    <row r="823" spans="2:8" x14ac:dyDescent="0.25">
      <c r="B823" s="107"/>
      <c r="C823" s="107"/>
      <c r="D823" s="107"/>
      <c r="E823" s="107"/>
      <c r="F823" s="107"/>
      <c r="G823" s="107"/>
      <c r="H823" s="107"/>
    </row>
    <row r="824" spans="2:8" x14ac:dyDescent="0.25">
      <c r="B824" s="107"/>
      <c r="C824" s="107"/>
      <c r="D824" s="107"/>
      <c r="E824" s="107"/>
      <c r="F824" s="107"/>
      <c r="G824" s="107"/>
      <c r="H824" s="107"/>
    </row>
    <row r="825" spans="2:8" x14ac:dyDescent="0.25">
      <c r="B825" s="107"/>
      <c r="C825" s="107"/>
      <c r="D825" s="107"/>
      <c r="E825" s="107"/>
      <c r="F825" s="107"/>
      <c r="G825" s="107"/>
      <c r="H825" s="107"/>
    </row>
    <row r="826" spans="2:8" x14ac:dyDescent="0.25">
      <c r="B826" s="107"/>
      <c r="C826" s="107"/>
      <c r="D826" s="107"/>
      <c r="E826" s="107"/>
      <c r="F826" s="107"/>
      <c r="G826" s="107"/>
      <c r="H826" s="107"/>
    </row>
    <row r="827" spans="2:8" x14ac:dyDescent="0.25">
      <c r="B827" s="107"/>
      <c r="C827" s="107"/>
      <c r="D827" s="107"/>
      <c r="E827" s="107"/>
      <c r="F827" s="107"/>
      <c r="G827" s="107"/>
      <c r="H827" s="107"/>
    </row>
    <row r="828" spans="2:8" x14ac:dyDescent="0.25">
      <c r="B828" s="107"/>
      <c r="C828" s="107"/>
      <c r="D828" s="107"/>
      <c r="E828" s="107"/>
      <c r="F828" s="107"/>
      <c r="G828" s="107"/>
      <c r="H828" s="107"/>
    </row>
    <row r="829" spans="2:8" x14ac:dyDescent="0.25">
      <c r="B829" s="107"/>
      <c r="C829" s="107"/>
      <c r="D829" s="107"/>
      <c r="E829" s="107"/>
      <c r="F829" s="107"/>
      <c r="G829" s="107"/>
      <c r="H829" s="107"/>
    </row>
    <row r="830" spans="2:8" x14ac:dyDescent="0.25">
      <c r="B830" s="107"/>
      <c r="C830" s="107"/>
      <c r="D830" s="107"/>
      <c r="E830" s="107"/>
      <c r="F830" s="107"/>
      <c r="G830" s="107"/>
      <c r="H830" s="107"/>
    </row>
    <row r="831" spans="2:8" x14ac:dyDescent="0.25">
      <c r="B831" s="107"/>
      <c r="C831" s="107"/>
      <c r="D831" s="107"/>
      <c r="E831" s="107"/>
      <c r="F831" s="107"/>
      <c r="G831" s="107"/>
      <c r="H831" s="107"/>
    </row>
    <row r="832" spans="2:8" x14ac:dyDescent="0.25">
      <c r="B832" s="107"/>
      <c r="C832" s="107"/>
      <c r="D832" s="107"/>
      <c r="E832" s="107"/>
      <c r="F832" s="107"/>
      <c r="G832" s="107"/>
      <c r="H832" s="107"/>
    </row>
    <row r="833" spans="2:8" x14ac:dyDescent="0.25">
      <c r="B833" s="107"/>
      <c r="C833" s="107"/>
      <c r="D833" s="107"/>
      <c r="E833" s="107"/>
      <c r="F833" s="107"/>
      <c r="G833" s="107"/>
      <c r="H833" s="107"/>
    </row>
    <row r="834" spans="2:8" x14ac:dyDescent="0.25">
      <c r="B834" s="107"/>
      <c r="C834" s="107"/>
      <c r="D834" s="107"/>
      <c r="E834" s="107"/>
      <c r="F834" s="107"/>
      <c r="G834" s="107"/>
      <c r="H834" s="107"/>
    </row>
    <row r="835" spans="2:8" x14ac:dyDescent="0.25">
      <c r="B835" s="107"/>
      <c r="C835" s="107"/>
      <c r="D835" s="107"/>
      <c r="E835" s="107"/>
      <c r="F835" s="107"/>
      <c r="G835" s="107"/>
      <c r="H835" s="107"/>
    </row>
    <row r="836" spans="2:8" x14ac:dyDescent="0.25">
      <c r="B836" s="107"/>
      <c r="C836" s="107"/>
      <c r="D836" s="107"/>
      <c r="E836" s="107"/>
      <c r="F836" s="107"/>
      <c r="G836" s="107"/>
      <c r="H836" s="107"/>
    </row>
    <row r="837" spans="2:8" x14ac:dyDescent="0.25">
      <c r="B837" s="107"/>
      <c r="C837" s="107"/>
      <c r="D837" s="107"/>
      <c r="E837" s="107"/>
      <c r="F837" s="107"/>
      <c r="G837" s="107"/>
      <c r="H837" s="107"/>
    </row>
    <row r="838" spans="2:8" x14ac:dyDescent="0.25">
      <c r="B838" s="107"/>
      <c r="C838" s="107"/>
      <c r="D838" s="107"/>
      <c r="E838" s="107"/>
      <c r="F838" s="107"/>
      <c r="G838" s="107"/>
      <c r="H838" s="107"/>
    </row>
    <row r="839" spans="2:8" x14ac:dyDescent="0.25">
      <c r="B839" s="107"/>
      <c r="C839" s="107"/>
      <c r="D839" s="107"/>
      <c r="E839" s="107"/>
      <c r="F839" s="107"/>
      <c r="G839" s="107"/>
      <c r="H839" s="107"/>
    </row>
    <row r="840" spans="2:8" x14ac:dyDescent="0.25">
      <c r="B840" s="107"/>
      <c r="C840" s="107"/>
      <c r="D840" s="107"/>
      <c r="E840" s="107"/>
      <c r="F840" s="107"/>
      <c r="G840" s="107"/>
      <c r="H840" s="107"/>
    </row>
    <row r="841" spans="2:8" x14ac:dyDescent="0.25">
      <c r="B841" s="107"/>
      <c r="C841" s="107"/>
      <c r="D841" s="107"/>
      <c r="E841" s="107"/>
      <c r="F841" s="107"/>
      <c r="G841" s="107"/>
      <c r="H841" s="107"/>
    </row>
    <row r="842" spans="2:8" x14ac:dyDescent="0.25">
      <c r="B842" s="107"/>
      <c r="C842" s="107"/>
      <c r="D842" s="107"/>
      <c r="E842" s="107"/>
      <c r="F842" s="107"/>
      <c r="G842" s="107"/>
      <c r="H842" s="107"/>
    </row>
    <row r="843" spans="2:8" x14ac:dyDescent="0.25">
      <c r="B843" s="107"/>
      <c r="C843" s="107"/>
      <c r="D843" s="107"/>
      <c r="E843" s="107"/>
      <c r="F843" s="107"/>
      <c r="G843" s="107"/>
      <c r="H843" s="107"/>
    </row>
    <row r="844" spans="2:8" x14ac:dyDescent="0.25">
      <c r="B844" s="107"/>
      <c r="C844" s="107"/>
      <c r="D844" s="107"/>
      <c r="E844" s="107"/>
      <c r="F844" s="107"/>
      <c r="G844" s="107"/>
      <c r="H844" s="107"/>
    </row>
    <row r="845" spans="2:8" x14ac:dyDescent="0.25">
      <c r="B845" s="107"/>
      <c r="C845" s="107"/>
      <c r="D845" s="107"/>
      <c r="E845" s="107"/>
      <c r="F845" s="107"/>
      <c r="G845" s="107"/>
      <c r="H845" s="107"/>
    </row>
    <row r="846" spans="2:8" x14ac:dyDescent="0.25">
      <c r="B846" s="107"/>
      <c r="C846" s="107"/>
      <c r="D846" s="107"/>
      <c r="E846" s="107"/>
      <c r="F846" s="107"/>
      <c r="G846" s="107"/>
      <c r="H846" s="107"/>
    </row>
    <row r="847" spans="2:8" x14ac:dyDescent="0.25">
      <c r="B847" s="107"/>
      <c r="C847" s="107"/>
      <c r="D847" s="107"/>
      <c r="E847" s="107"/>
      <c r="F847" s="107"/>
      <c r="G847" s="107"/>
      <c r="H847" s="107"/>
    </row>
    <row r="848" spans="2:8" x14ac:dyDescent="0.25">
      <c r="B848" s="107"/>
      <c r="C848" s="107"/>
      <c r="D848" s="107"/>
      <c r="E848" s="107"/>
      <c r="F848" s="107"/>
      <c r="G848" s="107"/>
      <c r="H848" s="107"/>
    </row>
    <row r="849" spans="2:8" x14ac:dyDescent="0.25">
      <c r="B849" s="107"/>
      <c r="C849" s="107"/>
      <c r="D849" s="107"/>
      <c r="E849" s="107"/>
      <c r="F849" s="107"/>
      <c r="G849" s="107"/>
      <c r="H849" s="107"/>
    </row>
    <row r="850" spans="2:8" x14ac:dyDescent="0.25">
      <c r="B850" s="107"/>
      <c r="C850" s="107"/>
      <c r="D850" s="107"/>
      <c r="E850" s="107"/>
      <c r="F850" s="107"/>
      <c r="G850" s="107"/>
      <c r="H850" s="107"/>
    </row>
    <row r="851" spans="2:8" x14ac:dyDescent="0.25">
      <c r="B851" s="107"/>
      <c r="C851" s="107"/>
      <c r="D851" s="107"/>
      <c r="E851" s="107"/>
      <c r="F851" s="107"/>
      <c r="G851" s="107"/>
      <c r="H851" s="107"/>
    </row>
    <row r="852" spans="2:8" x14ac:dyDescent="0.25">
      <c r="B852" s="107"/>
      <c r="C852" s="107"/>
      <c r="D852" s="107"/>
      <c r="E852" s="107"/>
      <c r="F852" s="107"/>
      <c r="G852" s="107"/>
      <c r="H852" s="107"/>
    </row>
    <row r="853" spans="2:8" x14ac:dyDescent="0.25">
      <c r="B853" s="107"/>
      <c r="C853" s="107"/>
      <c r="D853" s="107"/>
      <c r="E853" s="107"/>
      <c r="F853" s="107"/>
      <c r="G853" s="107"/>
      <c r="H853" s="107"/>
    </row>
    <row r="854" spans="2:8" x14ac:dyDescent="0.25">
      <c r="B854" s="107"/>
      <c r="C854" s="107"/>
      <c r="D854" s="107"/>
      <c r="E854" s="107"/>
      <c r="F854" s="107"/>
      <c r="G854" s="107"/>
      <c r="H854" s="107"/>
    </row>
    <row r="855" spans="2:8" x14ac:dyDescent="0.25">
      <c r="B855" s="107"/>
      <c r="C855" s="107"/>
      <c r="D855" s="107"/>
      <c r="E855" s="107"/>
      <c r="F855" s="107"/>
      <c r="G855" s="107"/>
      <c r="H855" s="107"/>
    </row>
    <row r="856" spans="2:8" x14ac:dyDescent="0.25">
      <c r="B856" s="107"/>
      <c r="C856" s="107"/>
      <c r="D856" s="107"/>
      <c r="E856" s="107"/>
      <c r="F856" s="107"/>
      <c r="G856" s="107"/>
      <c r="H856" s="107"/>
    </row>
    <row r="857" spans="2:8" x14ac:dyDescent="0.25">
      <c r="B857" s="107"/>
      <c r="C857" s="107"/>
      <c r="D857" s="107"/>
      <c r="E857" s="107"/>
      <c r="F857" s="107"/>
      <c r="G857" s="107"/>
      <c r="H857" s="107"/>
    </row>
    <row r="858" spans="2:8" x14ac:dyDescent="0.25">
      <c r="B858" s="107"/>
      <c r="C858" s="107"/>
      <c r="D858" s="107"/>
      <c r="E858" s="107"/>
      <c r="F858" s="107"/>
      <c r="G858" s="107"/>
      <c r="H858" s="107"/>
    </row>
    <row r="859" spans="2:8" x14ac:dyDescent="0.25">
      <c r="B859" s="107"/>
      <c r="C859" s="107"/>
      <c r="D859" s="107"/>
      <c r="E859" s="107"/>
      <c r="F859" s="107"/>
      <c r="G859" s="107"/>
      <c r="H859" s="107"/>
    </row>
    <row r="860" spans="2:8" x14ac:dyDescent="0.25">
      <c r="B860" s="107"/>
      <c r="C860" s="107"/>
      <c r="D860" s="107"/>
      <c r="E860" s="107"/>
      <c r="F860" s="107"/>
      <c r="G860" s="107"/>
      <c r="H860" s="107"/>
    </row>
    <row r="861" spans="2:8" x14ac:dyDescent="0.25">
      <c r="B861" s="107"/>
      <c r="C861" s="107"/>
      <c r="D861" s="107"/>
      <c r="E861" s="107"/>
      <c r="F861" s="107"/>
      <c r="G861" s="107"/>
      <c r="H861" s="107"/>
    </row>
    <row r="862" spans="2:8" x14ac:dyDescent="0.25">
      <c r="B862" s="107"/>
      <c r="C862" s="107"/>
      <c r="D862" s="107"/>
      <c r="E862" s="107"/>
      <c r="F862" s="107"/>
      <c r="G862" s="107"/>
      <c r="H862" s="107"/>
    </row>
    <row r="863" spans="2:8" x14ac:dyDescent="0.25">
      <c r="B863" s="107"/>
      <c r="C863" s="107"/>
      <c r="D863" s="107"/>
      <c r="E863" s="107"/>
      <c r="F863" s="107"/>
      <c r="G863" s="107"/>
      <c r="H863" s="107"/>
    </row>
    <row r="864" spans="2:8" x14ac:dyDescent="0.25">
      <c r="B864" s="107"/>
      <c r="C864" s="107"/>
      <c r="D864" s="107"/>
      <c r="E864" s="107"/>
      <c r="F864" s="107"/>
      <c r="G864" s="107"/>
      <c r="H864" s="107"/>
    </row>
    <row r="865" spans="2:8" x14ac:dyDescent="0.25">
      <c r="B865" s="107"/>
      <c r="C865" s="107"/>
      <c r="D865" s="107"/>
      <c r="E865" s="107"/>
      <c r="F865" s="107"/>
      <c r="G865" s="107"/>
      <c r="H865" s="107"/>
    </row>
    <row r="866" spans="2:8" x14ac:dyDescent="0.25">
      <c r="B866" s="107"/>
      <c r="C866" s="107"/>
      <c r="D866" s="107"/>
      <c r="E866" s="107"/>
      <c r="F866" s="107"/>
      <c r="G866" s="107"/>
      <c r="H866" s="107"/>
    </row>
    <row r="867" spans="2:8" x14ac:dyDescent="0.25">
      <c r="B867" s="107"/>
      <c r="C867" s="107"/>
      <c r="D867" s="107"/>
      <c r="E867" s="107"/>
      <c r="F867" s="107"/>
      <c r="G867" s="107"/>
      <c r="H867" s="107"/>
    </row>
    <row r="868" spans="2:8" x14ac:dyDescent="0.25">
      <c r="B868" s="107"/>
      <c r="C868" s="107"/>
      <c r="D868" s="107"/>
      <c r="E868" s="107"/>
      <c r="F868" s="107"/>
      <c r="G868" s="107"/>
      <c r="H868" s="107"/>
    </row>
    <row r="869" spans="2:8" x14ac:dyDescent="0.25">
      <c r="B869" s="107"/>
      <c r="C869" s="107"/>
      <c r="D869" s="107"/>
      <c r="E869" s="107"/>
      <c r="F869" s="107"/>
      <c r="G869" s="107"/>
      <c r="H869" s="107"/>
    </row>
    <row r="870" spans="2:8" x14ac:dyDescent="0.25">
      <c r="B870" s="107"/>
      <c r="C870" s="107"/>
      <c r="D870" s="107"/>
      <c r="E870" s="107"/>
      <c r="F870" s="107"/>
      <c r="G870" s="107"/>
      <c r="H870" s="107"/>
    </row>
    <row r="871" spans="2:8" x14ac:dyDescent="0.25">
      <c r="B871" s="107"/>
      <c r="C871" s="107"/>
      <c r="D871" s="107"/>
      <c r="E871" s="107"/>
      <c r="F871" s="107"/>
      <c r="G871" s="107"/>
      <c r="H871" s="107"/>
    </row>
    <row r="872" spans="2:8" x14ac:dyDescent="0.25">
      <c r="B872" s="107"/>
      <c r="C872" s="107"/>
      <c r="D872" s="107"/>
      <c r="E872" s="107"/>
      <c r="F872" s="107"/>
      <c r="G872" s="107"/>
      <c r="H872" s="107"/>
    </row>
    <row r="873" spans="2:8" x14ac:dyDescent="0.25">
      <c r="B873" s="107"/>
      <c r="C873" s="107"/>
      <c r="D873" s="107"/>
      <c r="E873" s="107"/>
      <c r="F873" s="107"/>
      <c r="G873" s="107"/>
      <c r="H873" s="107"/>
    </row>
    <row r="874" spans="2:8" x14ac:dyDescent="0.25">
      <c r="B874" s="107"/>
      <c r="C874" s="107"/>
      <c r="D874" s="107"/>
      <c r="E874" s="107"/>
      <c r="F874" s="107"/>
      <c r="G874" s="107"/>
      <c r="H874" s="107"/>
    </row>
    <row r="875" spans="2:8" x14ac:dyDescent="0.25">
      <c r="B875" s="107"/>
      <c r="C875" s="107"/>
      <c r="D875" s="107"/>
      <c r="E875" s="107"/>
      <c r="F875" s="107"/>
      <c r="G875" s="107"/>
      <c r="H875" s="107"/>
    </row>
    <row r="876" spans="2:8" x14ac:dyDescent="0.25">
      <c r="B876" s="107"/>
      <c r="C876" s="107"/>
      <c r="D876" s="107"/>
      <c r="E876" s="107"/>
      <c r="F876" s="107"/>
      <c r="G876" s="107"/>
      <c r="H876" s="107"/>
    </row>
    <row r="877" spans="2:8" x14ac:dyDescent="0.25">
      <c r="B877" s="107"/>
      <c r="C877" s="107"/>
      <c r="D877" s="107"/>
      <c r="E877" s="107"/>
      <c r="F877" s="107"/>
      <c r="G877" s="107"/>
      <c r="H877" s="107"/>
    </row>
    <row r="878" spans="2:8" x14ac:dyDescent="0.25">
      <c r="B878" s="107"/>
      <c r="C878" s="107"/>
      <c r="D878" s="107"/>
      <c r="E878" s="107"/>
      <c r="F878" s="107"/>
      <c r="G878" s="107"/>
      <c r="H878" s="107"/>
    </row>
    <row r="879" spans="2:8" x14ac:dyDescent="0.25">
      <c r="B879" s="107"/>
      <c r="C879" s="107"/>
      <c r="D879" s="107"/>
      <c r="E879" s="107"/>
      <c r="F879" s="107"/>
      <c r="G879" s="107"/>
      <c r="H879" s="107"/>
    </row>
    <row r="880" spans="2:8" x14ac:dyDescent="0.25">
      <c r="B880" s="107"/>
      <c r="C880" s="107"/>
      <c r="D880" s="107"/>
      <c r="E880" s="107"/>
      <c r="F880" s="107"/>
      <c r="G880" s="107"/>
      <c r="H880" s="107"/>
    </row>
    <row r="881" spans="2:8" x14ac:dyDescent="0.25">
      <c r="B881" s="107"/>
      <c r="C881" s="107"/>
      <c r="D881" s="107"/>
      <c r="E881" s="107"/>
      <c r="F881" s="107"/>
      <c r="G881" s="107"/>
      <c r="H881" s="107"/>
    </row>
    <row r="882" spans="2:8" x14ac:dyDescent="0.25">
      <c r="B882" s="107"/>
      <c r="C882" s="107"/>
      <c r="D882" s="107"/>
      <c r="E882" s="107"/>
      <c r="F882" s="107"/>
      <c r="G882" s="107"/>
      <c r="H882" s="107"/>
    </row>
    <row r="883" spans="2:8" x14ac:dyDescent="0.25">
      <c r="B883" s="107"/>
      <c r="C883" s="107"/>
      <c r="D883" s="107"/>
      <c r="E883" s="107"/>
      <c r="F883" s="107"/>
      <c r="G883" s="107"/>
      <c r="H883" s="107"/>
    </row>
    <row r="884" spans="2:8" x14ac:dyDescent="0.25">
      <c r="B884" s="107"/>
      <c r="C884" s="107"/>
      <c r="D884" s="107"/>
      <c r="E884" s="107"/>
      <c r="F884" s="107"/>
      <c r="G884" s="107"/>
      <c r="H884" s="107"/>
    </row>
    <row r="885" spans="2:8" x14ac:dyDescent="0.25">
      <c r="B885" s="107"/>
      <c r="C885" s="107"/>
      <c r="D885" s="107"/>
      <c r="E885" s="107"/>
      <c r="F885" s="107"/>
      <c r="G885" s="107"/>
      <c r="H885" s="107"/>
    </row>
    <row r="886" spans="2:8" x14ac:dyDescent="0.25">
      <c r="B886" s="107"/>
      <c r="C886" s="107"/>
      <c r="D886" s="107"/>
      <c r="E886" s="107"/>
      <c r="F886" s="107"/>
      <c r="G886" s="107"/>
      <c r="H886" s="107"/>
    </row>
    <row r="887" spans="2:8" x14ac:dyDescent="0.25">
      <c r="B887" s="107"/>
      <c r="C887" s="107"/>
      <c r="D887" s="107"/>
      <c r="E887" s="107"/>
      <c r="F887" s="107"/>
      <c r="G887" s="107"/>
      <c r="H887" s="107"/>
    </row>
    <row r="888" spans="2:8" x14ac:dyDescent="0.25">
      <c r="B888" s="107"/>
      <c r="C888" s="107"/>
      <c r="D888" s="107"/>
      <c r="E888" s="107"/>
      <c r="F888" s="107"/>
      <c r="G888" s="107"/>
      <c r="H888" s="107"/>
    </row>
    <row r="889" spans="2:8" x14ac:dyDescent="0.25">
      <c r="B889" s="107"/>
      <c r="C889" s="107"/>
      <c r="D889" s="107"/>
      <c r="E889" s="107"/>
      <c r="F889" s="107"/>
      <c r="G889" s="107"/>
      <c r="H889" s="107"/>
    </row>
    <row r="890" spans="2:8" x14ac:dyDescent="0.25">
      <c r="B890" s="107"/>
      <c r="C890" s="107"/>
      <c r="D890" s="107"/>
      <c r="E890" s="107"/>
      <c r="F890" s="107"/>
      <c r="G890" s="107"/>
      <c r="H890" s="107"/>
    </row>
    <row r="891" spans="2:8" x14ac:dyDescent="0.25">
      <c r="B891" s="107"/>
      <c r="C891" s="107"/>
      <c r="D891" s="107"/>
      <c r="E891" s="107"/>
      <c r="F891" s="107"/>
      <c r="G891" s="107"/>
      <c r="H891" s="107"/>
    </row>
    <row r="892" spans="2:8" x14ac:dyDescent="0.25">
      <c r="B892" s="107"/>
      <c r="C892" s="107"/>
      <c r="D892" s="107"/>
      <c r="E892" s="107"/>
      <c r="F892" s="107"/>
      <c r="G892" s="107"/>
      <c r="H892" s="107"/>
    </row>
    <row r="893" spans="2:8" x14ac:dyDescent="0.25">
      <c r="B893" s="107"/>
      <c r="C893" s="107"/>
      <c r="D893" s="107"/>
      <c r="E893" s="107"/>
      <c r="F893" s="107"/>
      <c r="G893" s="107"/>
      <c r="H893" s="107"/>
    </row>
    <row r="894" spans="2:8" x14ac:dyDescent="0.25">
      <c r="B894" s="107"/>
      <c r="C894" s="107"/>
      <c r="D894" s="107"/>
      <c r="E894" s="107"/>
      <c r="F894" s="107"/>
      <c r="G894" s="107"/>
      <c r="H894" s="107"/>
    </row>
    <row r="895" spans="2:8" x14ac:dyDescent="0.25">
      <c r="B895" s="107"/>
      <c r="C895" s="107"/>
      <c r="D895" s="107"/>
      <c r="E895" s="107"/>
      <c r="F895" s="107"/>
      <c r="G895" s="107"/>
      <c r="H895" s="107"/>
    </row>
    <row r="896" spans="2:8" x14ac:dyDescent="0.25">
      <c r="B896" s="107"/>
      <c r="C896" s="107"/>
      <c r="D896" s="107"/>
      <c r="E896" s="107"/>
      <c r="F896" s="107"/>
      <c r="G896" s="107"/>
      <c r="H896" s="107"/>
    </row>
    <row r="897" spans="2:8" x14ac:dyDescent="0.25">
      <c r="B897" s="107"/>
      <c r="C897" s="107"/>
      <c r="D897" s="107"/>
      <c r="E897" s="107"/>
      <c r="F897" s="107"/>
      <c r="G897" s="107"/>
      <c r="H897" s="107"/>
    </row>
    <row r="898" spans="2:8" x14ac:dyDescent="0.25">
      <c r="B898" s="107"/>
      <c r="C898" s="107"/>
      <c r="D898" s="107"/>
      <c r="E898" s="107"/>
      <c r="F898" s="107"/>
      <c r="G898" s="107"/>
      <c r="H898" s="107"/>
    </row>
    <row r="899" spans="2:8" x14ac:dyDescent="0.25">
      <c r="B899" s="107"/>
      <c r="C899" s="107"/>
      <c r="D899" s="107"/>
      <c r="E899" s="107"/>
      <c r="F899" s="107"/>
      <c r="G899" s="107"/>
      <c r="H899" s="107"/>
    </row>
    <row r="900" spans="2:8" x14ac:dyDescent="0.25">
      <c r="B900" s="107"/>
      <c r="C900" s="107"/>
      <c r="D900" s="107"/>
      <c r="E900" s="107"/>
      <c r="F900" s="107"/>
      <c r="G900" s="107"/>
      <c r="H900" s="107"/>
    </row>
    <row r="901" spans="2:8" x14ac:dyDescent="0.25">
      <c r="B901" s="107"/>
      <c r="C901" s="107"/>
      <c r="D901" s="107"/>
      <c r="E901" s="107"/>
      <c r="F901" s="107"/>
      <c r="G901" s="107"/>
      <c r="H901" s="107"/>
    </row>
    <row r="902" spans="2:8" x14ac:dyDescent="0.25">
      <c r="B902" s="107"/>
      <c r="C902" s="107"/>
      <c r="D902" s="107"/>
      <c r="E902" s="107"/>
      <c r="F902" s="107"/>
      <c r="G902" s="107"/>
      <c r="H902" s="107"/>
    </row>
    <row r="903" spans="2:8" x14ac:dyDescent="0.25">
      <c r="B903" s="107"/>
      <c r="C903" s="107"/>
      <c r="D903" s="107"/>
      <c r="E903" s="107"/>
      <c r="F903" s="107"/>
      <c r="G903" s="107"/>
      <c r="H903" s="107"/>
    </row>
    <row r="904" spans="2:8" x14ac:dyDescent="0.25">
      <c r="B904" s="107"/>
      <c r="C904" s="107"/>
      <c r="D904" s="107"/>
      <c r="E904" s="107"/>
      <c r="F904" s="107"/>
      <c r="G904" s="107"/>
      <c r="H904" s="107"/>
    </row>
    <row r="905" spans="2:8" x14ac:dyDescent="0.25">
      <c r="B905" s="107"/>
      <c r="C905" s="107"/>
      <c r="D905" s="107"/>
      <c r="E905" s="107"/>
      <c r="F905" s="107"/>
      <c r="G905" s="107"/>
      <c r="H905" s="107"/>
    </row>
    <row r="906" spans="2:8" x14ac:dyDescent="0.25">
      <c r="B906" s="107"/>
      <c r="C906" s="107"/>
      <c r="D906" s="107"/>
      <c r="E906" s="107"/>
      <c r="F906" s="107"/>
      <c r="G906" s="107"/>
      <c r="H906" s="107"/>
    </row>
    <row r="907" spans="2:8" x14ac:dyDescent="0.25">
      <c r="B907" s="107"/>
      <c r="C907" s="107"/>
      <c r="D907" s="107"/>
      <c r="E907" s="107"/>
      <c r="F907" s="107"/>
      <c r="G907" s="107"/>
      <c r="H907" s="107"/>
    </row>
    <row r="908" spans="2:8" x14ac:dyDescent="0.25">
      <c r="B908" s="107"/>
      <c r="C908" s="107"/>
      <c r="D908" s="107"/>
      <c r="E908" s="107"/>
      <c r="F908" s="107"/>
      <c r="G908" s="107"/>
      <c r="H908" s="107"/>
    </row>
    <row r="909" spans="2:8" x14ac:dyDescent="0.25">
      <c r="B909" s="107"/>
      <c r="C909" s="107"/>
      <c r="D909" s="107"/>
      <c r="E909" s="107"/>
      <c r="F909" s="107"/>
      <c r="G909" s="107"/>
      <c r="H909" s="107"/>
    </row>
    <row r="910" spans="2:8" x14ac:dyDescent="0.25">
      <c r="B910" s="107"/>
      <c r="C910" s="107"/>
      <c r="D910" s="107"/>
      <c r="E910" s="107"/>
      <c r="F910" s="107"/>
      <c r="G910" s="107"/>
      <c r="H910" s="107"/>
    </row>
    <row r="911" spans="2:8" x14ac:dyDescent="0.25">
      <c r="B911" s="107"/>
      <c r="C911" s="107"/>
      <c r="D911" s="107"/>
      <c r="E911" s="107"/>
      <c r="F911" s="107"/>
      <c r="G911" s="107"/>
      <c r="H911" s="107"/>
    </row>
    <row r="912" spans="2:8" x14ac:dyDescent="0.25">
      <c r="B912" s="107"/>
      <c r="C912" s="107"/>
      <c r="D912" s="107"/>
      <c r="E912" s="107"/>
      <c r="F912" s="107"/>
      <c r="G912" s="107"/>
      <c r="H912" s="107"/>
    </row>
    <row r="913" spans="2:8" x14ac:dyDescent="0.25">
      <c r="B913" s="107"/>
      <c r="C913" s="107"/>
      <c r="D913" s="107"/>
      <c r="E913" s="107"/>
      <c r="F913" s="107"/>
      <c r="G913" s="107"/>
      <c r="H913" s="107"/>
    </row>
    <row r="914" spans="2:8" x14ac:dyDescent="0.25">
      <c r="B914" s="107"/>
      <c r="C914" s="107"/>
      <c r="D914" s="107"/>
      <c r="E914" s="107"/>
      <c r="F914" s="107"/>
      <c r="G914" s="107"/>
      <c r="H914" s="107"/>
    </row>
    <row r="915" spans="2:8" x14ac:dyDescent="0.25">
      <c r="B915" s="107"/>
      <c r="C915" s="107"/>
      <c r="D915" s="107"/>
      <c r="E915" s="107"/>
      <c r="F915" s="107"/>
      <c r="G915" s="107"/>
      <c r="H915" s="107"/>
    </row>
    <row r="916" spans="2:8" x14ac:dyDescent="0.25">
      <c r="B916" s="107"/>
      <c r="C916" s="107"/>
      <c r="D916" s="107"/>
      <c r="E916" s="107"/>
      <c r="F916" s="107"/>
      <c r="G916" s="107"/>
      <c r="H916" s="107"/>
    </row>
    <row r="917" spans="2:8" x14ac:dyDescent="0.25">
      <c r="B917" s="107"/>
      <c r="C917" s="107"/>
      <c r="D917" s="107"/>
      <c r="E917" s="107"/>
      <c r="F917" s="107"/>
      <c r="G917" s="107"/>
      <c r="H917" s="107"/>
    </row>
    <row r="918" spans="2:8" x14ac:dyDescent="0.25">
      <c r="B918" s="107"/>
      <c r="C918" s="107"/>
      <c r="D918" s="107"/>
      <c r="E918" s="107"/>
      <c r="F918" s="107"/>
      <c r="G918" s="107"/>
      <c r="H918" s="107"/>
    </row>
    <row r="919" spans="2:8" x14ac:dyDescent="0.25">
      <c r="B919" s="107"/>
      <c r="C919" s="107"/>
      <c r="D919" s="107"/>
      <c r="E919" s="107"/>
      <c r="F919" s="107"/>
      <c r="G919" s="107"/>
      <c r="H919" s="107"/>
    </row>
    <row r="920" spans="2:8" x14ac:dyDescent="0.25">
      <c r="B920" s="107"/>
      <c r="C920" s="107"/>
      <c r="D920" s="107"/>
      <c r="E920" s="107"/>
      <c r="F920" s="107"/>
      <c r="G920" s="107"/>
      <c r="H920" s="107"/>
    </row>
    <row r="921" spans="2:8" x14ac:dyDescent="0.25">
      <c r="B921" s="107"/>
      <c r="C921" s="107"/>
      <c r="D921" s="107"/>
      <c r="E921" s="107"/>
      <c r="F921" s="107"/>
      <c r="G921" s="107"/>
      <c r="H921" s="107"/>
    </row>
    <row r="922" spans="2:8" x14ac:dyDescent="0.25">
      <c r="B922" s="107"/>
      <c r="C922" s="107"/>
      <c r="D922" s="107"/>
      <c r="E922" s="107"/>
      <c r="F922" s="107"/>
      <c r="G922" s="107"/>
      <c r="H922" s="107"/>
    </row>
    <row r="923" spans="2:8" x14ac:dyDescent="0.25">
      <c r="B923" s="107"/>
      <c r="C923" s="107"/>
      <c r="D923" s="107"/>
      <c r="E923" s="107"/>
      <c r="F923" s="107"/>
      <c r="G923" s="107"/>
      <c r="H923" s="107"/>
    </row>
    <row r="924" spans="2:8" x14ac:dyDescent="0.25">
      <c r="B924" s="107"/>
      <c r="C924" s="107"/>
      <c r="D924" s="107"/>
      <c r="E924" s="107"/>
      <c r="F924" s="107"/>
      <c r="G924" s="107"/>
      <c r="H924" s="107"/>
    </row>
    <row r="925" spans="2:8" x14ac:dyDescent="0.25">
      <c r="B925" s="107"/>
      <c r="C925" s="107"/>
      <c r="D925" s="107"/>
      <c r="E925" s="107"/>
      <c r="F925" s="107"/>
      <c r="G925" s="107"/>
      <c r="H925" s="107"/>
    </row>
    <row r="926" spans="2:8" x14ac:dyDescent="0.25">
      <c r="B926" s="107"/>
      <c r="C926" s="107"/>
      <c r="D926" s="107"/>
      <c r="E926" s="107"/>
      <c r="F926" s="107"/>
      <c r="G926" s="107"/>
      <c r="H926" s="107"/>
    </row>
    <row r="927" spans="2:8" x14ac:dyDescent="0.25">
      <c r="B927" s="107"/>
      <c r="C927" s="107"/>
      <c r="D927" s="107"/>
      <c r="E927" s="107"/>
      <c r="F927" s="107"/>
      <c r="G927" s="107"/>
      <c r="H927" s="107"/>
    </row>
    <row r="928" spans="2:8" x14ac:dyDescent="0.25">
      <c r="B928" s="107"/>
      <c r="C928" s="107"/>
      <c r="D928" s="107"/>
      <c r="E928" s="107"/>
      <c r="F928" s="107"/>
      <c r="G928" s="107"/>
      <c r="H928" s="107"/>
    </row>
    <row r="929" spans="2:8" x14ac:dyDescent="0.25">
      <c r="B929" s="107"/>
      <c r="C929" s="107"/>
      <c r="D929" s="107"/>
      <c r="E929" s="107"/>
      <c r="F929" s="107"/>
      <c r="G929" s="107"/>
      <c r="H929" s="107"/>
    </row>
    <row r="930" spans="2:8" x14ac:dyDescent="0.25">
      <c r="B930" s="107"/>
      <c r="C930" s="107"/>
      <c r="D930" s="107"/>
      <c r="E930" s="107"/>
      <c r="F930" s="107"/>
      <c r="G930" s="107"/>
      <c r="H930" s="107"/>
    </row>
    <row r="931" spans="2:8" x14ac:dyDescent="0.25">
      <c r="B931" s="107"/>
      <c r="C931" s="107"/>
      <c r="D931" s="107"/>
      <c r="E931" s="107"/>
      <c r="F931" s="107"/>
      <c r="G931" s="107"/>
      <c r="H931" s="107"/>
    </row>
    <row r="932" spans="2:8" x14ac:dyDescent="0.25">
      <c r="B932" s="107"/>
      <c r="C932" s="107"/>
      <c r="D932" s="107"/>
      <c r="E932" s="107"/>
      <c r="F932" s="107"/>
      <c r="G932" s="107"/>
      <c r="H932" s="107"/>
    </row>
    <row r="933" spans="2:8" x14ac:dyDescent="0.25">
      <c r="B933" s="107"/>
      <c r="C933" s="107"/>
      <c r="D933" s="107"/>
      <c r="E933" s="107"/>
      <c r="F933" s="107"/>
      <c r="G933" s="107"/>
      <c r="H933" s="107"/>
    </row>
    <row r="934" spans="2:8" x14ac:dyDescent="0.25">
      <c r="B934" s="107"/>
      <c r="C934" s="107"/>
      <c r="D934" s="107"/>
      <c r="E934" s="107"/>
      <c r="F934" s="107"/>
      <c r="G934" s="107"/>
      <c r="H934" s="107"/>
    </row>
    <row r="935" spans="2:8" x14ac:dyDescent="0.25">
      <c r="B935" s="107"/>
      <c r="C935" s="107"/>
      <c r="D935" s="107"/>
      <c r="E935" s="107"/>
      <c r="F935" s="107"/>
      <c r="G935" s="107"/>
      <c r="H935" s="107"/>
    </row>
    <row r="936" spans="2:8" x14ac:dyDescent="0.25">
      <c r="B936" s="107"/>
      <c r="C936" s="107"/>
      <c r="D936" s="107"/>
      <c r="E936" s="107"/>
      <c r="F936" s="107"/>
      <c r="G936" s="107"/>
      <c r="H936" s="107"/>
    </row>
    <row r="937" spans="2:8" x14ac:dyDescent="0.25">
      <c r="B937" s="107"/>
      <c r="C937" s="107"/>
      <c r="D937" s="107"/>
      <c r="E937" s="107"/>
      <c r="F937" s="107"/>
      <c r="G937" s="107"/>
      <c r="H937" s="107"/>
    </row>
    <row r="938" spans="2:8" x14ac:dyDescent="0.25">
      <c r="B938" s="107"/>
      <c r="C938" s="107"/>
      <c r="D938" s="107"/>
      <c r="E938" s="107"/>
      <c r="F938" s="107"/>
      <c r="G938" s="107"/>
      <c r="H938" s="107"/>
    </row>
    <row r="939" spans="2:8" x14ac:dyDescent="0.25">
      <c r="B939" s="107"/>
      <c r="C939" s="107"/>
      <c r="D939" s="107"/>
      <c r="E939" s="107"/>
      <c r="F939" s="107"/>
      <c r="G939" s="107"/>
      <c r="H939" s="107"/>
    </row>
    <row r="940" spans="2:8" x14ac:dyDescent="0.25">
      <c r="B940" s="107"/>
      <c r="C940" s="107"/>
      <c r="D940" s="107"/>
      <c r="E940" s="107"/>
      <c r="F940" s="107"/>
      <c r="G940" s="107"/>
      <c r="H940" s="107"/>
    </row>
    <row r="941" spans="2:8" x14ac:dyDescent="0.25">
      <c r="B941" s="107"/>
      <c r="C941" s="107"/>
      <c r="D941" s="107"/>
      <c r="E941" s="107"/>
      <c r="F941" s="107"/>
      <c r="G941" s="107"/>
      <c r="H941" s="107"/>
    </row>
    <row r="942" spans="2:8" x14ac:dyDescent="0.25">
      <c r="B942" s="107"/>
      <c r="C942" s="107"/>
      <c r="D942" s="107"/>
      <c r="E942" s="107"/>
      <c r="F942" s="107"/>
      <c r="G942" s="107"/>
      <c r="H942" s="107"/>
    </row>
    <row r="943" spans="2:8" x14ac:dyDescent="0.25">
      <c r="B943" s="107"/>
      <c r="C943" s="107"/>
      <c r="D943" s="107"/>
      <c r="E943" s="107"/>
      <c r="F943" s="107"/>
      <c r="G943" s="107"/>
      <c r="H943" s="107"/>
    </row>
    <row r="944" spans="2:8" x14ac:dyDescent="0.25">
      <c r="B944" s="107"/>
      <c r="C944" s="107"/>
      <c r="D944" s="107"/>
      <c r="E944" s="107"/>
      <c r="F944" s="107"/>
      <c r="G944" s="107"/>
      <c r="H944" s="107"/>
    </row>
    <row r="945" spans="2:8" x14ac:dyDescent="0.25">
      <c r="B945" s="107"/>
      <c r="C945" s="107"/>
      <c r="D945" s="107"/>
      <c r="E945" s="107"/>
      <c r="F945" s="107"/>
      <c r="G945" s="107"/>
      <c r="H945" s="107"/>
    </row>
    <row r="946" spans="2:8" x14ac:dyDescent="0.25">
      <c r="B946" s="107"/>
      <c r="C946" s="107"/>
      <c r="D946" s="107"/>
      <c r="E946" s="107"/>
      <c r="F946" s="107"/>
      <c r="G946" s="107"/>
      <c r="H946" s="107"/>
    </row>
    <row r="947" spans="2:8" x14ac:dyDescent="0.25">
      <c r="B947" s="107"/>
      <c r="C947" s="107"/>
      <c r="D947" s="107"/>
      <c r="E947" s="107"/>
      <c r="F947" s="107"/>
      <c r="G947" s="107"/>
      <c r="H947" s="107"/>
    </row>
    <row r="948" spans="2:8" x14ac:dyDescent="0.25">
      <c r="B948" s="107"/>
      <c r="C948" s="107"/>
      <c r="D948" s="107"/>
      <c r="E948" s="107"/>
      <c r="F948" s="107"/>
      <c r="G948" s="107"/>
      <c r="H948" s="107"/>
    </row>
    <row r="949" spans="2:8" x14ac:dyDescent="0.25">
      <c r="B949" s="107"/>
      <c r="C949" s="107"/>
      <c r="D949" s="107"/>
      <c r="E949" s="107"/>
      <c r="F949" s="107"/>
      <c r="G949" s="107"/>
      <c r="H949" s="107"/>
    </row>
    <row r="950" spans="2:8" x14ac:dyDescent="0.25">
      <c r="B950" s="107"/>
      <c r="C950" s="107"/>
      <c r="D950" s="107"/>
      <c r="E950" s="107"/>
      <c r="F950" s="107"/>
      <c r="G950" s="107"/>
      <c r="H950" s="107"/>
    </row>
    <row r="951" spans="2:8" x14ac:dyDescent="0.25">
      <c r="B951" s="107"/>
      <c r="C951" s="107"/>
      <c r="D951" s="107"/>
      <c r="E951" s="107"/>
      <c r="F951" s="107"/>
      <c r="G951" s="107"/>
      <c r="H951" s="107"/>
    </row>
    <row r="952" spans="2:8" x14ac:dyDescent="0.25">
      <c r="B952" s="107"/>
      <c r="C952" s="107"/>
      <c r="D952" s="107"/>
      <c r="E952" s="107"/>
      <c r="F952" s="107"/>
      <c r="G952" s="107"/>
      <c r="H952" s="107"/>
    </row>
    <row r="953" spans="2:8" x14ac:dyDescent="0.25">
      <c r="B953" s="107"/>
      <c r="C953" s="107"/>
      <c r="D953" s="107"/>
      <c r="E953" s="107"/>
      <c r="F953" s="107"/>
      <c r="G953" s="107"/>
      <c r="H953" s="107"/>
    </row>
    <row r="954" spans="2:8" x14ac:dyDescent="0.25">
      <c r="B954" s="107"/>
      <c r="C954" s="107"/>
      <c r="D954" s="107"/>
      <c r="E954" s="107"/>
      <c r="F954" s="107"/>
      <c r="G954" s="107"/>
      <c r="H954" s="107"/>
    </row>
    <row r="955" spans="2:8" x14ac:dyDescent="0.25">
      <c r="B955" s="107"/>
      <c r="C955" s="107"/>
      <c r="D955" s="107"/>
      <c r="E955" s="107"/>
      <c r="F955" s="107"/>
      <c r="G955" s="107"/>
      <c r="H955" s="107"/>
    </row>
    <row r="956" spans="2:8" x14ac:dyDescent="0.25">
      <c r="B956" s="107"/>
      <c r="C956" s="107"/>
      <c r="D956" s="107"/>
      <c r="E956" s="107"/>
      <c r="F956" s="107"/>
      <c r="G956" s="107"/>
      <c r="H956" s="107"/>
    </row>
    <row r="957" spans="2:8" x14ac:dyDescent="0.25">
      <c r="B957" s="107"/>
      <c r="C957" s="107"/>
      <c r="D957" s="107"/>
      <c r="E957" s="107"/>
      <c r="F957" s="107"/>
      <c r="G957" s="107"/>
      <c r="H957" s="107"/>
    </row>
    <row r="958" spans="2:8" x14ac:dyDescent="0.25">
      <c r="B958" s="107"/>
      <c r="C958" s="107"/>
      <c r="D958" s="107"/>
      <c r="E958" s="107"/>
      <c r="F958" s="107"/>
      <c r="G958" s="107"/>
      <c r="H958" s="107"/>
    </row>
    <row r="959" spans="2:8" x14ac:dyDescent="0.25">
      <c r="B959" s="107"/>
      <c r="C959" s="107"/>
      <c r="D959" s="107"/>
      <c r="E959" s="107"/>
      <c r="F959" s="107"/>
      <c r="G959" s="107"/>
      <c r="H959" s="107"/>
    </row>
    <row r="960" spans="2:8" x14ac:dyDescent="0.25">
      <c r="B960" s="107"/>
      <c r="C960" s="107"/>
      <c r="D960" s="107"/>
      <c r="E960" s="107"/>
      <c r="F960" s="107"/>
      <c r="G960" s="107"/>
      <c r="H960" s="107"/>
    </row>
    <row r="961" spans="2:8" x14ac:dyDescent="0.25">
      <c r="B961" s="107"/>
      <c r="C961" s="107"/>
      <c r="D961" s="107"/>
      <c r="E961" s="107"/>
      <c r="F961" s="107"/>
      <c r="G961" s="107"/>
      <c r="H961" s="107"/>
    </row>
    <row r="962" spans="2:8" x14ac:dyDescent="0.25">
      <c r="B962" s="107"/>
      <c r="C962" s="107"/>
      <c r="D962" s="107"/>
      <c r="E962" s="107"/>
      <c r="F962" s="107"/>
      <c r="G962" s="107"/>
      <c r="H962" s="107"/>
    </row>
    <row r="963" spans="2:8" x14ac:dyDescent="0.25">
      <c r="B963" s="107"/>
      <c r="C963" s="107"/>
      <c r="D963" s="107"/>
      <c r="E963" s="107"/>
      <c r="F963" s="107"/>
      <c r="G963" s="107"/>
      <c r="H963" s="107"/>
    </row>
    <row r="964" spans="2:8" x14ac:dyDescent="0.25">
      <c r="B964" s="107"/>
      <c r="C964" s="107"/>
      <c r="D964" s="107"/>
      <c r="E964" s="107"/>
      <c r="F964" s="107"/>
      <c r="G964" s="107"/>
      <c r="H964" s="107"/>
    </row>
    <row r="965" spans="2:8" x14ac:dyDescent="0.25">
      <c r="B965" s="107"/>
      <c r="C965" s="107"/>
      <c r="D965" s="107"/>
      <c r="E965" s="107"/>
      <c r="F965" s="107"/>
      <c r="G965" s="107"/>
      <c r="H965" s="107"/>
    </row>
    <row r="966" spans="2:8" x14ac:dyDescent="0.25">
      <c r="B966" s="107"/>
      <c r="C966" s="107"/>
      <c r="D966" s="107"/>
      <c r="E966" s="107"/>
      <c r="F966" s="107"/>
      <c r="G966" s="107"/>
      <c r="H966" s="107"/>
    </row>
    <row r="967" spans="2:8" x14ac:dyDescent="0.25">
      <c r="B967" s="107"/>
      <c r="C967" s="107"/>
      <c r="D967" s="107"/>
      <c r="E967" s="107"/>
      <c r="F967" s="107"/>
      <c r="G967" s="107"/>
      <c r="H967" s="107"/>
    </row>
    <row r="968" spans="2:8" x14ac:dyDescent="0.25">
      <c r="B968" s="107"/>
      <c r="C968" s="107"/>
      <c r="D968" s="107"/>
      <c r="E968" s="107"/>
      <c r="F968" s="107"/>
      <c r="G968" s="107"/>
      <c r="H968" s="107"/>
    </row>
    <row r="969" spans="2:8" x14ac:dyDescent="0.25">
      <c r="B969" s="107"/>
      <c r="C969" s="107"/>
      <c r="D969" s="107"/>
      <c r="E969" s="107"/>
      <c r="F969" s="107"/>
      <c r="G969" s="107"/>
      <c r="H969" s="107"/>
    </row>
    <row r="970" spans="2:8" x14ac:dyDescent="0.25">
      <c r="B970" s="107"/>
      <c r="C970" s="107"/>
      <c r="D970" s="107"/>
      <c r="E970" s="107"/>
      <c r="F970" s="107"/>
      <c r="G970" s="107"/>
      <c r="H970" s="107"/>
    </row>
    <row r="971" spans="2:8" x14ac:dyDescent="0.25">
      <c r="B971" s="107"/>
      <c r="C971" s="107"/>
      <c r="D971" s="107"/>
      <c r="E971" s="107"/>
      <c r="F971" s="107"/>
      <c r="G971" s="107"/>
      <c r="H971" s="107"/>
    </row>
    <row r="972" spans="2:8" x14ac:dyDescent="0.25">
      <c r="B972" s="107"/>
      <c r="C972" s="107"/>
      <c r="D972" s="107"/>
      <c r="E972" s="107"/>
      <c r="F972" s="107"/>
      <c r="G972" s="107"/>
      <c r="H972" s="107"/>
    </row>
    <row r="973" spans="2:8" x14ac:dyDescent="0.25">
      <c r="B973" s="107"/>
      <c r="C973" s="107"/>
      <c r="D973" s="107"/>
      <c r="E973" s="107"/>
      <c r="F973" s="107"/>
      <c r="G973" s="107"/>
      <c r="H973" s="107"/>
    </row>
    <row r="974" spans="2:8" x14ac:dyDescent="0.25">
      <c r="B974" s="107"/>
      <c r="C974" s="107"/>
      <c r="D974" s="107"/>
      <c r="E974" s="107"/>
      <c r="F974" s="107"/>
      <c r="G974" s="107"/>
      <c r="H974" s="107"/>
    </row>
    <row r="975" spans="2:8" x14ac:dyDescent="0.25">
      <c r="B975" s="107"/>
      <c r="C975" s="107"/>
      <c r="D975" s="107"/>
      <c r="E975" s="107"/>
      <c r="F975" s="107"/>
      <c r="G975" s="107"/>
      <c r="H975" s="107"/>
    </row>
    <row r="976" spans="2:8" x14ac:dyDescent="0.25">
      <c r="B976" s="107"/>
      <c r="C976" s="107"/>
      <c r="D976" s="107"/>
      <c r="E976" s="107"/>
      <c r="F976" s="107"/>
      <c r="G976" s="107"/>
      <c r="H976" s="107"/>
    </row>
    <row r="977" spans="2:8" x14ac:dyDescent="0.25">
      <c r="B977" s="107"/>
      <c r="C977" s="107"/>
      <c r="D977" s="107"/>
      <c r="E977" s="107"/>
      <c r="F977" s="107"/>
      <c r="G977" s="107"/>
      <c r="H977" s="107"/>
    </row>
    <row r="978" spans="2:8" x14ac:dyDescent="0.25">
      <c r="B978" s="107"/>
      <c r="C978" s="107"/>
      <c r="D978" s="107"/>
      <c r="E978" s="107"/>
      <c r="F978" s="107"/>
      <c r="G978" s="107"/>
      <c r="H978" s="107"/>
    </row>
    <row r="979" spans="2:8" x14ac:dyDescent="0.25">
      <c r="B979" s="107"/>
      <c r="C979" s="107"/>
      <c r="D979" s="107"/>
      <c r="E979" s="107"/>
      <c r="F979" s="107"/>
      <c r="G979" s="107"/>
      <c r="H979" s="107"/>
    </row>
    <row r="980" spans="2:8" x14ac:dyDescent="0.25">
      <c r="B980" s="107"/>
      <c r="C980" s="107"/>
      <c r="D980" s="107"/>
      <c r="E980" s="107"/>
      <c r="F980" s="107"/>
      <c r="G980" s="107"/>
      <c r="H980" s="107"/>
    </row>
    <row r="981" spans="2:8" x14ac:dyDescent="0.25">
      <c r="B981" s="107"/>
      <c r="C981" s="107"/>
      <c r="D981" s="107"/>
      <c r="E981" s="107"/>
      <c r="F981" s="107"/>
      <c r="G981" s="107"/>
      <c r="H981" s="107"/>
    </row>
    <row r="982" spans="2:8" x14ac:dyDescent="0.25">
      <c r="B982" s="107"/>
      <c r="C982" s="107"/>
      <c r="D982" s="107"/>
      <c r="E982" s="107"/>
      <c r="F982" s="107"/>
      <c r="G982" s="107"/>
      <c r="H982" s="107"/>
    </row>
    <row r="983" spans="2:8" x14ac:dyDescent="0.25">
      <c r="B983" s="107"/>
      <c r="C983" s="107"/>
      <c r="D983" s="107"/>
      <c r="E983" s="107"/>
      <c r="F983" s="107"/>
      <c r="G983" s="107"/>
      <c r="H983" s="107"/>
    </row>
    <row r="984" spans="2:8" x14ac:dyDescent="0.25">
      <c r="B984" s="107"/>
      <c r="C984" s="107"/>
      <c r="D984" s="107"/>
      <c r="E984" s="107"/>
      <c r="F984" s="107"/>
      <c r="G984" s="107"/>
      <c r="H984" s="107"/>
    </row>
    <row r="985" spans="2:8" x14ac:dyDescent="0.25">
      <c r="B985" s="107"/>
      <c r="C985" s="107"/>
      <c r="D985" s="107"/>
      <c r="E985" s="107"/>
      <c r="F985" s="107"/>
      <c r="G985" s="107"/>
      <c r="H985" s="107"/>
    </row>
    <row r="986" spans="2:8" x14ac:dyDescent="0.25">
      <c r="B986" s="107"/>
      <c r="C986" s="107"/>
      <c r="D986" s="107"/>
      <c r="E986" s="107"/>
      <c r="F986" s="107"/>
      <c r="G986" s="107"/>
      <c r="H986" s="107"/>
    </row>
    <row r="987" spans="2:8" x14ac:dyDescent="0.25">
      <c r="B987" s="107"/>
      <c r="C987" s="107"/>
      <c r="D987" s="107"/>
      <c r="E987" s="107"/>
      <c r="F987" s="107"/>
      <c r="G987" s="107"/>
      <c r="H987" s="107"/>
    </row>
    <row r="988" spans="2:8" x14ac:dyDescent="0.25">
      <c r="B988" s="107"/>
      <c r="C988" s="107"/>
      <c r="D988" s="107"/>
      <c r="E988" s="107"/>
      <c r="F988" s="107"/>
      <c r="G988" s="107"/>
      <c r="H988" s="107"/>
    </row>
    <row r="989" spans="2:8" x14ac:dyDescent="0.25">
      <c r="B989" s="107"/>
      <c r="C989" s="107"/>
      <c r="D989" s="107"/>
      <c r="E989" s="107"/>
      <c r="F989" s="107"/>
      <c r="G989" s="107"/>
      <c r="H989" s="107"/>
    </row>
    <row r="990" spans="2:8" x14ac:dyDescent="0.25">
      <c r="B990" s="107"/>
      <c r="C990" s="107"/>
      <c r="D990" s="107"/>
      <c r="E990" s="107"/>
      <c r="F990" s="107"/>
      <c r="G990" s="107"/>
      <c r="H990" s="107"/>
    </row>
    <row r="991" spans="2:8" x14ac:dyDescent="0.25">
      <c r="B991" s="107"/>
      <c r="C991" s="107"/>
      <c r="D991" s="107"/>
      <c r="E991" s="107"/>
      <c r="F991" s="107"/>
      <c r="G991" s="107"/>
      <c r="H991" s="107"/>
    </row>
    <row r="992" spans="2:8" x14ac:dyDescent="0.25">
      <c r="B992" s="107"/>
      <c r="C992" s="107"/>
      <c r="D992" s="107"/>
      <c r="E992" s="107"/>
      <c r="F992" s="107"/>
      <c r="G992" s="107"/>
      <c r="H992" s="107"/>
    </row>
    <row r="993" spans="2:8" x14ac:dyDescent="0.25">
      <c r="B993" s="107"/>
      <c r="C993" s="107"/>
      <c r="D993" s="107"/>
      <c r="E993" s="107"/>
      <c r="F993" s="107"/>
      <c r="G993" s="107"/>
      <c r="H993" s="107"/>
    </row>
    <row r="994" spans="2:8" x14ac:dyDescent="0.25">
      <c r="B994" s="107"/>
      <c r="C994" s="107"/>
      <c r="D994" s="107"/>
      <c r="E994" s="107"/>
      <c r="F994" s="107"/>
      <c r="G994" s="107"/>
      <c r="H994" s="107"/>
    </row>
    <row r="995" spans="2:8" x14ac:dyDescent="0.25">
      <c r="B995" s="107"/>
      <c r="C995" s="107"/>
      <c r="D995" s="107"/>
      <c r="E995" s="107"/>
      <c r="F995" s="107"/>
      <c r="G995" s="107"/>
      <c r="H995" s="107"/>
    </row>
    <row r="996" spans="2:8" x14ac:dyDescent="0.25">
      <c r="B996" s="107"/>
      <c r="C996" s="107"/>
      <c r="D996" s="107"/>
      <c r="E996" s="107"/>
      <c r="F996" s="107"/>
      <c r="G996" s="107"/>
      <c r="H996" s="107"/>
    </row>
    <row r="997" spans="2:8" x14ac:dyDescent="0.25">
      <c r="B997" s="107"/>
      <c r="C997" s="107"/>
      <c r="D997" s="107"/>
      <c r="E997" s="107"/>
      <c r="F997" s="107"/>
      <c r="G997" s="107"/>
      <c r="H997" s="107"/>
    </row>
    <row r="998" spans="2:8" x14ac:dyDescent="0.25">
      <c r="B998" s="107"/>
      <c r="C998" s="107"/>
      <c r="D998" s="107"/>
      <c r="E998" s="107"/>
      <c r="F998" s="107"/>
      <c r="G998" s="107"/>
      <c r="H998" s="107"/>
    </row>
    <row r="999" spans="2:8" x14ac:dyDescent="0.25">
      <c r="B999" s="107"/>
      <c r="C999" s="107"/>
      <c r="D999" s="107"/>
      <c r="E999" s="107"/>
      <c r="F999" s="107"/>
      <c r="G999" s="107"/>
      <c r="H999" s="107"/>
    </row>
    <row r="1000" spans="2:8" x14ac:dyDescent="0.25">
      <c r="B1000" s="107"/>
      <c r="C1000" s="107"/>
      <c r="D1000" s="107"/>
      <c r="E1000" s="107"/>
      <c r="F1000" s="107"/>
      <c r="G1000" s="107"/>
      <c r="H1000" s="107"/>
    </row>
    <row r="1001" spans="2:8" x14ac:dyDescent="0.25">
      <c r="B1001" s="107"/>
      <c r="C1001" s="107"/>
      <c r="D1001" s="107"/>
      <c r="E1001" s="107"/>
      <c r="F1001" s="107"/>
      <c r="G1001" s="107"/>
      <c r="H1001" s="107"/>
    </row>
    <row r="1002" spans="2:8" x14ac:dyDescent="0.25">
      <c r="B1002" s="107"/>
      <c r="C1002" s="107"/>
      <c r="D1002" s="107"/>
      <c r="E1002" s="107"/>
      <c r="F1002" s="107"/>
      <c r="G1002" s="107"/>
      <c r="H1002" s="107"/>
    </row>
    <row r="1003" spans="2:8" x14ac:dyDescent="0.25">
      <c r="B1003" s="107"/>
      <c r="C1003" s="107"/>
      <c r="D1003" s="107"/>
      <c r="E1003" s="107"/>
      <c r="F1003" s="107"/>
      <c r="G1003" s="107"/>
      <c r="H1003" s="107"/>
    </row>
    <row r="1004" spans="2:8" x14ac:dyDescent="0.25">
      <c r="B1004" s="107"/>
      <c r="C1004" s="107"/>
      <c r="D1004" s="107"/>
      <c r="E1004" s="107"/>
      <c r="F1004" s="107"/>
      <c r="G1004" s="107"/>
    </row>
    <row r="1005" spans="2:8" x14ac:dyDescent="0.25">
      <c r="B1005" s="107"/>
      <c r="C1005" s="107"/>
      <c r="D1005" s="107"/>
      <c r="E1005" s="107"/>
      <c r="F1005" s="107"/>
      <c r="G1005" s="107"/>
    </row>
  </sheetData>
  <sheetProtection password="E218" sheet="1" objects="1" scenarios="1"/>
  <mergeCells count="6">
    <mergeCell ref="G11:G12"/>
    <mergeCell ref="B2:E3"/>
    <mergeCell ref="E7:E8"/>
    <mergeCell ref="E11:E12"/>
    <mergeCell ref="B10:B11"/>
    <mergeCell ref="F5:F6"/>
  </mergeCells>
  <phoneticPr fontId="0" type="noConversion"/>
  <printOptions horizontalCentered="1" verticalCentered="1"/>
  <pageMargins left="0.67" right="0.75" top="0.97" bottom="1" header="0.5" footer="0.5"/>
  <pageSetup scale="84" orientation="landscape" horizontalDpi="1200" r:id="rId1"/>
  <headerFooter alignWithMargins="0">
    <oddFooter>&amp;CAWWA Water Loss Control Committee&amp;R&amp;A     &amp;P</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03B5F-B48C-497E-B8D2-CBA17EF348AF}">
  <sheetPr codeName="Sheet7"/>
  <dimension ref="A1:M25"/>
  <sheetViews>
    <sheetView workbookViewId="0">
      <selection activeCell="D14" sqref="D14"/>
    </sheetView>
  </sheetViews>
  <sheetFormatPr defaultRowHeight="12.75" x14ac:dyDescent="0.2"/>
  <cols>
    <col min="1" max="1" width="2.7109375" customWidth="1"/>
    <col min="2" max="2" width="64" customWidth="1"/>
    <col min="3" max="3" width="6.85546875" customWidth="1"/>
    <col min="4" max="4" width="6.85546875" bestFit="1" customWidth="1"/>
    <col min="5" max="5" width="9.28515625" bestFit="1" customWidth="1"/>
    <col min="6" max="6" width="8.7109375" bestFit="1" customWidth="1"/>
    <col min="7" max="7" width="12.5703125" bestFit="1" customWidth="1"/>
    <col min="8" max="8" width="10.140625" customWidth="1"/>
    <col min="9" max="9" width="10.7109375" bestFit="1" customWidth="1"/>
    <col min="10" max="10" width="2.28515625" customWidth="1"/>
    <col min="11" max="11" width="11.42578125" bestFit="1" customWidth="1"/>
    <col min="12" max="12" width="9.42578125" bestFit="1" customWidth="1"/>
    <col min="13" max="13" width="13.5703125" bestFit="1" customWidth="1"/>
  </cols>
  <sheetData>
    <row r="1" spans="1:13" ht="138" customHeight="1" x14ac:dyDescent="0.2"/>
    <row r="2" spans="1:13" x14ac:dyDescent="0.2">
      <c r="G2" s="309" t="s">
        <v>261</v>
      </c>
    </row>
    <row r="3" spans="1:13" x14ac:dyDescent="0.2">
      <c r="C3" s="308" t="s">
        <v>258</v>
      </c>
      <c r="D3" s="308" t="s">
        <v>259</v>
      </c>
      <c r="E3" s="308" t="s">
        <v>262</v>
      </c>
      <c r="F3" s="308" t="s">
        <v>263</v>
      </c>
      <c r="G3" s="308" t="s">
        <v>260</v>
      </c>
      <c r="H3" s="308" t="s">
        <v>264</v>
      </c>
      <c r="I3" s="308" t="s">
        <v>337</v>
      </c>
      <c r="J3" s="308"/>
      <c r="K3" s="308" t="s">
        <v>335</v>
      </c>
      <c r="L3" s="308" t="s">
        <v>334</v>
      </c>
      <c r="M3" s="308" t="s">
        <v>336</v>
      </c>
    </row>
    <row r="4" spans="1:13" ht="13.5" x14ac:dyDescent="0.25">
      <c r="B4" s="318" t="s">
        <v>323</v>
      </c>
      <c r="C4" s="315">
        <f>IF('Reporting Worksheet'!E14="n/a",0,'Reporting Worksheet'!E14)</f>
        <v>5</v>
      </c>
      <c r="D4" s="316">
        <f>IF('Reporting Worksheet'!G14=0,0,IF('Reporting Worksheet'!G14&gt;'Reporting Worksheet'!G16,20,8))</f>
        <v>20</v>
      </c>
      <c r="E4" s="317">
        <f>D4/$D$23</f>
        <v>30.769230769230766</v>
      </c>
      <c r="F4" s="317">
        <f>IF(D4&lt;&gt;0,E4/10,0)</f>
        <v>3.0769230769230766</v>
      </c>
      <c r="G4" s="313">
        <f t="shared" ref="G4:G21" si="0">C4*F4</f>
        <v>15.384615384615383</v>
      </c>
      <c r="H4" s="314">
        <f t="shared" ref="H4:H21" si="1">IF(F4=0,0,E4-G4)</f>
        <v>15.384615384615383</v>
      </c>
      <c r="I4">
        <f t="array" aca="1" ref="I4" ca="1">SUM(1*(H4&lt;$H$4:$H$21))+1+IF(ROW(H4)-ROW($H$4)=0,0,SUM(1*(H4=OFFSET($H$4,0,0,INDEX(ROW(H4)-ROW($H$4)+1,1)-1,1))))</f>
        <v>1</v>
      </c>
      <c r="J4" s="312" t="s">
        <v>363</v>
      </c>
      <c r="K4">
        <f>IF(D4&lt;&gt;0,1,0)</f>
        <v>1</v>
      </c>
      <c r="L4">
        <f t="shared" ref="L4:L21" si="2">IF(C4&gt;0,1,0)</f>
        <v>1</v>
      </c>
      <c r="M4">
        <f t="shared" ref="M4:M21" si="3">IF(AND(K4=1,L4=0),1,0)</f>
        <v>0</v>
      </c>
    </row>
    <row r="5" spans="1:13" ht="13.5" x14ac:dyDescent="0.25">
      <c r="B5" s="318" t="s">
        <v>324</v>
      </c>
      <c r="C5" s="315">
        <f>IF('Reporting Worksheet'!E15="n/a",0,'Reporting Worksheet'!E15)</f>
        <v>2</v>
      </c>
      <c r="D5" s="316">
        <f>IF('Reporting Worksheet'!G15=0,0,8)</f>
        <v>0</v>
      </c>
      <c r="E5" s="317">
        <f t="shared" ref="E5:E21" si="4">D5/$D$23</f>
        <v>0</v>
      </c>
      <c r="F5" s="317">
        <f t="shared" ref="F5:F21" si="5">IF(D5&lt;&gt;0,E5/10,0)</f>
        <v>0</v>
      </c>
      <c r="G5" s="313">
        <f t="shared" si="0"/>
        <v>0</v>
      </c>
      <c r="H5" s="314">
        <f t="shared" si="1"/>
        <v>0</v>
      </c>
      <c r="I5">
        <f t="array" aca="1" ref="I5" ca="1">SUM(1*(H5&lt;$H$4:$H$21))+1+IF(ROW(H5)-ROW($H$4)=0,0,SUM(1*(H5=OFFSET($H$4,0,0,INDEX(ROW(H5)-ROW($H$4)+1,1)-1,1))))</f>
        <v>13</v>
      </c>
      <c r="J5" s="312" t="s">
        <v>52</v>
      </c>
      <c r="K5">
        <f t="shared" ref="K5:K21" si="6">IF(D5&lt;&gt;0,1,0)</f>
        <v>0</v>
      </c>
      <c r="L5">
        <f t="shared" si="2"/>
        <v>1</v>
      </c>
      <c r="M5">
        <f t="shared" si="3"/>
        <v>0</v>
      </c>
    </row>
    <row r="6" spans="1:13" ht="13.5" x14ac:dyDescent="0.25">
      <c r="B6" s="318" t="s">
        <v>17</v>
      </c>
      <c r="C6" s="315">
        <f>IF('Reporting Worksheet'!E16="n/a",0,'Reporting Worksheet'!E16)</f>
        <v>0</v>
      </c>
      <c r="D6" s="316">
        <f>IF('Reporting Worksheet'!G16=0,0,IF('Reporting Worksheet'!G16&gt;'Reporting Worksheet'!G14,20,8))</f>
        <v>0</v>
      </c>
      <c r="E6" s="317">
        <f t="shared" si="4"/>
        <v>0</v>
      </c>
      <c r="F6" s="317">
        <f t="shared" si="5"/>
        <v>0</v>
      </c>
      <c r="G6" s="313">
        <f t="shared" si="0"/>
        <v>0</v>
      </c>
      <c r="H6" s="314">
        <f t="shared" si="1"/>
        <v>0</v>
      </c>
      <c r="I6">
        <f t="array" aca="1" ref="I6" ca="1">SUM(1*(H6&lt;$H$4:$H$21))+1+IF(ROW(H6)-ROW($H$4)=0,0,SUM(1*(H6=OFFSET($H$4,0,0,INDEX(ROW(H6)-ROW($H$4)+1,1)-1,1))))</f>
        <v>14</v>
      </c>
      <c r="J6" s="312" t="s">
        <v>362</v>
      </c>
      <c r="K6">
        <f t="shared" si="6"/>
        <v>0</v>
      </c>
      <c r="L6">
        <f t="shared" si="2"/>
        <v>0</v>
      </c>
      <c r="M6">
        <f t="shared" si="3"/>
        <v>0</v>
      </c>
    </row>
    <row r="7" spans="1:13" ht="13.5" x14ac:dyDescent="0.25">
      <c r="B7" s="318" t="s">
        <v>18</v>
      </c>
      <c r="C7" s="315">
        <f>IF('Reporting Worksheet'!E17="n/a",0,'Reporting Worksheet'!E17)</f>
        <v>0</v>
      </c>
      <c r="D7" s="316">
        <f>IF('Reporting Worksheet'!G17=0,0,8)</f>
        <v>0</v>
      </c>
      <c r="E7" s="317">
        <f t="shared" si="4"/>
        <v>0</v>
      </c>
      <c r="F7" s="317">
        <f t="shared" si="5"/>
        <v>0</v>
      </c>
      <c r="G7" s="313">
        <f t="shared" si="0"/>
        <v>0</v>
      </c>
      <c r="H7" s="314">
        <f t="shared" si="1"/>
        <v>0</v>
      </c>
      <c r="I7">
        <f t="array" aca="1" ref="I7" ca="1">SUM(1*(H7&lt;$H$4:$H$21))+1+IF(ROW(H7)-ROW($H$4)=0,0,SUM(1*(H7=OFFSET($H$4,0,0,INDEX(ROW(H7)-ROW($H$4)+1,1)-1,1))))</f>
        <v>15</v>
      </c>
      <c r="J7" s="312" t="s">
        <v>366</v>
      </c>
      <c r="K7">
        <f t="shared" si="6"/>
        <v>0</v>
      </c>
      <c r="L7">
        <f t="shared" si="2"/>
        <v>0</v>
      </c>
      <c r="M7">
        <f t="shared" si="3"/>
        <v>0</v>
      </c>
    </row>
    <row r="8" spans="1:13" ht="13.5" x14ac:dyDescent="0.25">
      <c r="B8" s="318" t="s">
        <v>325</v>
      </c>
      <c r="C8" s="315">
        <f>IF('Reporting Worksheet'!E23="n/a",0,'Reporting Worksheet'!E23)</f>
        <v>9</v>
      </c>
      <c r="D8" s="316">
        <f>IF(AND('Reporting Worksheet'!E23="n/a",'Reporting Worksheet'!G23=0),0,8)</f>
        <v>8</v>
      </c>
      <c r="E8" s="317">
        <f t="shared" si="4"/>
        <v>12.307692307692307</v>
      </c>
      <c r="F8" s="317">
        <f t="shared" si="5"/>
        <v>1.2307692307692306</v>
      </c>
      <c r="G8" s="313">
        <f t="shared" si="0"/>
        <v>11.076923076923075</v>
      </c>
      <c r="H8" s="314">
        <f t="shared" si="1"/>
        <v>1.2307692307692317</v>
      </c>
      <c r="I8">
        <f t="array" aca="1" ref="I8" ca="1">SUM(1*(H8&lt;$H$4:$H$21))+1+IF(ROW(H8)-ROW($H$4)=0,0,SUM(1*(H8=OFFSET($H$4,0,0,INDEX(ROW(H8)-ROW($H$4)+1,1)-1,1))))</f>
        <v>7</v>
      </c>
      <c r="J8" s="312" t="s">
        <v>265</v>
      </c>
      <c r="K8">
        <f t="shared" si="6"/>
        <v>1</v>
      </c>
      <c r="L8">
        <f t="shared" si="2"/>
        <v>1</v>
      </c>
      <c r="M8">
        <f t="shared" si="3"/>
        <v>0</v>
      </c>
    </row>
    <row r="9" spans="1:13" ht="13.5" x14ac:dyDescent="0.25">
      <c r="B9" s="318" t="s">
        <v>326</v>
      </c>
      <c r="C9" s="315">
        <f>IF('Reporting Worksheet'!E24="n/a",0,'Reporting Worksheet'!E24)</f>
        <v>0</v>
      </c>
      <c r="D9" s="316">
        <f>IF('Reporting Worksheet'!G24=0,0,6)</f>
        <v>0</v>
      </c>
      <c r="E9" s="317">
        <f t="shared" si="4"/>
        <v>0</v>
      </c>
      <c r="F9" s="317">
        <f t="shared" si="5"/>
        <v>0</v>
      </c>
      <c r="G9" s="313">
        <f t="shared" si="0"/>
        <v>0</v>
      </c>
      <c r="H9" s="314">
        <f t="shared" si="1"/>
        <v>0</v>
      </c>
      <c r="I9">
        <f t="array" aca="1" ref="I9" ca="1">SUM(1*(H9&lt;$H$4:$H$21))+1+IF(ROW(H9)-ROW($H$4)=0,0,SUM(1*(H9=OFFSET($H$4,0,0,INDEX(ROW(H9)-ROW($H$4)+1,1)-1,1))))</f>
        <v>16</v>
      </c>
      <c r="J9" s="312" t="s">
        <v>266</v>
      </c>
      <c r="K9">
        <f t="shared" si="6"/>
        <v>0</v>
      </c>
      <c r="L9">
        <f t="shared" si="2"/>
        <v>0</v>
      </c>
      <c r="M9">
        <f t="shared" si="3"/>
        <v>0</v>
      </c>
    </row>
    <row r="10" spans="1:13" ht="13.5" x14ac:dyDescent="0.25">
      <c r="B10" s="318" t="s">
        <v>327</v>
      </c>
      <c r="C10" s="315">
        <f>IF('Reporting Worksheet'!E25="n/a",0,'Reporting Worksheet'!E25)</f>
        <v>0</v>
      </c>
      <c r="D10" s="316">
        <f>IF('Reporting Worksheet'!G25=0,0,6)</f>
        <v>0</v>
      </c>
      <c r="E10" s="317">
        <f t="shared" si="4"/>
        <v>0</v>
      </c>
      <c r="F10" s="317">
        <f t="shared" si="5"/>
        <v>0</v>
      </c>
      <c r="G10" s="313">
        <f t="shared" si="0"/>
        <v>0</v>
      </c>
      <c r="H10" s="314">
        <f t="shared" si="1"/>
        <v>0</v>
      </c>
      <c r="I10">
        <f t="array" aca="1" ref="I10" ca="1">SUM(1*(H10&lt;$H$4:$H$21))+1+IF(ROW(H10)-ROW($H$4)=0,0,SUM(1*(H10=OFFSET($H$4,0,0,INDEX(ROW(H10)-ROW($H$4)+1,1)-1,1))))</f>
        <v>17</v>
      </c>
      <c r="J10" s="312" t="s">
        <v>267</v>
      </c>
      <c r="K10">
        <f t="shared" si="6"/>
        <v>0</v>
      </c>
      <c r="L10">
        <f t="shared" si="2"/>
        <v>0</v>
      </c>
      <c r="M10">
        <f t="shared" si="3"/>
        <v>0</v>
      </c>
    </row>
    <row r="11" spans="1:13" ht="13.5" x14ac:dyDescent="0.25">
      <c r="A11" t="s">
        <v>340</v>
      </c>
      <c r="B11" s="318" t="s">
        <v>328</v>
      </c>
      <c r="C11" s="388">
        <f>IF(OR('Reporting Worksheet'!P26=1,AND('Reporting Worksheet'!P26=2,'Reporting Worksheet'!L26=0)),5,'Reporting Worksheet'!E26)</f>
        <v>5</v>
      </c>
      <c r="D11" s="316">
        <v>1</v>
      </c>
      <c r="E11" s="317">
        <f t="shared" si="4"/>
        <v>1.5384615384615383</v>
      </c>
      <c r="F11" s="317">
        <f t="shared" si="5"/>
        <v>0.15384615384615383</v>
      </c>
      <c r="G11" s="313">
        <f t="shared" si="0"/>
        <v>0.76923076923076916</v>
      </c>
      <c r="H11" s="314">
        <f t="shared" si="1"/>
        <v>0.76923076923076916</v>
      </c>
      <c r="I11">
        <f t="array" aca="1" ref="I11" ca="1">SUM(1*(H11&lt;$H$4:$H$21))+1+IF(ROW(H11)-ROW($H$4)=0,0,SUM(1*(H11=OFFSET($H$4,0,0,INDEX(ROW(H11)-ROW($H$4)+1,1)-1,1))))</f>
        <v>9</v>
      </c>
      <c r="J11" s="312" t="s">
        <v>268</v>
      </c>
      <c r="K11">
        <f t="shared" si="6"/>
        <v>1</v>
      </c>
      <c r="L11">
        <f t="shared" si="2"/>
        <v>1</v>
      </c>
      <c r="M11">
        <f t="shared" si="3"/>
        <v>0</v>
      </c>
    </row>
    <row r="12" spans="1:13" ht="13.5" x14ac:dyDescent="0.25">
      <c r="A12" t="s">
        <v>340</v>
      </c>
      <c r="B12" s="318" t="s">
        <v>329</v>
      </c>
      <c r="C12" s="388">
        <f>IF(OR('Reporting Worksheet'!P38=1,AND('Reporting Worksheet'!P38=2,'Reporting Worksheet'!L38=0)),5,'Reporting Worksheet'!E38)</f>
        <v>5</v>
      </c>
      <c r="D12" s="316">
        <v>4</v>
      </c>
      <c r="E12" s="317">
        <f t="shared" si="4"/>
        <v>6.1538461538461533</v>
      </c>
      <c r="F12" s="317">
        <f t="shared" si="5"/>
        <v>0.61538461538461531</v>
      </c>
      <c r="G12" s="313">
        <f t="shared" si="0"/>
        <v>3.0769230769230766</v>
      </c>
      <c r="H12" s="314">
        <f t="shared" si="1"/>
        <v>3.0769230769230766</v>
      </c>
      <c r="I12">
        <f t="array" aca="1" ref="I12" ca="1">SUM(1*(H12&lt;$H$4:$H$21))+1+IF(ROW(H12)-ROW($H$4)=0,0,SUM(1*(H12=OFFSET($H$4,0,0,INDEX(ROW(H12)-ROW($H$4)+1,1)-1,1))))</f>
        <v>3</v>
      </c>
      <c r="J12" s="312" t="s">
        <v>34</v>
      </c>
      <c r="K12">
        <f t="shared" si="6"/>
        <v>1</v>
      </c>
      <c r="L12">
        <f t="shared" si="2"/>
        <v>1</v>
      </c>
      <c r="M12">
        <f t="shared" si="3"/>
        <v>0</v>
      </c>
    </row>
    <row r="13" spans="1:13" ht="13.5" x14ac:dyDescent="0.25">
      <c r="B13" s="318" t="s">
        <v>330</v>
      </c>
      <c r="C13" s="315">
        <f>IF('Reporting Worksheet'!E42="n/a",0,'Reporting Worksheet'!E42)</f>
        <v>6</v>
      </c>
      <c r="D13" s="316">
        <f>IF(AND('Reporting Worksheet'!E42="n/a",'Reporting Worksheet'!G42=0),0,6)</f>
        <v>6</v>
      </c>
      <c r="E13" s="317">
        <f t="shared" si="4"/>
        <v>9.2307692307692299</v>
      </c>
      <c r="F13" s="317">
        <f t="shared" si="5"/>
        <v>0.92307692307692302</v>
      </c>
      <c r="G13" s="313">
        <f t="shared" si="0"/>
        <v>5.5384615384615383</v>
      </c>
      <c r="H13" s="314">
        <f t="shared" si="1"/>
        <v>3.6923076923076916</v>
      </c>
      <c r="I13">
        <f t="array" aca="1" ref="I13" ca="1">SUM(1*(H13&lt;$H$4:$H$21))+1+IF(ROW(H13)-ROW($H$4)=0,0,SUM(1*(H13=OFFSET($H$4,0,0,INDEX(ROW(H13)-ROW($H$4)+1,1)-1,1))))</f>
        <v>2</v>
      </c>
      <c r="J13" s="312" t="s">
        <v>369</v>
      </c>
      <c r="K13">
        <f t="shared" si="6"/>
        <v>1</v>
      </c>
      <c r="L13">
        <f t="shared" si="2"/>
        <v>1</v>
      </c>
      <c r="M13">
        <f t="shared" si="3"/>
        <v>0</v>
      </c>
    </row>
    <row r="14" spans="1:13" ht="13.5" x14ac:dyDescent="0.25">
      <c r="B14" s="318" t="s">
        <v>16</v>
      </c>
      <c r="C14" s="315">
        <f>IF('Reporting Worksheet'!E43="n/a",0,IF('Reporting Worksheet'!G43=0,5,'Reporting Worksheet'!E43))</f>
        <v>5</v>
      </c>
      <c r="D14" s="316">
        <v>4</v>
      </c>
      <c r="E14" s="317">
        <f t="shared" si="4"/>
        <v>6.1538461538461533</v>
      </c>
      <c r="F14" s="317">
        <f t="shared" si="5"/>
        <v>0.61538461538461531</v>
      </c>
      <c r="G14" s="313">
        <f t="shared" si="0"/>
        <v>3.0769230769230766</v>
      </c>
      <c r="H14" s="314">
        <f t="shared" si="1"/>
        <v>3.0769230769230766</v>
      </c>
      <c r="I14">
        <f t="array" aca="1" ref="I14" ca="1">SUM(1*(H14&lt;$H$4:$H$21))+1+IF(ROW(H14)-ROW($H$4)=0,0,SUM(1*(H14=OFFSET($H$4,0,0,INDEX(ROW(H14)-ROW($H$4)+1,1)-1,1))))</f>
        <v>4</v>
      </c>
      <c r="J14" s="312" t="s">
        <v>35</v>
      </c>
      <c r="K14">
        <f t="shared" si="6"/>
        <v>1</v>
      </c>
      <c r="L14">
        <f t="shared" si="2"/>
        <v>1</v>
      </c>
      <c r="M14">
        <f t="shared" si="3"/>
        <v>0</v>
      </c>
    </row>
    <row r="15" spans="1:13" ht="13.5" x14ac:dyDescent="0.25">
      <c r="B15" s="318" t="s">
        <v>331</v>
      </c>
      <c r="C15" s="315">
        <f>'Reporting Worksheet'!E62</f>
        <v>5</v>
      </c>
      <c r="D15" s="316">
        <v>1</v>
      </c>
      <c r="E15" s="317">
        <f t="shared" si="4"/>
        <v>1.5384615384615383</v>
      </c>
      <c r="F15" s="317">
        <f t="shared" si="5"/>
        <v>0.15384615384615383</v>
      </c>
      <c r="G15" s="313">
        <f t="shared" si="0"/>
        <v>0.76923076923076916</v>
      </c>
      <c r="H15" s="314">
        <f t="shared" si="1"/>
        <v>0.76923076923076916</v>
      </c>
      <c r="I15">
        <f t="array" aca="1" ref="I15" ca="1">SUM(1*(H15&lt;$H$4:$H$21))+1+IF(ROW(H15)-ROW($H$4)=0,0,SUM(1*(H15=OFFSET($H$4,0,0,INDEX(ROW(H15)-ROW($H$4)+1,1)-1,1))))</f>
        <v>10</v>
      </c>
      <c r="J15" s="312" t="s">
        <v>292</v>
      </c>
      <c r="K15">
        <f t="shared" si="6"/>
        <v>1</v>
      </c>
      <c r="L15">
        <f t="shared" si="2"/>
        <v>1</v>
      </c>
      <c r="M15">
        <f t="shared" si="3"/>
        <v>0</v>
      </c>
    </row>
    <row r="16" spans="1:13" ht="13.5" x14ac:dyDescent="0.25">
      <c r="B16" s="318" t="s">
        <v>320</v>
      </c>
      <c r="C16" s="315">
        <f>'Reporting Worksheet'!E63</f>
        <v>6</v>
      </c>
      <c r="D16" s="316">
        <v>1</v>
      </c>
      <c r="E16" s="317">
        <f t="shared" si="4"/>
        <v>1.5384615384615383</v>
      </c>
      <c r="F16" s="317">
        <f t="shared" si="5"/>
        <v>0.15384615384615383</v>
      </c>
      <c r="G16" s="313">
        <f t="shared" si="0"/>
        <v>0.92307692307692291</v>
      </c>
      <c r="H16" s="314">
        <f t="shared" si="1"/>
        <v>0.61538461538461542</v>
      </c>
      <c r="I16">
        <f t="array" aca="1" ref="I16" ca="1">SUM(1*(H16&lt;$H$4:$H$21))+1+IF(ROW(H16)-ROW($H$4)=0,0,SUM(1*(H16=OFFSET($H$4,0,0,INDEX(ROW(H16)-ROW($H$4)+1,1)-1,1))))</f>
        <v>12</v>
      </c>
      <c r="J16" s="312" t="s">
        <v>269</v>
      </c>
      <c r="K16">
        <f t="shared" si="6"/>
        <v>1</v>
      </c>
      <c r="L16">
        <f t="shared" si="2"/>
        <v>1</v>
      </c>
      <c r="M16">
        <f t="shared" si="3"/>
        <v>0</v>
      </c>
    </row>
    <row r="17" spans="2:13" ht="13.5" x14ac:dyDescent="0.25">
      <c r="B17" s="318" t="s">
        <v>484</v>
      </c>
      <c r="C17" s="315">
        <f>IF('Reporting Worksheet'!E65="n/a",0,'Reporting Worksheet'!E65)</f>
        <v>5</v>
      </c>
      <c r="D17" s="316">
        <v>1</v>
      </c>
      <c r="E17" s="317">
        <f t="shared" si="4"/>
        <v>1.5384615384615383</v>
      </c>
      <c r="F17" s="317">
        <f t="shared" si="5"/>
        <v>0.15384615384615383</v>
      </c>
      <c r="G17" s="313">
        <f t="shared" si="0"/>
        <v>0.76923076923076916</v>
      </c>
      <c r="H17" s="314">
        <f t="shared" si="1"/>
        <v>0.76923076923076916</v>
      </c>
      <c r="I17">
        <f t="array" aca="1" ref="I17" ca="1">SUM(1*(H17&lt;$H$4:$H$21))+1+IF(ROW(H17)-ROW($H$4)=0,0,SUM(1*(H17=OFFSET($H$4,0,0,INDEX(ROW(H17)-ROW($H$4)+1,1)-1,1))))</f>
        <v>11</v>
      </c>
      <c r="J17" s="312" t="s">
        <v>483</v>
      </c>
      <c r="K17">
        <f t="shared" si="6"/>
        <v>1</v>
      </c>
      <c r="L17">
        <f t="shared" si="2"/>
        <v>1</v>
      </c>
      <c r="M17">
        <f t="shared" si="3"/>
        <v>0</v>
      </c>
    </row>
    <row r="18" spans="2:13" ht="13.5" x14ac:dyDescent="0.25">
      <c r="B18" s="318" t="s">
        <v>332</v>
      </c>
      <c r="C18" s="315">
        <f>'Reporting Worksheet'!E67</f>
        <v>3</v>
      </c>
      <c r="D18" s="316">
        <v>1</v>
      </c>
      <c r="E18" s="317">
        <f t="shared" si="4"/>
        <v>1.5384615384615383</v>
      </c>
      <c r="F18" s="317">
        <f t="shared" si="5"/>
        <v>0.15384615384615383</v>
      </c>
      <c r="G18" s="313">
        <f t="shared" si="0"/>
        <v>0.46153846153846145</v>
      </c>
      <c r="H18" s="314">
        <f t="shared" si="1"/>
        <v>1.0769230769230769</v>
      </c>
      <c r="I18">
        <f t="array" aca="1" ref="I18" ca="1">SUM(1*(H18&lt;$H$4:$H$21))+1+IF(ROW(H18)-ROW($H$4)=0,0,SUM(1*(H18=OFFSET($H$4,0,0,INDEX(ROW(H18)-ROW($H$4)+1,1)-1,1))))</f>
        <v>8</v>
      </c>
      <c r="J18" s="312" t="s">
        <v>37</v>
      </c>
      <c r="K18">
        <f t="shared" si="6"/>
        <v>1</v>
      </c>
      <c r="L18">
        <f t="shared" si="2"/>
        <v>1</v>
      </c>
      <c r="M18">
        <f t="shared" si="3"/>
        <v>0</v>
      </c>
    </row>
    <row r="19" spans="2:13" ht="13.5" x14ac:dyDescent="0.25">
      <c r="B19" s="318" t="s">
        <v>333</v>
      </c>
      <c r="C19" s="315">
        <f>'Reporting Worksheet'!E74</f>
        <v>10</v>
      </c>
      <c r="D19" s="316">
        <v>6</v>
      </c>
      <c r="E19" s="317">
        <f t="shared" si="4"/>
        <v>9.2307692307692299</v>
      </c>
      <c r="F19" s="317">
        <f t="shared" si="5"/>
        <v>0.92307692307692302</v>
      </c>
      <c r="G19" s="313">
        <f t="shared" si="0"/>
        <v>9.2307692307692299</v>
      </c>
      <c r="H19" s="314">
        <f t="shared" si="1"/>
        <v>0</v>
      </c>
      <c r="I19">
        <f t="array" aca="1" ref="I19" ca="1">SUM(1*(H19&lt;$H$4:$H$21))+1+IF(ROW(H19)-ROW($H$4)=0,0,SUM(1*(H19=OFFSET($H$4,0,0,INDEX(ROW(H19)-ROW($H$4)+1,1)-1,1))))</f>
        <v>18</v>
      </c>
      <c r="J19" s="312" t="s">
        <v>270</v>
      </c>
      <c r="K19">
        <f t="shared" si="6"/>
        <v>1</v>
      </c>
      <c r="L19">
        <f t="shared" si="2"/>
        <v>1</v>
      </c>
      <c r="M19">
        <f t="shared" si="3"/>
        <v>0</v>
      </c>
    </row>
    <row r="20" spans="2:13" ht="13.5" x14ac:dyDescent="0.25">
      <c r="B20" s="318" t="s">
        <v>321</v>
      </c>
      <c r="C20" s="315">
        <f>'Reporting Worksheet'!E75</f>
        <v>8</v>
      </c>
      <c r="D20" s="316">
        <v>6</v>
      </c>
      <c r="E20" s="317">
        <f t="shared" si="4"/>
        <v>9.2307692307692299</v>
      </c>
      <c r="F20" s="317">
        <f t="shared" si="5"/>
        <v>0.92307692307692302</v>
      </c>
      <c r="G20" s="313">
        <f t="shared" si="0"/>
        <v>7.3846153846153841</v>
      </c>
      <c r="H20" s="314">
        <f t="shared" si="1"/>
        <v>1.8461538461538458</v>
      </c>
      <c r="I20">
        <f t="array" aca="1" ref="I20" ca="1">SUM(1*(H20&lt;$H$4:$H$21))+1+IF(ROW(H20)-ROW($H$4)=0,0,SUM(1*(H20=OFFSET($H$4,0,0,INDEX(ROW(H20)-ROW($H$4)+1,1)-1,1))))</f>
        <v>5</v>
      </c>
      <c r="J20" s="312" t="s">
        <v>319</v>
      </c>
      <c r="K20">
        <f t="shared" si="6"/>
        <v>1</v>
      </c>
      <c r="L20">
        <f t="shared" si="2"/>
        <v>1</v>
      </c>
      <c r="M20">
        <f t="shared" si="3"/>
        <v>0</v>
      </c>
    </row>
    <row r="21" spans="2:13" ht="13.5" x14ac:dyDescent="0.25">
      <c r="B21" s="318" t="s">
        <v>322</v>
      </c>
      <c r="C21" s="315">
        <f>IF('Reporting Worksheet'!E76="n/a",0,'Reporting Worksheet'!E76)</f>
        <v>8</v>
      </c>
      <c r="D21" s="316">
        <v>6</v>
      </c>
      <c r="E21" s="317">
        <f t="shared" si="4"/>
        <v>9.2307692307692299</v>
      </c>
      <c r="F21" s="317">
        <f t="shared" si="5"/>
        <v>0.92307692307692302</v>
      </c>
      <c r="G21" s="313">
        <f t="shared" si="0"/>
        <v>7.3846153846153841</v>
      </c>
      <c r="H21" s="314">
        <f t="shared" si="1"/>
        <v>1.8461538461538458</v>
      </c>
      <c r="I21">
        <f t="array" aca="1" ref="I21" ca="1">SUM(1*(H21&lt;$H$4:$H$21))+1+IF(ROW(H21)-ROW($H$4)=0,0,SUM(1*(H21=OFFSET($H$4,0,0,INDEX(ROW(H21)-ROW($H$4)+1,1)-1,1))))</f>
        <v>6</v>
      </c>
      <c r="J21" s="312" t="s">
        <v>410</v>
      </c>
      <c r="K21">
        <f t="shared" si="6"/>
        <v>1</v>
      </c>
      <c r="L21">
        <f t="shared" si="2"/>
        <v>1</v>
      </c>
      <c r="M21">
        <f t="shared" si="3"/>
        <v>0</v>
      </c>
    </row>
    <row r="22" spans="2:13" x14ac:dyDescent="0.2">
      <c r="D22" s="311">
        <f>SUM(D4:D21)</f>
        <v>65</v>
      </c>
      <c r="E22" s="311">
        <f>SUM(E4:E21)</f>
        <v>99.999999999999972</v>
      </c>
      <c r="F22" s="311">
        <f>SUM(F4:F21)</f>
        <v>10.000000000000002</v>
      </c>
      <c r="G22" s="321">
        <f>SUM(G4:G21)</f>
        <v>65.84615384615384</v>
      </c>
      <c r="M22" s="320">
        <f>SUM(M4:M21)</f>
        <v>0</v>
      </c>
    </row>
    <row r="23" spans="2:13" x14ac:dyDescent="0.2">
      <c r="D23" s="310">
        <f>D22/100</f>
        <v>0.65</v>
      </c>
      <c r="M23" s="319"/>
    </row>
    <row r="25" spans="2:13" x14ac:dyDescent="0.2">
      <c r="B25" s="333" t="s">
        <v>552</v>
      </c>
      <c r="L25">
        <f>IF(SUM('Reporting Worksheet'!P26,'Reporting Worksheet'!P38)=2,2,IF(SUM('Reporting Worksheet'!P26,'Reporting Worksheet'!P38)=3,1,0))</f>
        <v>2</v>
      </c>
      <c r="M25" t="s">
        <v>338</v>
      </c>
    </row>
  </sheetData>
  <sheetProtection password="E218" sheet="1" objects="1" scenarios="1"/>
  <phoneticPr fontId="59" type="noConversion"/>
  <conditionalFormatting sqref="B4:H21">
    <cfRule type="expression" dxfId="114" priority="1" stopIfTrue="1">
      <formula>$I4=1</formula>
    </cfRule>
    <cfRule type="expression" dxfId="113" priority="2" stopIfTrue="1">
      <formula>$I4=2</formula>
    </cfRule>
    <cfRule type="expression" dxfId="112" priority="3" stopIfTrue="1">
      <formula>$I4=3</formula>
    </cfRule>
  </conditionalFormatting>
  <conditionalFormatting sqref="I4:I21">
    <cfRule type="cellIs" dxfId="111" priority="4" stopIfTrue="1" operator="equal">
      <formula>1</formula>
    </cfRule>
    <cfRule type="cellIs" dxfId="110" priority="5" stopIfTrue="1" operator="equal">
      <formula>2</formula>
    </cfRule>
    <cfRule type="cellIs" dxfId="109" priority="6" stopIfTrue="1" operator="equal">
      <formula>3</formula>
    </cfRule>
  </conditionalFormatting>
  <pageMargins left="0.75" right="0.75" top="1" bottom="1" header="0.5" footer="0.5"/>
  <pageSetup orientation="portrait" r:id="rId1"/>
  <headerFooter alignWithMargins="0"/>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E5FAA-D9C5-44CD-B700-CD3A1D9D3FF9}">
  <sheetPr codeName="Sheet8">
    <tabColor indexed="48"/>
    <pageSetUpPr fitToPage="1"/>
  </sheetPr>
  <dimension ref="A1:S167"/>
  <sheetViews>
    <sheetView showGridLines="0" showRowColHeaders="0" view="pageBreakPreview" zoomScaleNormal="75" workbookViewId="0">
      <pane xSplit="3" ySplit="8" topLeftCell="D26" activePane="bottomRight" state="frozen"/>
      <selection pane="topRight" activeCell="D1" sqref="D1"/>
      <selection pane="bottomLeft" activeCell="A9" sqref="A9"/>
      <selection pane="bottomRight" activeCell="E49" sqref="E49"/>
    </sheetView>
  </sheetViews>
  <sheetFormatPr defaultColWidth="0" defaultRowHeight="13.5" customHeight="1" zeroHeight="1" x14ac:dyDescent="0.25"/>
  <cols>
    <col min="1" max="1" width="1.42578125" style="418" customWidth="1"/>
    <col min="2" max="2" width="1.7109375" style="418" customWidth="1"/>
    <col min="3" max="3" width="20.42578125" style="104" customWidth="1"/>
    <col min="4" max="4" width="13.5703125" style="104" customWidth="1"/>
    <col min="5" max="5" width="20.85546875" style="104" customWidth="1"/>
    <col min="6" max="6" width="22.85546875" style="104" customWidth="1"/>
    <col min="7" max="7" width="8.7109375" style="104" customWidth="1"/>
    <col min="8" max="8" width="22.85546875" style="104" customWidth="1"/>
    <col min="9" max="9" width="8.7109375" style="104" customWidth="1"/>
    <col min="10" max="10" width="22.85546875" style="104" customWidth="1"/>
    <col min="11" max="11" width="8.7109375" style="104" customWidth="1"/>
    <col min="12" max="12" width="22.85546875" style="104" customWidth="1"/>
    <col min="13" max="13" width="8.7109375" style="104" customWidth="1"/>
    <col min="14" max="14" width="22.85546875" style="104" customWidth="1"/>
    <col min="15" max="15" width="1.42578125" style="104" customWidth="1"/>
    <col min="16" max="16" width="1.42578125" style="133" customWidth="1"/>
    <col min="17" max="17" width="3.85546875" style="104" hidden="1" customWidth="1"/>
    <col min="18" max="18" width="34.7109375" style="113" hidden="1" customWidth="1"/>
    <col min="19" max="19" width="0" style="419" hidden="1" customWidth="1"/>
    <col min="20" max="16384" width="0" style="104" hidden="1"/>
  </cols>
  <sheetData>
    <row r="1" spans="1:19" s="113" customFormat="1" ht="8.25" customHeight="1" thickBot="1" x14ac:dyDescent="0.3">
      <c r="A1" s="418"/>
      <c r="B1" s="418"/>
      <c r="P1" s="133"/>
      <c r="S1" s="419"/>
    </row>
    <row r="2" spans="1:19" ht="36.75" customHeight="1" thickTop="1" thickBot="1" x14ac:dyDescent="0.3">
      <c r="B2" s="420"/>
      <c r="C2" s="574" t="s">
        <v>43</v>
      </c>
      <c r="D2" s="575"/>
      <c r="E2" s="575"/>
      <c r="F2" s="576"/>
      <c r="G2" s="576"/>
      <c r="H2" s="576"/>
      <c r="I2" s="576"/>
      <c r="J2" s="576"/>
      <c r="K2" s="576"/>
      <c r="L2" s="576"/>
      <c r="M2" s="421"/>
      <c r="N2" s="421"/>
      <c r="O2" s="422"/>
      <c r="P2" s="423"/>
    </row>
    <row r="3" spans="1:19" ht="4.5" customHeight="1" thickTop="1" thickBot="1" x14ac:dyDescent="0.3">
      <c r="B3" s="424"/>
      <c r="C3" s="4"/>
      <c r="D3" s="4"/>
      <c r="E3" s="4"/>
      <c r="F3" s="4"/>
      <c r="G3" s="4"/>
      <c r="H3" s="4"/>
      <c r="I3" s="4"/>
      <c r="J3" s="4"/>
      <c r="K3" s="4"/>
      <c r="L3" s="4"/>
      <c r="M3" s="4"/>
      <c r="N3" s="4"/>
      <c r="O3" s="137"/>
      <c r="P3" s="162"/>
      <c r="R3" s="425" t="str">
        <f ca="1">VLOOKUP(1,GradingAssessment!$I$4:$J$21,2,FALSE)&amp;":"</f>
        <v>Volume from own sources:</v>
      </c>
    </row>
    <row r="4" spans="1:19" ht="37.5" customHeight="1" thickBot="1" x14ac:dyDescent="0.3">
      <c r="B4" s="424"/>
      <c r="C4" s="577" t="s">
        <v>396</v>
      </c>
      <c r="D4" s="578"/>
      <c r="E4" s="578"/>
      <c r="F4" s="578"/>
      <c r="G4" s="578"/>
      <c r="H4" s="578"/>
      <c r="I4" s="578"/>
      <c r="J4" s="578"/>
      <c r="K4" s="578"/>
      <c r="L4" s="578"/>
      <c r="M4" s="578"/>
      <c r="N4" s="579"/>
      <c r="O4" s="137"/>
      <c r="P4" s="162"/>
      <c r="R4" s="426" t="str">
        <f ca="1">VLOOKUP(2,GradingAssessment!$I$4:$J$21,2,FALSE)&amp;":"</f>
        <v>Customer metering inaccuracies:</v>
      </c>
    </row>
    <row r="5" spans="1:19" ht="3.75" customHeight="1" thickBot="1" x14ac:dyDescent="0.3">
      <c r="B5" s="424"/>
      <c r="C5" s="13"/>
      <c r="D5" s="13"/>
      <c r="E5" s="13"/>
      <c r="F5" s="13"/>
      <c r="G5" s="13"/>
      <c r="H5" s="4"/>
      <c r="I5" s="4"/>
      <c r="J5" s="4"/>
      <c r="K5" s="4"/>
      <c r="L5" s="4"/>
      <c r="M5" s="4"/>
      <c r="N5" s="4"/>
      <c r="O5" s="137"/>
      <c r="P5" s="162"/>
      <c r="R5" s="427" t="str">
        <f ca="1">VLOOKUP(3,GradingAssessment!$I$4:$J$21,2,FALSE)&amp;":"</f>
        <v>Unauthorized consumption:</v>
      </c>
    </row>
    <row r="6" spans="1:19" ht="19.5" customHeight="1" thickTop="1" thickBot="1" x14ac:dyDescent="0.3">
      <c r="B6" s="424"/>
      <c r="C6" s="580" t="s">
        <v>339</v>
      </c>
      <c r="D6" s="581"/>
      <c r="E6" s="581"/>
      <c r="F6" s="582"/>
      <c r="G6" s="582"/>
      <c r="H6" s="582"/>
      <c r="I6" s="582"/>
      <c r="J6" s="582"/>
      <c r="K6" s="582"/>
      <c r="L6" s="582"/>
      <c r="M6" s="582"/>
      <c r="N6" s="583"/>
      <c r="O6" s="137"/>
      <c r="P6" s="162"/>
      <c r="R6" s="39"/>
    </row>
    <row r="7" spans="1:19" ht="15.75" customHeight="1" thickBot="1" x14ac:dyDescent="0.3">
      <c r="B7" s="424"/>
      <c r="C7" s="428"/>
      <c r="D7" s="429" t="s">
        <v>162</v>
      </c>
      <c r="E7" s="430">
        <v>1</v>
      </c>
      <c r="F7" s="430">
        <v>2</v>
      </c>
      <c r="G7" s="430">
        <v>3</v>
      </c>
      <c r="H7" s="430">
        <v>4</v>
      </c>
      <c r="I7" s="430">
        <v>5</v>
      </c>
      <c r="J7" s="430">
        <v>6</v>
      </c>
      <c r="K7" s="430">
        <v>7</v>
      </c>
      <c r="L7" s="430">
        <v>8</v>
      </c>
      <c r="M7" s="430">
        <v>9</v>
      </c>
      <c r="N7" s="430">
        <v>10</v>
      </c>
      <c r="O7" s="137"/>
      <c r="P7" s="162"/>
    </row>
    <row r="8" spans="1:19" ht="9.75" customHeight="1" x14ac:dyDescent="0.25">
      <c r="B8" s="424"/>
      <c r="C8" s="584"/>
      <c r="D8" s="585"/>
      <c r="E8" s="585"/>
      <c r="F8" s="585"/>
      <c r="G8" s="585"/>
      <c r="H8" s="585"/>
      <c r="I8" s="585"/>
      <c r="J8" s="585"/>
      <c r="K8" s="585"/>
      <c r="L8" s="585"/>
      <c r="M8" s="585"/>
      <c r="N8" s="586"/>
      <c r="O8" s="137"/>
      <c r="P8" s="162"/>
    </row>
    <row r="9" spans="1:19" s="442" customFormat="1" ht="122.25" customHeight="1" x14ac:dyDescent="0.2">
      <c r="A9" s="431"/>
      <c r="B9" s="432"/>
      <c r="C9" s="339" t="s">
        <v>323</v>
      </c>
      <c r="D9" s="433" t="s">
        <v>515</v>
      </c>
      <c r="E9" s="433" t="s">
        <v>516</v>
      </c>
      <c r="F9" s="434" t="s">
        <v>375</v>
      </c>
      <c r="G9" s="435" t="s">
        <v>417</v>
      </c>
      <c r="H9" s="434" t="s">
        <v>376</v>
      </c>
      <c r="I9" s="435" t="s">
        <v>418</v>
      </c>
      <c r="J9" s="434" t="s">
        <v>377</v>
      </c>
      <c r="K9" s="435" t="s">
        <v>419</v>
      </c>
      <c r="L9" s="434" t="s">
        <v>379</v>
      </c>
      <c r="M9" s="435" t="s">
        <v>420</v>
      </c>
      <c r="N9" s="436" t="s">
        <v>378</v>
      </c>
      <c r="O9" s="437"/>
      <c r="P9" s="438"/>
      <c r="Q9" s="439">
        <f>'Reporting Worksheet'!E14</f>
        <v>5</v>
      </c>
      <c r="R9" s="440">
        <f ca="1">IF(OR(C9=$R$3,C9=$R$4,C9=$R$5),1,0)</f>
        <v>1</v>
      </c>
      <c r="S9" s="441"/>
    </row>
    <row r="10" spans="1:19" s="442" customFormat="1" ht="99.75" customHeight="1" thickBot="1" x14ac:dyDescent="0.25">
      <c r="A10" s="431"/>
      <c r="B10" s="432"/>
      <c r="C10" s="340" t="s">
        <v>517</v>
      </c>
      <c r="D10" s="378"/>
      <c r="E10" s="443" t="s">
        <v>124</v>
      </c>
      <c r="F10" s="567" t="s">
        <v>125</v>
      </c>
      <c r="G10" s="588"/>
      <c r="H10" s="567" t="s">
        <v>126</v>
      </c>
      <c r="I10" s="587"/>
      <c r="J10" s="567" t="s">
        <v>233</v>
      </c>
      <c r="K10" s="568"/>
      <c r="L10" s="567" t="s">
        <v>234</v>
      </c>
      <c r="M10" s="568"/>
      <c r="N10" s="444" t="s">
        <v>235</v>
      </c>
      <c r="O10" s="437"/>
      <c r="P10" s="438"/>
      <c r="Q10" s="439">
        <f>Q9</f>
        <v>5</v>
      </c>
      <c r="R10" s="440"/>
      <c r="S10" s="441"/>
    </row>
    <row r="11" spans="1:19" s="442" customFormat="1" ht="136.5" customHeight="1" x14ac:dyDescent="0.2">
      <c r="A11" s="431"/>
      <c r="B11" s="432"/>
      <c r="C11" s="339" t="s">
        <v>324</v>
      </c>
      <c r="D11" s="433" t="s">
        <v>518</v>
      </c>
      <c r="E11" s="433" t="s">
        <v>236</v>
      </c>
      <c r="F11" s="434" t="s">
        <v>318</v>
      </c>
      <c r="G11" s="435" t="s">
        <v>417</v>
      </c>
      <c r="H11" s="434" t="s">
        <v>237</v>
      </c>
      <c r="I11" s="435" t="s">
        <v>418</v>
      </c>
      <c r="J11" s="434" t="s">
        <v>173</v>
      </c>
      <c r="K11" s="435" t="s">
        <v>419</v>
      </c>
      <c r="L11" s="434" t="s">
        <v>174</v>
      </c>
      <c r="M11" s="435" t="s">
        <v>420</v>
      </c>
      <c r="N11" s="436" t="s">
        <v>413</v>
      </c>
      <c r="O11" s="437"/>
      <c r="P11" s="438"/>
      <c r="Q11" s="439">
        <f>'Reporting Worksheet'!E15</f>
        <v>2</v>
      </c>
      <c r="R11" s="440">
        <f ca="1">IF(OR(C11=$R$3,C11=$R$4,C11=$R$5),1,0)</f>
        <v>0</v>
      </c>
      <c r="S11" s="441"/>
    </row>
    <row r="12" spans="1:19" s="442" customFormat="1" ht="107.25" customHeight="1" thickBot="1" x14ac:dyDescent="0.25">
      <c r="A12" s="431"/>
      <c r="B12" s="432"/>
      <c r="C12" s="340" t="s">
        <v>519</v>
      </c>
      <c r="D12" s="378"/>
      <c r="E12" s="443" t="s">
        <v>8</v>
      </c>
      <c r="F12" s="567" t="s">
        <v>505</v>
      </c>
      <c r="G12" s="588"/>
      <c r="H12" s="567" t="s">
        <v>9</v>
      </c>
      <c r="I12" s="587"/>
      <c r="J12" s="567" t="s">
        <v>175</v>
      </c>
      <c r="K12" s="568"/>
      <c r="L12" s="567" t="s">
        <v>247</v>
      </c>
      <c r="M12" s="568"/>
      <c r="N12" s="444" t="s">
        <v>307</v>
      </c>
      <c r="O12" s="437"/>
      <c r="P12" s="438"/>
      <c r="Q12" s="439">
        <f>Q11</f>
        <v>2</v>
      </c>
      <c r="R12" s="440"/>
      <c r="S12" s="441"/>
    </row>
    <row r="13" spans="1:19" s="442" customFormat="1" ht="97.5" customHeight="1" x14ac:dyDescent="0.2">
      <c r="A13" s="431"/>
      <c r="B13" s="432"/>
      <c r="C13" s="339" t="s">
        <v>229</v>
      </c>
      <c r="D13" s="433" t="s">
        <v>115</v>
      </c>
      <c r="E13" s="433" t="s">
        <v>116</v>
      </c>
      <c r="F13" s="434" t="s">
        <v>117</v>
      </c>
      <c r="G13" s="435" t="s">
        <v>417</v>
      </c>
      <c r="H13" s="434" t="s">
        <v>95</v>
      </c>
      <c r="I13" s="435" t="s">
        <v>418</v>
      </c>
      <c r="J13" s="434" t="s">
        <v>93</v>
      </c>
      <c r="K13" s="435" t="s">
        <v>419</v>
      </c>
      <c r="L13" s="434" t="s">
        <v>507</v>
      </c>
      <c r="M13" s="435" t="s">
        <v>420</v>
      </c>
      <c r="N13" s="436" t="s">
        <v>120</v>
      </c>
      <c r="O13" s="437"/>
      <c r="P13" s="438"/>
      <c r="Q13" s="439" t="str">
        <f>'Reporting Worksheet'!E16</f>
        <v>n/a</v>
      </c>
      <c r="R13" s="440">
        <f ca="1">IF(OR(C13=$R$3,C13=$R$4,C13=$R$5),1,0)</f>
        <v>0</v>
      </c>
      <c r="S13" s="441"/>
    </row>
    <row r="14" spans="1:19" s="442" customFormat="1" ht="118.5" customHeight="1" thickBot="1" x14ac:dyDescent="0.25">
      <c r="A14" s="431"/>
      <c r="B14" s="432"/>
      <c r="C14" s="340" t="s">
        <v>588</v>
      </c>
      <c r="D14" s="378"/>
      <c r="E14" s="443" t="s">
        <v>153</v>
      </c>
      <c r="F14" s="567" t="s">
        <v>154</v>
      </c>
      <c r="G14" s="588"/>
      <c r="H14" s="567" t="s">
        <v>155</v>
      </c>
      <c r="I14" s="587"/>
      <c r="J14" s="567" t="s">
        <v>508</v>
      </c>
      <c r="K14" s="568"/>
      <c r="L14" s="567" t="s">
        <v>234</v>
      </c>
      <c r="M14" s="568"/>
      <c r="N14" s="444" t="s">
        <v>235</v>
      </c>
      <c r="O14" s="437"/>
      <c r="P14" s="438"/>
      <c r="Q14" s="439" t="str">
        <f>Q13</f>
        <v>n/a</v>
      </c>
      <c r="R14" s="440"/>
      <c r="S14" s="441"/>
    </row>
    <row r="15" spans="1:19" s="442" customFormat="1" ht="99.75" customHeight="1" x14ac:dyDescent="0.2">
      <c r="A15" s="431"/>
      <c r="B15" s="432"/>
      <c r="C15" s="339" t="s">
        <v>230</v>
      </c>
      <c r="D15" s="433" t="s">
        <v>118</v>
      </c>
      <c r="E15" s="433" t="s">
        <v>119</v>
      </c>
      <c r="F15" s="434" t="s">
        <v>509</v>
      </c>
      <c r="G15" s="435" t="s">
        <v>417</v>
      </c>
      <c r="H15" s="434" t="s">
        <v>121</v>
      </c>
      <c r="I15" s="435" t="s">
        <v>418</v>
      </c>
      <c r="J15" s="434" t="s">
        <v>615</v>
      </c>
      <c r="K15" s="435" t="s">
        <v>419</v>
      </c>
      <c r="L15" s="434" t="s">
        <v>614</v>
      </c>
      <c r="M15" s="435" t="s">
        <v>420</v>
      </c>
      <c r="N15" s="436" t="s">
        <v>122</v>
      </c>
      <c r="O15" s="437"/>
      <c r="P15" s="438"/>
      <c r="Q15" s="439" t="str">
        <f>'Reporting Worksheet'!E17</f>
        <v>n/a</v>
      </c>
      <c r="R15" s="440">
        <f ca="1">IF(OR(C15=$R$3,C15=$R$4,C15=$R$5),1,0)</f>
        <v>0</v>
      </c>
      <c r="S15" s="441"/>
    </row>
    <row r="16" spans="1:19" s="442" customFormat="1" ht="109.5" customHeight="1" thickBot="1" x14ac:dyDescent="0.25">
      <c r="A16" s="431"/>
      <c r="B16" s="432"/>
      <c r="C16" s="340" t="s">
        <v>589</v>
      </c>
      <c r="D16" s="378"/>
      <c r="E16" s="443" t="s">
        <v>156</v>
      </c>
      <c r="F16" s="567" t="s">
        <v>157</v>
      </c>
      <c r="G16" s="588"/>
      <c r="H16" s="567" t="s">
        <v>158</v>
      </c>
      <c r="I16" s="587"/>
      <c r="J16" s="567" t="s">
        <v>510</v>
      </c>
      <c r="K16" s="568"/>
      <c r="L16" s="567" t="s">
        <v>234</v>
      </c>
      <c r="M16" s="568"/>
      <c r="N16" s="444" t="s">
        <v>235</v>
      </c>
      <c r="O16" s="437"/>
      <c r="P16" s="438"/>
      <c r="Q16" s="439" t="str">
        <f>Q15</f>
        <v>n/a</v>
      </c>
      <c r="R16" s="440"/>
      <c r="S16" s="441"/>
    </row>
    <row r="17" spans="1:19" s="448" customFormat="1" ht="22.5" customHeight="1" x14ac:dyDescent="0.25">
      <c r="A17" s="445"/>
      <c r="B17" s="446"/>
      <c r="C17" s="571" t="s">
        <v>571</v>
      </c>
      <c r="D17" s="572"/>
      <c r="E17" s="572"/>
      <c r="F17" s="572"/>
      <c r="G17" s="572"/>
      <c r="H17" s="572"/>
      <c r="I17" s="572"/>
      <c r="J17" s="572"/>
      <c r="K17" s="572"/>
      <c r="L17" s="572"/>
      <c r="M17" s="572"/>
      <c r="N17" s="573"/>
      <c r="O17" s="141"/>
      <c r="P17" s="447"/>
      <c r="R17" s="449"/>
      <c r="S17" s="450"/>
    </row>
    <row r="18" spans="1:19" s="442" customFormat="1" ht="221.25" customHeight="1" x14ac:dyDescent="0.2">
      <c r="A18" s="431"/>
      <c r="B18" s="432"/>
      <c r="C18" s="339" t="s">
        <v>325</v>
      </c>
      <c r="D18" s="433" t="s">
        <v>585</v>
      </c>
      <c r="E18" s="433" t="s">
        <v>309</v>
      </c>
      <c r="F18" s="434" t="s">
        <v>149</v>
      </c>
      <c r="G18" s="435" t="s">
        <v>417</v>
      </c>
      <c r="H18" s="434" t="s">
        <v>176</v>
      </c>
      <c r="I18" s="435" t="s">
        <v>418</v>
      </c>
      <c r="J18" s="434" t="s">
        <v>177</v>
      </c>
      <c r="K18" s="435" t="s">
        <v>419</v>
      </c>
      <c r="L18" s="434" t="s">
        <v>612</v>
      </c>
      <c r="M18" s="435" t="s">
        <v>420</v>
      </c>
      <c r="N18" s="436" t="s">
        <v>523</v>
      </c>
      <c r="O18" s="437"/>
      <c r="P18" s="438"/>
      <c r="Q18" s="439">
        <f>'Reporting Worksheet'!E23</f>
        <v>9</v>
      </c>
      <c r="R18" s="440">
        <f ca="1">IF(OR(C18=$R$3,C18=$R$4,C18=$R$5),1,0)</f>
        <v>0</v>
      </c>
      <c r="S18" s="441"/>
    </row>
    <row r="19" spans="1:19" s="442" customFormat="1" ht="175.5" customHeight="1" thickBot="1" x14ac:dyDescent="0.25">
      <c r="A19" s="431"/>
      <c r="B19" s="432"/>
      <c r="C19" s="340" t="s">
        <v>590</v>
      </c>
      <c r="D19" s="451" t="s">
        <v>591</v>
      </c>
      <c r="E19" s="443" t="s">
        <v>511</v>
      </c>
      <c r="F19" s="567" t="s">
        <v>613</v>
      </c>
      <c r="G19" s="588"/>
      <c r="H19" s="567" t="s">
        <v>67</v>
      </c>
      <c r="I19" s="587"/>
      <c r="J19" s="567" t="s">
        <v>68</v>
      </c>
      <c r="K19" s="568"/>
      <c r="L19" s="567" t="s">
        <v>512</v>
      </c>
      <c r="M19" s="568"/>
      <c r="N19" s="444" t="s">
        <v>69</v>
      </c>
      <c r="O19" s="437"/>
      <c r="P19" s="438"/>
      <c r="Q19" s="439">
        <f>Q18</f>
        <v>9</v>
      </c>
      <c r="R19" s="440"/>
      <c r="S19" s="441"/>
    </row>
    <row r="20" spans="1:19" s="442" customFormat="1" ht="203.25" customHeight="1" x14ac:dyDescent="0.2">
      <c r="A20" s="431"/>
      <c r="B20" s="432"/>
      <c r="C20" s="339" t="s">
        <v>326</v>
      </c>
      <c r="D20" s="433" t="s">
        <v>0</v>
      </c>
      <c r="E20" s="433" t="s">
        <v>71</v>
      </c>
      <c r="F20" s="434" t="s">
        <v>72</v>
      </c>
      <c r="G20" s="435" t="s">
        <v>417</v>
      </c>
      <c r="H20" s="434" t="s">
        <v>592</v>
      </c>
      <c r="I20" s="435" t="s">
        <v>418</v>
      </c>
      <c r="J20" s="434" t="s">
        <v>1</v>
      </c>
      <c r="K20" s="435" t="s">
        <v>419</v>
      </c>
      <c r="L20" s="434" t="s">
        <v>150</v>
      </c>
      <c r="M20" s="435" t="s">
        <v>420</v>
      </c>
      <c r="N20" s="436" t="s">
        <v>2</v>
      </c>
      <c r="O20" s="437"/>
      <c r="P20" s="438"/>
      <c r="Q20" s="439" t="str">
        <f>'Reporting Worksheet'!E24</f>
        <v>n/a</v>
      </c>
      <c r="R20" s="440">
        <f ca="1">IF(OR(C20=$R$3,C20=$R$4,C20=$R$5),1,0)</f>
        <v>0</v>
      </c>
      <c r="S20" s="452"/>
    </row>
    <row r="21" spans="1:19" s="442" customFormat="1" ht="135.75" customHeight="1" thickBot="1" x14ac:dyDescent="0.25">
      <c r="A21" s="431"/>
      <c r="B21" s="432"/>
      <c r="C21" s="340" t="s">
        <v>593</v>
      </c>
      <c r="D21" s="378"/>
      <c r="E21" s="443" t="s">
        <v>73</v>
      </c>
      <c r="F21" s="567" t="s">
        <v>467</v>
      </c>
      <c r="G21" s="568"/>
      <c r="H21" s="567" t="s">
        <v>159</v>
      </c>
      <c r="I21" s="568"/>
      <c r="J21" s="567" t="s">
        <v>3</v>
      </c>
      <c r="K21" s="568"/>
      <c r="L21" s="567" t="s">
        <v>524</v>
      </c>
      <c r="M21" s="568"/>
      <c r="N21" s="444" t="s">
        <v>160</v>
      </c>
      <c r="O21" s="437"/>
      <c r="P21" s="438"/>
      <c r="Q21" s="439" t="str">
        <f>Q20</f>
        <v>n/a</v>
      </c>
      <c r="R21" s="440"/>
      <c r="S21" s="441"/>
    </row>
    <row r="22" spans="1:19" s="442" customFormat="1" ht="202.5" customHeight="1" x14ac:dyDescent="0.2">
      <c r="A22" s="431"/>
      <c r="B22" s="432"/>
      <c r="C22" s="339" t="s">
        <v>327</v>
      </c>
      <c r="D22" s="433" t="s">
        <v>310</v>
      </c>
      <c r="E22" s="433" t="s">
        <v>431</v>
      </c>
      <c r="F22" s="434" t="s">
        <v>432</v>
      </c>
      <c r="G22" s="435" t="s">
        <v>417</v>
      </c>
      <c r="H22" s="434" t="s">
        <v>57</v>
      </c>
      <c r="I22" s="435" t="s">
        <v>418</v>
      </c>
      <c r="J22" s="434" t="s">
        <v>503</v>
      </c>
      <c r="K22" s="435" t="s">
        <v>419</v>
      </c>
      <c r="L22" s="434" t="s">
        <v>504</v>
      </c>
      <c r="M22" s="435" t="s">
        <v>420</v>
      </c>
      <c r="N22" s="436" t="s">
        <v>371</v>
      </c>
      <c r="O22" s="437"/>
      <c r="P22" s="438"/>
      <c r="Q22" s="439" t="str">
        <f>'Reporting Worksheet'!E25</f>
        <v>n/a</v>
      </c>
      <c r="R22" s="440">
        <f ca="1">IF(OR(C22=$R$3,C22=$R$4,C22=$R$5),1,0)</f>
        <v>0</v>
      </c>
      <c r="S22" s="441"/>
    </row>
    <row r="23" spans="1:19" s="442" customFormat="1" ht="158.25" thickBot="1" x14ac:dyDescent="0.25">
      <c r="A23" s="431"/>
      <c r="B23" s="432"/>
      <c r="C23" s="340" t="s">
        <v>594</v>
      </c>
      <c r="D23" s="378"/>
      <c r="E23" s="443" t="s">
        <v>58</v>
      </c>
      <c r="F23" s="567" t="s">
        <v>248</v>
      </c>
      <c r="G23" s="568"/>
      <c r="H23" s="567" t="s">
        <v>297</v>
      </c>
      <c r="I23" s="568"/>
      <c r="J23" s="567" t="s">
        <v>525</v>
      </c>
      <c r="K23" s="568"/>
      <c r="L23" s="567" t="s">
        <v>249</v>
      </c>
      <c r="M23" s="568"/>
      <c r="N23" s="444" t="s">
        <v>526</v>
      </c>
      <c r="O23" s="437"/>
      <c r="P23" s="438"/>
      <c r="Q23" s="439" t="str">
        <f>Q22</f>
        <v>n/a</v>
      </c>
      <c r="R23" s="440"/>
      <c r="S23" s="441"/>
    </row>
    <row r="24" spans="1:19" s="442" customFormat="1" ht="180.75" customHeight="1" x14ac:dyDescent="0.2">
      <c r="A24" s="431"/>
      <c r="B24" s="432"/>
      <c r="C24" s="339" t="s">
        <v>328</v>
      </c>
      <c r="D24" s="410"/>
      <c r="E24" s="433" t="s">
        <v>584</v>
      </c>
      <c r="F24" s="434" t="s">
        <v>595</v>
      </c>
      <c r="G24" s="435" t="s">
        <v>417</v>
      </c>
      <c r="H24" s="434" t="s">
        <v>250</v>
      </c>
      <c r="I24" s="435" t="s">
        <v>311</v>
      </c>
      <c r="J24" s="434" t="s">
        <v>239</v>
      </c>
      <c r="K24" s="435" t="s">
        <v>419</v>
      </c>
      <c r="L24" s="434" t="s">
        <v>544</v>
      </c>
      <c r="M24" s="435" t="s">
        <v>420</v>
      </c>
      <c r="N24" s="436" t="s">
        <v>354</v>
      </c>
      <c r="O24" s="437"/>
      <c r="P24" s="438"/>
      <c r="Q24" s="439">
        <f>'Reporting Worksheet'!E26</f>
        <v>0</v>
      </c>
      <c r="R24" s="440">
        <f ca="1">IF(OR(C24=$R$3,C24=$R$4,C24=$R$5),1,0)</f>
        <v>0</v>
      </c>
      <c r="S24" s="441"/>
    </row>
    <row r="25" spans="1:19" s="442" customFormat="1" ht="183.75" customHeight="1" thickBot="1" x14ac:dyDescent="0.25">
      <c r="A25" s="431"/>
      <c r="B25" s="432"/>
      <c r="C25" s="340" t="s">
        <v>4</v>
      </c>
      <c r="D25" s="378"/>
      <c r="E25" s="443" t="s">
        <v>251</v>
      </c>
      <c r="F25" s="567" t="s">
        <v>604</v>
      </c>
      <c r="G25" s="568"/>
      <c r="H25" s="443" t="s">
        <v>294</v>
      </c>
      <c r="I25" s="443" t="s">
        <v>298</v>
      </c>
      <c r="J25" s="567" t="s">
        <v>299</v>
      </c>
      <c r="K25" s="568"/>
      <c r="L25" s="567" t="s">
        <v>492</v>
      </c>
      <c r="M25" s="568"/>
      <c r="N25" s="444" t="s">
        <v>167</v>
      </c>
      <c r="O25" s="437"/>
      <c r="P25" s="438"/>
      <c r="Q25" s="439">
        <f>Q24</f>
        <v>0</v>
      </c>
      <c r="R25" s="440"/>
      <c r="S25" s="441"/>
    </row>
    <row r="26" spans="1:19" s="448" customFormat="1" ht="22.5" customHeight="1" x14ac:dyDescent="0.25">
      <c r="A26" s="445"/>
      <c r="B26" s="446"/>
      <c r="C26" s="571" t="s">
        <v>537</v>
      </c>
      <c r="D26" s="572"/>
      <c r="E26" s="572"/>
      <c r="F26" s="572"/>
      <c r="G26" s="572"/>
      <c r="H26" s="572"/>
      <c r="I26" s="572"/>
      <c r="J26" s="572"/>
      <c r="K26" s="572"/>
      <c r="L26" s="572"/>
      <c r="M26" s="572"/>
      <c r="N26" s="573"/>
      <c r="O26" s="141"/>
      <c r="P26" s="447"/>
      <c r="R26" s="449"/>
      <c r="S26" s="450"/>
    </row>
    <row r="27" spans="1:19" s="442" customFormat="1" ht="120" customHeight="1" x14ac:dyDescent="0.2">
      <c r="A27" s="431"/>
      <c r="B27" s="432"/>
      <c r="C27" s="339" t="s">
        <v>329</v>
      </c>
      <c r="D27" s="380"/>
      <c r="E27" s="433" t="s">
        <v>47</v>
      </c>
      <c r="F27" s="434" t="s">
        <v>87</v>
      </c>
      <c r="G27" s="435" t="s">
        <v>88</v>
      </c>
      <c r="H27" s="434" t="s">
        <v>355</v>
      </c>
      <c r="I27" s="435" t="s">
        <v>312</v>
      </c>
      <c r="J27" s="434" t="s">
        <v>240</v>
      </c>
      <c r="K27" s="435" t="s">
        <v>419</v>
      </c>
      <c r="L27" s="434" t="s">
        <v>74</v>
      </c>
      <c r="M27" s="435" t="s">
        <v>420</v>
      </c>
      <c r="N27" s="436" t="s">
        <v>313</v>
      </c>
      <c r="O27" s="437"/>
      <c r="P27" s="438"/>
      <c r="Q27" s="439">
        <f>'Reporting Worksheet'!E38</f>
        <v>0</v>
      </c>
      <c r="R27" s="440">
        <f ca="1">IF(OR(C27=$R$3,C27=$R$4,C27=$R$5),1,0)</f>
        <v>1</v>
      </c>
      <c r="S27" s="441"/>
    </row>
    <row r="28" spans="1:19" s="442" customFormat="1" ht="177.75" customHeight="1" thickBot="1" x14ac:dyDescent="0.25">
      <c r="A28" s="431"/>
      <c r="B28" s="432"/>
      <c r="C28" s="340" t="s">
        <v>5</v>
      </c>
      <c r="D28" s="381"/>
      <c r="E28" s="443" t="s">
        <v>546</v>
      </c>
      <c r="F28" s="567" t="s">
        <v>547</v>
      </c>
      <c r="G28" s="568"/>
      <c r="H28" s="443" t="s">
        <v>548</v>
      </c>
      <c r="I28" s="443" t="s">
        <v>298</v>
      </c>
      <c r="J28" s="567" t="s">
        <v>549</v>
      </c>
      <c r="K28" s="568"/>
      <c r="L28" s="567" t="s">
        <v>168</v>
      </c>
      <c r="M28" s="568"/>
      <c r="N28" s="444" t="s">
        <v>169</v>
      </c>
      <c r="O28" s="437"/>
      <c r="P28" s="438"/>
      <c r="Q28" s="439">
        <f>Q27</f>
        <v>0</v>
      </c>
      <c r="R28" s="440"/>
      <c r="S28" s="441"/>
    </row>
    <row r="29" spans="1:19" s="442" customFormat="1" ht="124.5" customHeight="1" x14ac:dyDescent="0.2">
      <c r="A29" s="431"/>
      <c r="B29" s="432"/>
      <c r="C29" s="339" t="s">
        <v>330</v>
      </c>
      <c r="D29" s="433" t="s">
        <v>151</v>
      </c>
      <c r="E29" s="433" t="s">
        <v>550</v>
      </c>
      <c r="F29" s="434" t="s">
        <v>6</v>
      </c>
      <c r="G29" s="435" t="s">
        <v>417</v>
      </c>
      <c r="H29" s="434" t="s">
        <v>551</v>
      </c>
      <c r="I29" s="435" t="s">
        <v>418</v>
      </c>
      <c r="J29" s="434" t="s">
        <v>380</v>
      </c>
      <c r="K29" s="435" t="s">
        <v>419</v>
      </c>
      <c r="L29" s="434" t="s">
        <v>314</v>
      </c>
      <c r="M29" s="435" t="s">
        <v>420</v>
      </c>
      <c r="N29" s="436" t="s">
        <v>393</v>
      </c>
      <c r="O29" s="437"/>
      <c r="P29" s="438"/>
      <c r="Q29" s="439">
        <f>'Reporting Worksheet'!E42</f>
        <v>6</v>
      </c>
      <c r="R29" s="440">
        <f ca="1">IF(OR(C29=$R$3,C29=$R$4,C29=$R$5),1,0)</f>
        <v>1</v>
      </c>
      <c r="S29" s="441"/>
    </row>
    <row r="30" spans="1:19" s="442" customFormat="1" ht="158.25" thickBot="1" x14ac:dyDescent="0.25">
      <c r="A30" s="431"/>
      <c r="B30" s="432"/>
      <c r="C30" s="340" t="s">
        <v>381</v>
      </c>
      <c r="D30" s="451" t="s">
        <v>591</v>
      </c>
      <c r="E30" s="443" t="s">
        <v>394</v>
      </c>
      <c r="F30" s="567" t="s">
        <v>513</v>
      </c>
      <c r="G30" s="568"/>
      <c r="H30" s="567" t="s">
        <v>170</v>
      </c>
      <c r="I30" s="568"/>
      <c r="J30" s="567" t="s">
        <v>171</v>
      </c>
      <c r="K30" s="568"/>
      <c r="L30" s="567" t="s">
        <v>252</v>
      </c>
      <c r="M30" s="568"/>
      <c r="N30" s="444" t="s">
        <v>253</v>
      </c>
      <c r="O30" s="437"/>
      <c r="P30" s="438"/>
      <c r="Q30" s="439">
        <f>Q29</f>
        <v>6</v>
      </c>
      <c r="R30" s="440"/>
      <c r="S30" s="441"/>
    </row>
    <row r="31" spans="1:19" s="442" customFormat="1" ht="173.25" customHeight="1" x14ac:dyDescent="0.2">
      <c r="A31" s="431"/>
      <c r="B31" s="432"/>
      <c r="C31" s="339" t="s">
        <v>231</v>
      </c>
      <c r="D31" s="433" t="s">
        <v>152</v>
      </c>
      <c r="E31" s="433" t="s">
        <v>90</v>
      </c>
      <c r="F31" s="434" t="s">
        <v>91</v>
      </c>
      <c r="G31" s="435" t="s">
        <v>417</v>
      </c>
      <c r="H31" s="434" t="s">
        <v>92</v>
      </c>
      <c r="I31" s="435" t="s">
        <v>418</v>
      </c>
      <c r="J31" s="434" t="s">
        <v>395</v>
      </c>
      <c r="K31" s="435" t="s">
        <v>419</v>
      </c>
      <c r="L31" s="434" t="s">
        <v>245</v>
      </c>
      <c r="M31" s="435" t="s">
        <v>420</v>
      </c>
      <c r="N31" s="436" t="s">
        <v>246</v>
      </c>
      <c r="O31" s="437"/>
      <c r="P31" s="438"/>
      <c r="Q31" s="439">
        <f>'Reporting Worksheet'!E43</f>
        <v>5</v>
      </c>
      <c r="R31" s="440">
        <f ca="1">IF(OR(C31=$R$3,C31=$R$4,C31=$R$5),1,0)</f>
        <v>0</v>
      </c>
      <c r="S31" s="441"/>
    </row>
    <row r="32" spans="1:19" s="442" customFormat="1" ht="135.75" customHeight="1" thickBot="1" x14ac:dyDescent="0.25">
      <c r="A32" s="431"/>
      <c r="B32" s="432"/>
      <c r="C32" s="340" t="s">
        <v>382</v>
      </c>
      <c r="D32" s="378"/>
      <c r="E32" s="443" t="s">
        <v>465</v>
      </c>
      <c r="F32" s="567" t="s">
        <v>586</v>
      </c>
      <c r="G32" s="568"/>
      <c r="H32" s="567" t="s">
        <v>437</v>
      </c>
      <c r="I32" s="568"/>
      <c r="J32" s="567" t="s">
        <v>587</v>
      </c>
      <c r="K32" s="568"/>
      <c r="L32" s="567" t="s">
        <v>280</v>
      </c>
      <c r="M32" s="568"/>
      <c r="N32" s="444" t="s">
        <v>466</v>
      </c>
      <c r="O32" s="437"/>
      <c r="P32" s="438"/>
      <c r="Q32" s="439">
        <f>Q31</f>
        <v>5</v>
      </c>
      <c r="R32" s="440"/>
      <c r="S32" s="441"/>
    </row>
    <row r="33" spans="1:19" s="448" customFormat="1" ht="18" customHeight="1" x14ac:dyDescent="0.25">
      <c r="A33" s="445"/>
      <c r="B33" s="446"/>
      <c r="C33" s="571" t="s">
        <v>406</v>
      </c>
      <c r="D33" s="572"/>
      <c r="E33" s="572"/>
      <c r="F33" s="572"/>
      <c r="G33" s="572"/>
      <c r="H33" s="572"/>
      <c r="I33" s="572"/>
      <c r="J33" s="572"/>
      <c r="K33" s="572"/>
      <c r="L33" s="572"/>
      <c r="M33" s="572"/>
      <c r="N33" s="573"/>
      <c r="O33" s="141"/>
      <c r="P33" s="447"/>
      <c r="R33" s="449"/>
      <c r="S33" s="450"/>
    </row>
    <row r="34" spans="1:19" s="442" customFormat="1" ht="107.25" customHeight="1" x14ac:dyDescent="0.2">
      <c r="A34" s="431"/>
      <c r="B34" s="432"/>
      <c r="C34" s="339" t="s">
        <v>331</v>
      </c>
      <c r="D34" s="410"/>
      <c r="E34" s="433" t="s">
        <v>241</v>
      </c>
      <c r="F34" s="434" t="s">
        <v>185</v>
      </c>
      <c r="G34" s="435" t="s">
        <v>417</v>
      </c>
      <c r="H34" s="434" t="s">
        <v>186</v>
      </c>
      <c r="I34" s="435" t="s">
        <v>418</v>
      </c>
      <c r="J34" s="434" t="s">
        <v>40</v>
      </c>
      <c r="K34" s="435" t="s">
        <v>419</v>
      </c>
      <c r="L34" s="434" t="s">
        <v>520</v>
      </c>
      <c r="M34" s="435" t="s">
        <v>420</v>
      </c>
      <c r="N34" s="436" t="s">
        <v>308</v>
      </c>
      <c r="O34" s="437"/>
      <c r="P34" s="438"/>
      <c r="Q34" s="439">
        <f>'Reporting Worksheet'!E62</f>
        <v>5</v>
      </c>
      <c r="R34" s="440">
        <f ca="1">IF(OR(C34=$R$3,C34=$R$4,C34=$R$5),1,0)</f>
        <v>0</v>
      </c>
      <c r="S34" s="441"/>
    </row>
    <row r="35" spans="1:19" s="442" customFormat="1" ht="153.75" customHeight="1" thickBot="1" x14ac:dyDescent="0.25">
      <c r="A35" s="431"/>
      <c r="B35" s="432"/>
      <c r="C35" s="340" t="s">
        <v>383</v>
      </c>
      <c r="D35" s="378"/>
      <c r="E35" s="443" t="s">
        <v>277</v>
      </c>
      <c r="F35" s="567" t="s">
        <v>522</v>
      </c>
      <c r="G35" s="568"/>
      <c r="H35" s="567" t="s">
        <v>96</v>
      </c>
      <c r="I35" s="568"/>
      <c r="J35" s="567" t="s">
        <v>97</v>
      </c>
      <c r="K35" s="568"/>
      <c r="L35" s="567" t="s">
        <v>98</v>
      </c>
      <c r="M35" s="568"/>
      <c r="N35" s="444" t="s">
        <v>99</v>
      </c>
      <c r="O35" s="437"/>
      <c r="P35" s="438"/>
      <c r="Q35" s="439">
        <f>Q34</f>
        <v>5</v>
      </c>
      <c r="R35" s="440"/>
      <c r="S35" s="441"/>
    </row>
    <row r="36" spans="1:19" s="442" customFormat="1" ht="146.25" x14ac:dyDescent="0.2">
      <c r="A36" s="431"/>
      <c r="B36" s="432"/>
      <c r="C36" s="339" t="s">
        <v>320</v>
      </c>
      <c r="D36" s="410"/>
      <c r="E36" s="433" t="s">
        <v>438</v>
      </c>
      <c r="F36" s="434" t="s">
        <v>439</v>
      </c>
      <c r="G36" s="435" t="s">
        <v>417</v>
      </c>
      <c r="H36" s="434" t="s">
        <v>464</v>
      </c>
      <c r="I36" s="435" t="s">
        <v>418</v>
      </c>
      <c r="J36" s="434" t="s">
        <v>384</v>
      </c>
      <c r="K36" s="435" t="s">
        <v>419</v>
      </c>
      <c r="L36" s="434" t="s">
        <v>123</v>
      </c>
      <c r="M36" s="435" t="s">
        <v>420</v>
      </c>
      <c r="N36" s="436" t="s">
        <v>278</v>
      </c>
      <c r="O36" s="437"/>
      <c r="P36" s="438"/>
      <c r="Q36" s="439">
        <f>'Reporting Worksheet'!E63</f>
        <v>6</v>
      </c>
      <c r="R36" s="440">
        <f ca="1">IF(OR(C36=$R$3,C36=$R$4,C36=$R$5),1,0)</f>
        <v>0</v>
      </c>
      <c r="S36" s="441"/>
    </row>
    <row r="37" spans="1:19" s="442" customFormat="1" ht="120.75" customHeight="1" thickBot="1" x14ac:dyDescent="0.25">
      <c r="A37" s="431"/>
      <c r="B37" s="432"/>
      <c r="C37" s="340" t="s">
        <v>385</v>
      </c>
      <c r="D37" s="378"/>
      <c r="E37" s="443" t="s">
        <v>100</v>
      </c>
      <c r="F37" s="567" t="s">
        <v>473</v>
      </c>
      <c r="G37" s="568"/>
      <c r="H37" s="567" t="s">
        <v>474</v>
      </c>
      <c r="I37" s="568"/>
      <c r="J37" s="567" t="s">
        <v>101</v>
      </c>
      <c r="K37" s="568"/>
      <c r="L37" s="567" t="s">
        <v>172</v>
      </c>
      <c r="M37" s="568"/>
      <c r="N37" s="444" t="s">
        <v>99</v>
      </c>
      <c r="O37" s="437"/>
      <c r="P37" s="438"/>
      <c r="Q37" s="439">
        <f>Q36</f>
        <v>6</v>
      </c>
      <c r="R37" s="440"/>
      <c r="S37" s="441"/>
    </row>
    <row r="38" spans="1:19" s="442" customFormat="1" ht="51.75" customHeight="1" x14ac:dyDescent="0.2">
      <c r="A38" s="431"/>
      <c r="B38" s="432"/>
      <c r="C38" s="594" t="s">
        <v>484</v>
      </c>
      <c r="D38" s="596" t="s">
        <v>163</v>
      </c>
      <c r="E38" s="591" t="s">
        <v>66</v>
      </c>
      <c r="F38" s="592"/>
      <c r="G38" s="592"/>
      <c r="H38" s="592"/>
      <c r="I38" s="592"/>
      <c r="J38" s="592"/>
      <c r="K38" s="592"/>
      <c r="L38" s="592"/>
      <c r="M38" s="593"/>
      <c r="N38" s="589" t="s">
        <v>181</v>
      </c>
      <c r="O38" s="437"/>
      <c r="P38" s="438"/>
      <c r="Q38" s="439">
        <f>Q39</f>
        <v>5</v>
      </c>
      <c r="R38" s="440">
        <f ca="1">IF(OR(C38=$R$3,C38=$R$4,C38=$R$5),1,0)</f>
        <v>0</v>
      </c>
      <c r="S38" s="441"/>
    </row>
    <row r="39" spans="1:19" s="442" customFormat="1" ht="206.25" customHeight="1" x14ac:dyDescent="0.2">
      <c r="A39" s="431"/>
      <c r="B39" s="432"/>
      <c r="C39" s="595"/>
      <c r="D39" s="597"/>
      <c r="E39" s="433" t="s">
        <v>279</v>
      </c>
      <c r="F39" s="434" t="s">
        <v>372</v>
      </c>
      <c r="G39" s="435" t="s">
        <v>417</v>
      </c>
      <c r="H39" s="434" t="s">
        <v>13</v>
      </c>
      <c r="I39" s="435" t="s">
        <v>418</v>
      </c>
      <c r="J39" s="434" t="s">
        <v>390</v>
      </c>
      <c r="K39" s="435" t="s">
        <v>419</v>
      </c>
      <c r="L39" s="434" t="s">
        <v>506</v>
      </c>
      <c r="M39" s="435" t="s">
        <v>420</v>
      </c>
      <c r="N39" s="590"/>
      <c r="O39" s="437"/>
      <c r="P39" s="438"/>
      <c r="Q39" s="439">
        <f>'Reporting Worksheet'!E65</f>
        <v>5</v>
      </c>
      <c r="R39" s="440">
        <f ca="1">IF(OR(C39=$R$3,C39=$R$4,C39=$R$5),1,0)</f>
        <v>0</v>
      </c>
      <c r="S39" s="441"/>
    </row>
    <row r="40" spans="1:19" s="442" customFormat="1" ht="113.25" customHeight="1" thickBot="1" x14ac:dyDescent="0.25">
      <c r="A40" s="431"/>
      <c r="B40" s="432"/>
      <c r="C40" s="340" t="s">
        <v>391</v>
      </c>
      <c r="D40" s="378"/>
      <c r="E40" s="443" t="s">
        <v>300</v>
      </c>
      <c r="F40" s="567" t="s">
        <v>392</v>
      </c>
      <c r="G40" s="568"/>
      <c r="H40" s="567" t="s">
        <v>301</v>
      </c>
      <c r="I40" s="568"/>
      <c r="J40" s="567" t="s">
        <v>302</v>
      </c>
      <c r="K40" s="568"/>
      <c r="L40" s="567" t="s">
        <v>303</v>
      </c>
      <c r="M40" s="568"/>
      <c r="N40" s="444" t="s">
        <v>99</v>
      </c>
      <c r="O40" s="437"/>
      <c r="P40" s="438"/>
      <c r="Q40" s="439">
        <f>Q39</f>
        <v>5</v>
      </c>
      <c r="R40" s="440"/>
      <c r="S40" s="441"/>
    </row>
    <row r="41" spans="1:19" s="442" customFormat="1" ht="221.25" customHeight="1" x14ac:dyDescent="0.2">
      <c r="A41" s="431"/>
      <c r="B41" s="432"/>
      <c r="C41" s="339" t="s">
        <v>332</v>
      </c>
      <c r="D41" s="382"/>
      <c r="E41" s="433" t="s">
        <v>106</v>
      </c>
      <c r="F41" s="434" t="s">
        <v>373</v>
      </c>
      <c r="G41" s="435" t="s">
        <v>417</v>
      </c>
      <c r="H41" s="434" t="s">
        <v>184</v>
      </c>
      <c r="I41" s="435" t="s">
        <v>418</v>
      </c>
      <c r="J41" s="434" t="s">
        <v>105</v>
      </c>
      <c r="K41" s="435" t="s">
        <v>419</v>
      </c>
      <c r="L41" s="434" t="s">
        <v>295</v>
      </c>
      <c r="M41" s="435" t="s">
        <v>420</v>
      </c>
      <c r="N41" s="436" t="s">
        <v>540</v>
      </c>
      <c r="O41" s="437"/>
      <c r="P41" s="438"/>
      <c r="Q41" s="439">
        <f>'Reporting Worksheet'!E67</f>
        <v>3</v>
      </c>
      <c r="R41" s="440">
        <f ca="1">IF(OR(C41=$R$3,C41=$R$4,C41=$R$5),1,0)</f>
        <v>0</v>
      </c>
      <c r="S41" s="441"/>
    </row>
    <row r="42" spans="1:19" s="442" customFormat="1" ht="161.25" customHeight="1" thickBot="1" x14ac:dyDescent="0.25">
      <c r="A42" s="431"/>
      <c r="B42" s="432"/>
      <c r="C42" s="340" t="s">
        <v>541</v>
      </c>
      <c r="D42" s="379"/>
      <c r="E42" s="443" t="s">
        <v>238</v>
      </c>
      <c r="F42" s="569" t="s">
        <v>89</v>
      </c>
      <c r="G42" s="570"/>
      <c r="H42" s="569" t="s">
        <v>542</v>
      </c>
      <c r="I42" s="570"/>
      <c r="J42" s="569" t="s">
        <v>12</v>
      </c>
      <c r="K42" s="570"/>
      <c r="L42" s="569" t="s">
        <v>304</v>
      </c>
      <c r="M42" s="570"/>
      <c r="N42" s="444" t="s">
        <v>161</v>
      </c>
      <c r="O42" s="437"/>
      <c r="P42" s="438"/>
      <c r="Q42" s="439">
        <f>Q41</f>
        <v>3</v>
      </c>
      <c r="R42" s="440"/>
      <c r="S42" s="441"/>
    </row>
    <row r="43" spans="1:19" s="448" customFormat="1" ht="23.25" customHeight="1" x14ac:dyDescent="0.25">
      <c r="A43" s="445"/>
      <c r="B43" s="446"/>
      <c r="C43" s="571" t="s">
        <v>192</v>
      </c>
      <c r="D43" s="572"/>
      <c r="E43" s="572"/>
      <c r="F43" s="572"/>
      <c r="G43" s="572"/>
      <c r="H43" s="572"/>
      <c r="I43" s="572"/>
      <c r="J43" s="572"/>
      <c r="K43" s="572"/>
      <c r="L43" s="572"/>
      <c r="M43" s="572"/>
      <c r="N43" s="573"/>
      <c r="O43" s="141"/>
      <c r="P43" s="447"/>
      <c r="R43" s="449"/>
      <c r="S43" s="450"/>
    </row>
    <row r="44" spans="1:19" s="442" customFormat="1" ht="90" x14ac:dyDescent="0.2">
      <c r="A44" s="431"/>
      <c r="B44" s="432"/>
      <c r="C44" s="339" t="s">
        <v>333</v>
      </c>
      <c r="D44" s="382"/>
      <c r="E44" s="433" t="s">
        <v>305</v>
      </c>
      <c r="F44" s="434" t="s">
        <v>554</v>
      </c>
      <c r="G44" s="435" t="s">
        <v>417</v>
      </c>
      <c r="H44" s="434" t="s">
        <v>425</v>
      </c>
      <c r="I44" s="435" t="s">
        <v>418</v>
      </c>
      <c r="J44" s="434" t="s">
        <v>555</v>
      </c>
      <c r="K44" s="435" t="s">
        <v>419</v>
      </c>
      <c r="L44" s="434" t="s">
        <v>556</v>
      </c>
      <c r="M44" s="435" t="s">
        <v>420</v>
      </c>
      <c r="N44" s="436" t="s">
        <v>596</v>
      </c>
      <c r="O44" s="437"/>
      <c r="P44" s="438"/>
      <c r="Q44" s="439">
        <f>'Reporting Worksheet'!E74</f>
        <v>10</v>
      </c>
      <c r="R44" s="440">
        <f ca="1">IF(OR(C44=$R$3,C44=$R$4,C44=$R$5),1,0)</f>
        <v>0</v>
      </c>
      <c r="S44" s="441"/>
    </row>
    <row r="45" spans="1:19" s="442" customFormat="1" ht="79.5" thickBot="1" x14ac:dyDescent="0.25">
      <c r="A45" s="431"/>
      <c r="B45" s="432"/>
      <c r="C45" s="340" t="s">
        <v>597</v>
      </c>
      <c r="D45" s="378"/>
      <c r="E45" s="443" t="s">
        <v>426</v>
      </c>
      <c r="F45" s="567" t="s">
        <v>343</v>
      </c>
      <c r="G45" s="568"/>
      <c r="H45" s="567" t="s">
        <v>427</v>
      </c>
      <c r="I45" s="568"/>
      <c r="J45" s="567" t="s">
        <v>344</v>
      </c>
      <c r="K45" s="568"/>
      <c r="L45" s="567" t="s">
        <v>345</v>
      </c>
      <c r="M45" s="568"/>
      <c r="N45" s="444" t="s">
        <v>346</v>
      </c>
      <c r="O45" s="437"/>
      <c r="P45" s="438"/>
      <c r="Q45" s="439">
        <f>Q44</f>
        <v>10</v>
      </c>
      <c r="R45" s="440"/>
      <c r="S45" s="441"/>
    </row>
    <row r="46" spans="1:19" s="442" customFormat="1" ht="168.75" x14ac:dyDescent="0.2">
      <c r="A46" s="431"/>
      <c r="B46" s="432"/>
      <c r="C46" s="339" t="s">
        <v>321</v>
      </c>
      <c r="D46" s="382"/>
      <c r="E46" s="433" t="s">
        <v>386</v>
      </c>
      <c r="F46" s="434" t="s">
        <v>347</v>
      </c>
      <c r="G46" s="435" t="s">
        <v>417</v>
      </c>
      <c r="H46" s="434" t="s">
        <v>348</v>
      </c>
      <c r="I46" s="435" t="s">
        <v>349</v>
      </c>
      <c r="J46" s="434" t="s">
        <v>276</v>
      </c>
      <c r="K46" s="435" t="s">
        <v>419</v>
      </c>
      <c r="L46" s="434" t="s">
        <v>387</v>
      </c>
      <c r="M46" s="435" t="s">
        <v>420</v>
      </c>
      <c r="N46" s="436" t="s">
        <v>388</v>
      </c>
      <c r="O46" s="437"/>
      <c r="P46" s="438"/>
      <c r="Q46" s="439">
        <f>'Reporting Worksheet'!E75</f>
        <v>8</v>
      </c>
      <c r="R46" s="440">
        <f ca="1">IF(OR(C46=$R$3,C46=$R$4,C46=$R$5),1,0)</f>
        <v>0</v>
      </c>
      <c r="S46" s="441"/>
    </row>
    <row r="47" spans="1:19" s="442" customFormat="1" ht="102" thickBot="1" x14ac:dyDescent="0.25">
      <c r="A47" s="431"/>
      <c r="B47" s="432"/>
      <c r="C47" s="340" t="s">
        <v>214</v>
      </c>
      <c r="D47" s="378"/>
      <c r="E47" s="443" t="s">
        <v>389</v>
      </c>
      <c r="F47" s="567" t="s">
        <v>215</v>
      </c>
      <c r="G47" s="568"/>
      <c r="H47" s="443" t="s">
        <v>216</v>
      </c>
      <c r="I47" s="443" t="s">
        <v>217</v>
      </c>
      <c r="J47" s="567" t="s">
        <v>218</v>
      </c>
      <c r="K47" s="568"/>
      <c r="L47" s="567" t="s">
        <v>219</v>
      </c>
      <c r="M47" s="568"/>
      <c r="N47" s="444" t="s">
        <v>220</v>
      </c>
      <c r="O47" s="437"/>
      <c r="P47" s="438"/>
      <c r="Q47" s="439">
        <f>Q46</f>
        <v>8</v>
      </c>
      <c r="R47" s="440"/>
      <c r="S47" s="441"/>
    </row>
    <row r="48" spans="1:19" s="442" customFormat="1" ht="146.25" x14ac:dyDescent="0.2">
      <c r="A48" s="431"/>
      <c r="B48" s="432"/>
      <c r="C48" s="339" t="s">
        <v>322</v>
      </c>
      <c r="D48" s="403" t="s">
        <v>374</v>
      </c>
      <c r="E48" s="433" t="s">
        <v>306</v>
      </c>
      <c r="F48" s="434" t="s">
        <v>598</v>
      </c>
      <c r="G48" s="435" t="s">
        <v>417</v>
      </c>
      <c r="H48" s="434" t="s">
        <v>221</v>
      </c>
      <c r="I48" s="435" t="s">
        <v>418</v>
      </c>
      <c r="J48" s="434" t="s">
        <v>599</v>
      </c>
      <c r="K48" s="435" t="s">
        <v>419</v>
      </c>
      <c r="L48" s="434" t="s">
        <v>222</v>
      </c>
      <c r="M48" s="435" t="s">
        <v>420</v>
      </c>
      <c r="N48" s="436" t="s">
        <v>600</v>
      </c>
      <c r="O48" s="437"/>
      <c r="P48" s="438"/>
      <c r="Q48" s="439">
        <f>'Reporting Worksheet'!E76</f>
        <v>8</v>
      </c>
      <c r="R48" s="440">
        <f ca="1">IF(OR(C48=$R$3,C48=$R$4,C48=$R$5),1,0)</f>
        <v>0</v>
      </c>
      <c r="S48" s="441"/>
    </row>
    <row r="49" spans="1:19" s="442" customFormat="1" ht="84" customHeight="1" thickBot="1" x14ac:dyDescent="0.25">
      <c r="A49" s="431"/>
      <c r="B49" s="432"/>
      <c r="C49" s="340" t="s">
        <v>428</v>
      </c>
      <c r="D49" s="378"/>
      <c r="E49" s="443" t="s">
        <v>114</v>
      </c>
      <c r="F49" s="567" t="s">
        <v>343</v>
      </c>
      <c r="G49" s="568"/>
      <c r="H49" s="567" t="s">
        <v>601</v>
      </c>
      <c r="I49" s="568"/>
      <c r="J49" s="567" t="s">
        <v>429</v>
      </c>
      <c r="K49" s="568"/>
      <c r="L49" s="567" t="s">
        <v>345</v>
      </c>
      <c r="M49" s="568"/>
      <c r="N49" s="444" t="s">
        <v>346</v>
      </c>
      <c r="O49" s="437"/>
      <c r="P49" s="438"/>
      <c r="Q49" s="439">
        <f>Q48</f>
        <v>8</v>
      </c>
      <c r="R49" s="440"/>
      <c r="S49" s="441"/>
    </row>
    <row r="50" spans="1:19" ht="12" customHeight="1" thickBot="1" x14ac:dyDescent="0.3">
      <c r="B50" s="453"/>
      <c r="C50" s="160"/>
      <c r="D50" s="160"/>
      <c r="E50" s="160"/>
      <c r="F50" s="160"/>
      <c r="G50" s="160"/>
      <c r="H50" s="160"/>
      <c r="I50" s="160"/>
      <c r="J50" s="160"/>
      <c r="K50" s="160"/>
      <c r="L50" s="160"/>
      <c r="M50" s="160"/>
      <c r="N50" s="160"/>
      <c r="O50" s="161"/>
      <c r="P50" s="162"/>
    </row>
    <row r="51" spans="1:19" ht="9.75" customHeight="1" thickTop="1" x14ac:dyDescent="0.25"/>
    <row r="52" spans="1:19" hidden="1" x14ac:dyDescent="0.25"/>
    <row r="53" spans="1:19" hidden="1" x14ac:dyDescent="0.25"/>
    <row r="54" spans="1:19" hidden="1" x14ac:dyDescent="0.25"/>
    <row r="55" spans="1:19" hidden="1" x14ac:dyDescent="0.25"/>
    <row r="56" spans="1:19" hidden="1" x14ac:dyDescent="0.25"/>
    <row r="57" spans="1:19" hidden="1" x14ac:dyDescent="0.25"/>
    <row r="58" spans="1:19" hidden="1" x14ac:dyDescent="0.25"/>
    <row r="59" spans="1:19" hidden="1" x14ac:dyDescent="0.25"/>
    <row r="60" spans="1:19" hidden="1" x14ac:dyDescent="0.25"/>
    <row r="61" spans="1:19" hidden="1" x14ac:dyDescent="0.25"/>
    <row r="62" spans="1:19" hidden="1" x14ac:dyDescent="0.25"/>
    <row r="63" spans="1:19" hidden="1" x14ac:dyDescent="0.25"/>
    <row r="64" spans="1:19" hidden="1" x14ac:dyDescent="0.25"/>
    <row r="65" hidden="1" x14ac:dyDescent="0.25"/>
    <row r="66" hidden="1" x14ac:dyDescent="0.25"/>
    <row r="67" hidden="1" x14ac:dyDescent="0.25"/>
    <row r="68" hidden="1" x14ac:dyDescent="0.25"/>
    <row r="69" hidden="1" x14ac:dyDescent="0.25"/>
    <row r="70" hidden="1" x14ac:dyDescent="0.25"/>
    <row r="71" hidden="1" x14ac:dyDescent="0.25"/>
    <row r="72" hidden="1" x14ac:dyDescent="0.25"/>
    <row r="73" hidden="1" x14ac:dyDescent="0.25"/>
    <row r="74" hidden="1" x14ac:dyDescent="0.25"/>
    <row r="75" hidden="1" x14ac:dyDescent="0.25"/>
    <row r="76" hidden="1" x14ac:dyDescent="0.25"/>
    <row r="77" hidden="1" x14ac:dyDescent="0.25"/>
    <row r="78" hidden="1" x14ac:dyDescent="0.25"/>
    <row r="79" hidden="1" x14ac:dyDescent="0.25"/>
    <row r="80" hidden="1" x14ac:dyDescent="0.25"/>
    <row r="81" hidden="1" x14ac:dyDescent="0.25"/>
    <row r="82" hidden="1" x14ac:dyDescent="0.25"/>
    <row r="83" hidden="1" x14ac:dyDescent="0.25"/>
    <row r="84" hidden="1" x14ac:dyDescent="0.25"/>
    <row r="85" hidden="1" x14ac:dyDescent="0.25"/>
    <row r="86" hidden="1" x14ac:dyDescent="0.25"/>
    <row r="87" hidden="1" x14ac:dyDescent="0.25"/>
    <row r="88" hidden="1" x14ac:dyDescent="0.25"/>
    <row r="89" hidden="1" x14ac:dyDescent="0.25"/>
    <row r="90" hidden="1" x14ac:dyDescent="0.25"/>
    <row r="91" hidden="1" x14ac:dyDescent="0.25"/>
    <row r="92" hidden="1" x14ac:dyDescent="0.25"/>
    <row r="93" hidden="1" x14ac:dyDescent="0.25"/>
    <row r="94" hidden="1" x14ac:dyDescent="0.25"/>
    <row r="95" hidden="1" x14ac:dyDescent="0.25"/>
    <row r="96"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row r="149" hidden="1" x14ac:dyDescent="0.25"/>
    <row r="150" hidden="1" x14ac:dyDescent="0.25"/>
    <row r="151" hidden="1" x14ac:dyDescent="0.25"/>
    <row r="152" hidden="1" x14ac:dyDescent="0.25"/>
    <row r="153" hidden="1" x14ac:dyDescent="0.25"/>
    <row r="154" hidden="1" x14ac:dyDescent="0.25"/>
    <row r="155" hidden="1" x14ac:dyDescent="0.25"/>
    <row r="156" hidden="1" x14ac:dyDescent="0.25"/>
    <row r="157" hidden="1" x14ac:dyDescent="0.25"/>
    <row r="158" hidden="1" x14ac:dyDescent="0.25"/>
    <row r="159" hidden="1" x14ac:dyDescent="0.25"/>
    <row r="160" hidden="1" x14ac:dyDescent="0.25"/>
    <row r="161" hidden="1" x14ac:dyDescent="0.25"/>
    <row r="162" hidden="1" x14ac:dyDescent="0.25"/>
    <row r="163" hidden="1" x14ac:dyDescent="0.25"/>
    <row r="164" hidden="1" x14ac:dyDescent="0.25"/>
    <row r="165" hidden="1" x14ac:dyDescent="0.25"/>
    <row r="166" hidden="1" x14ac:dyDescent="0.25"/>
    <row r="167" hidden="1" x14ac:dyDescent="0.25"/>
  </sheetData>
  <sheetProtection password="E218" sheet="1" objects="1" scenarios="1"/>
  <mergeCells count="81">
    <mergeCell ref="C38:C39"/>
    <mergeCell ref="D38:D39"/>
    <mergeCell ref="F40:G40"/>
    <mergeCell ref="H40:I40"/>
    <mergeCell ref="J40:K40"/>
    <mergeCell ref="L40:M40"/>
    <mergeCell ref="N38:N39"/>
    <mergeCell ref="E38:M38"/>
    <mergeCell ref="F37:G37"/>
    <mergeCell ref="H37:I37"/>
    <mergeCell ref="J37:K37"/>
    <mergeCell ref="L37:M37"/>
    <mergeCell ref="J32:K32"/>
    <mergeCell ref="L32:M32"/>
    <mergeCell ref="F30:G30"/>
    <mergeCell ref="H30:I30"/>
    <mergeCell ref="J30:K30"/>
    <mergeCell ref="L30:M30"/>
    <mergeCell ref="F21:G21"/>
    <mergeCell ref="H21:I21"/>
    <mergeCell ref="J21:K21"/>
    <mergeCell ref="L21:M21"/>
    <mergeCell ref="F23:G23"/>
    <mergeCell ref="H23:I23"/>
    <mergeCell ref="J23:K23"/>
    <mergeCell ref="L23:M23"/>
    <mergeCell ref="F19:G19"/>
    <mergeCell ref="H19:I19"/>
    <mergeCell ref="J19:K19"/>
    <mergeCell ref="L19:M19"/>
    <mergeCell ref="F16:G16"/>
    <mergeCell ref="H16:I16"/>
    <mergeCell ref="J16:K16"/>
    <mergeCell ref="L16:M16"/>
    <mergeCell ref="F14:G14"/>
    <mergeCell ref="H14:I14"/>
    <mergeCell ref="J14:K14"/>
    <mergeCell ref="L14:M14"/>
    <mergeCell ref="F10:G10"/>
    <mergeCell ref="H10:I10"/>
    <mergeCell ref="J10:K10"/>
    <mergeCell ref="L12:M12"/>
    <mergeCell ref="F12:G12"/>
    <mergeCell ref="C43:N43"/>
    <mergeCell ref="C2:L2"/>
    <mergeCell ref="C4:N4"/>
    <mergeCell ref="C6:N6"/>
    <mergeCell ref="C8:N8"/>
    <mergeCell ref="H12:I12"/>
    <mergeCell ref="J12:K12"/>
    <mergeCell ref="L10:M10"/>
    <mergeCell ref="C17:N17"/>
    <mergeCell ref="C26:N26"/>
    <mergeCell ref="F45:G45"/>
    <mergeCell ref="F25:G25"/>
    <mergeCell ref="J25:K25"/>
    <mergeCell ref="L25:M25"/>
    <mergeCell ref="F28:G28"/>
    <mergeCell ref="J28:K28"/>
    <mergeCell ref="L28:M28"/>
    <mergeCell ref="C33:N33"/>
    <mergeCell ref="F32:G32"/>
    <mergeCell ref="H32:I32"/>
    <mergeCell ref="F35:G35"/>
    <mergeCell ref="H35:I35"/>
    <mergeCell ref="J35:K35"/>
    <mergeCell ref="L35:M35"/>
    <mergeCell ref="F42:G42"/>
    <mergeCell ref="H42:I42"/>
    <mergeCell ref="J42:K42"/>
    <mergeCell ref="L42:M42"/>
    <mergeCell ref="H45:I45"/>
    <mergeCell ref="J45:K45"/>
    <mergeCell ref="L45:M45"/>
    <mergeCell ref="F49:G49"/>
    <mergeCell ref="H49:I49"/>
    <mergeCell ref="J49:K49"/>
    <mergeCell ref="L49:M49"/>
    <mergeCell ref="F47:G47"/>
    <mergeCell ref="J47:K47"/>
    <mergeCell ref="L47:M47"/>
  </mergeCells>
  <phoneticPr fontId="0" type="noConversion"/>
  <conditionalFormatting sqref="S20">
    <cfRule type="expression" dxfId="108" priority="1" stopIfTrue="1">
      <formula>S$7=$Q20</formula>
    </cfRule>
  </conditionalFormatting>
  <conditionalFormatting sqref="N37 N42 N23 N16 N30 N32 N45 N40 N12 N47 N35 N14 N10 N19 N25 N28 N21 E38 N49">
    <cfRule type="expression" dxfId="107" priority="2" stopIfTrue="1">
      <formula>E$7=$Q10</formula>
    </cfRule>
  </conditionalFormatting>
  <conditionalFormatting sqref="D46 D41 C9 C11 C15 C18 D44 C13 C20 C22 D27:D28">
    <cfRule type="expression" dxfId="106" priority="3" stopIfTrue="1">
      <formula>R9=1</formula>
    </cfRule>
  </conditionalFormatting>
  <conditionalFormatting sqref="D9:N9 D11:N11 D13:N13 D15:N15 D18:N18 E19 E10 E12 E14 E16 D20:N20 E21 D22:N22 E23 E24:N24 E25 H25:I25 E27:N27 E28 H28:I28 D29:N29 E30 D31:N31 E32 E35 E34:N34 E37 E36:N36 E39:M39 E40 E42 E41:N41 E45 E44:N44 E46:N46 E47 H47:I47 E49 E48:N48">
    <cfRule type="expression" dxfId="105" priority="4" stopIfTrue="1">
      <formula>D$7=$Q9</formula>
    </cfRule>
  </conditionalFormatting>
  <conditionalFormatting sqref="F10:M10 F12:M12 F14:M14 F16:M16 F19:M19 L21 J21 F21 H21 L23 J23 F23 H23 F25 L25 J25 F28 L28 J28 L30 J30 F30 H30 L32 J32 F32 H32 L35 J35 F35 H35 L37 J37 F37 H37 L40 J40 F40 H40 L42 J42 F42 H42 L45 J45 F45 H45 F47 L47 J47 L49 J49 F49 H49">
    <cfRule type="expression" dxfId="104" priority="5" stopIfTrue="1">
      <formula>OR(F$7=$Q10,G$7=$Q10)</formula>
    </cfRule>
  </conditionalFormatting>
  <conditionalFormatting sqref="D19">
    <cfRule type="expression" dxfId="103" priority="6" stopIfTrue="1">
      <formula>D$7=$Q19</formula>
    </cfRule>
  </conditionalFormatting>
  <conditionalFormatting sqref="D38:D39">
    <cfRule type="expression" dxfId="102" priority="7" stopIfTrue="1">
      <formula>D$7=$Q39</formula>
    </cfRule>
  </conditionalFormatting>
  <conditionalFormatting sqref="N38:N39">
    <cfRule type="expression" dxfId="101" priority="8" stopIfTrue="1">
      <formula>D$7=$Q$39</formula>
    </cfRule>
  </conditionalFormatting>
  <conditionalFormatting sqref="D48">
    <cfRule type="expression" dxfId="100" priority="9" stopIfTrue="1">
      <formula>D$7=$Q48</formula>
    </cfRule>
  </conditionalFormatting>
  <conditionalFormatting sqref="C48 C46 C44 C41 C36 C34 C31 C29 C27 C24">
    <cfRule type="expression" dxfId="99" priority="10" stopIfTrue="1">
      <formula>R24=1</formula>
    </cfRule>
  </conditionalFormatting>
  <conditionalFormatting sqref="C38:C39">
    <cfRule type="expression" dxfId="98" priority="11" stopIfTrue="1">
      <formula>$R$39</formula>
    </cfRule>
  </conditionalFormatting>
  <printOptions horizontalCentered="1" verticalCentered="1"/>
  <pageMargins left="0.25" right="0.25" top="0.5" bottom="0.5" header="0.3" footer="0.3"/>
  <pageSetup paperSize="3" fitToHeight="0" orientation="landscape" r:id="rId1"/>
  <headerFooter alignWithMargins="0">
    <oddFooter>&amp;CAWWA Water Loss Control Committee&amp;R&amp;A     &amp;P</oddFooter>
  </headerFooter>
  <rowBreaks count="1" manualBreakCount="1">
    <brk id="42" max="15"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F1C3B-77D0-4F63-852E-1248C01F6407}">
  <sheetPr codeName="Sheet9">
    <tabColor indexed="48"/>
  </sheetPr>
  <dimension ref="B1:G25"/>
  <sheetViews>
    <sheetView showGridLines="0" showRowColHeaders="0" zoomScaleNormal="100" workbookViewId="0">
      <selection activeCell="B2" sqref="B2:F3"/>
    </sheetView>
  </sheetViews>
  <sheetFormatPr defaultColWidth="0" defaultRowHeight="13.5" zeroHeight="1" x14ac:dyDescent="0.25"/>
  <cols>
    <col min="1" max="1" width="0.85546875" style="104" customWidth="1"/>
    <col min="2" max="2" width="18.5703125" style="104" customWidth="1"/>
    <col min="3" max="3" width="17.140625" style="104" customWidth="1"/>
    <col min="4" max="4" width="17.42578125" style="104" customWidth="1"/>
    <col min="5" max="5" width="59.7109375" style="104" customWidth="1"/>
    <col min="6" max="6" width="1.5703125" style="104" customWidth="1"/>
    <col min="7" max="7" width="1.140625" style="133" customWidth="1"/>
    <col min="8" max="16384" width="0" style="104" hidden="1"/>
  </cols>
  <sheetData>
    <row r="1" spans="2:7" ht="3.75" customHeight="1" thickBot="1" x14ac:dyDescent="0.3"/>
    <row r="2" spans="2:7" ht="15" customHeight="1" thickTop="1" x14ac:dyDescent="0.25">
      <c r="B2" s="598" t="s">
        <v>553</v>
      </c>
      <c r="C2" s="599"/>
      <c r="D2" s="599"/>
      <c r="E2" s="599"/>
      <c r="F2" s="600"/>
      <c r="G2" s="411"/>
    </row>
    <row r="3" spans="2:7" ht="38.25" customHeight="1" thickBot="1" x14ac:dyDescent="0.3">
      <c r="B3" s="601"/>
      <c r="C3" s="602"/>
      <c r="D3" s="602"/>
      <c r="E3" s="602"/>
      <c r="F3" s="603"/>
      <c r="G3" s="411"/>
    </row>
    <row r="4" spans="2:7" s="113" customFormat="1" ht="36.75" customHeight="1" thickTop="1" x14ac:dyDescent="0.3">
      <c r="B4" s="392"/>
      <c r="C4" s="393"/>
      <c r="D4" s="394"/>
      <c r="E4" s="395" t="str">
        <f>IF(ISBLANK(Instructions!H24),"","All Units in "&amp;Instructions!H24)</f>
        <v/>
      </c>
      <c r="F4" s="396"/>
      <c r="G4" s="411"/>
    </row>
    <row r="5" spans="2:7" s="113" customFormat="1" ht="36.75" customHeight="1" x14ac:dyDescent="0.3">
      <c r="B5" s="214"/>
      <c r="C5" s="389"/>
      <c r="D5" s="390"/>
      <c r="E5" s="391"/>
      <c r="F5" s="397"/>
      <c r="G5" s="411"/>
    </row>
    <row r="6" spans="2:7" s="113" customFormat="1" ht="36.75" customHeight="1" x14ac:dyDescent="0.3">
      <c r="B6" s="214"/>
      <c r="C6" s="389"/>
      <c r="D6" s="390"/>
      <c r="E6" s="391"/>
      <c r="F6" s="397"/>
      <c r="G6" s="411"/>
    </row>
    <row r="7" spans="2:7" s="113" customFormat="1" ht="36.75" customHeight="1" x14ac:dyDescent="0.3">
      <c r="B7" s="214"/>
      <c r="C7" s="389"/>
      <c r="D7" s="390"/>
      <c r="E7" s="391"/>
      <c r="F7" s="397"/>
      <c r="G7" s="411"/>
    </row>
    <row r="8" spans="2:7" s="113" customFormat="1" ht="36.75" customHeight="1" x14ac:dyDescent="0.3">
      <c r="B8" s="214"/>
      <c r="C8" s="389"/>
      <c r="D8" s="390"/>
      <c r="E8" s="391"/>
      <c r="F8" s="397"/>
      <c r="G8" s="411"/>
    </row>
    <row r="9" spans="2:7" s="113" customFormat="1" ht="36.75" customHeight="1" x14ac:dyDescent="0.3">
      <c r="B9" s="214"/>
      <c r="C9" s="389"/>
      <c r="D9" s="390"/>
      <c r="E9" s="391"/>
      <c r="F9" s="397"/>
      <c r="G9" s="411"/>
    </row>
    <row r="10" spans="2:7" s="113" customFormat="1" ht="36.75" customHeight="1" x14ac:dyDescent="0.3">
      <c r="B10" s="214"/>
      <c r="C10" s="389"/>
      <c r="D10" s="390"/>
      <c r="E10" s="391"/>
      <c r="F10" s="397"/>
      <c r="G10" s="411"/>
    </row>
    <row r="11" spans="2:7" s="113" customFormat="1" ht="36.75" customHeight="1" x14ac:dyDescent="0.3">
      <c r="B11" s="214"/>
      <c r="C11" s="389"/>
      <c r="D11" s="390"/>
      <c r="E11" s="391"/>
      <c r="F11" s="397"/>
      <c r="G11" s="411"/>
    </row>
    <row r="12" spans="2:7" s="113" customFormat="1" ht="36.75" customHeight="1" x14ac:dyDescent="0.3">
      <c r="B12" s="214"/>
      <c r="C12" s="389"/>
      <c r="D12" s="390"/>
      <c r="E12" s="391"/>
      <c r="F12" s="397"/>
      <c r="G12" s="411"/>
    </row>
    <row r="13" spans="2:7" s="113" customFormat="1" ht="36.75" customHeight="1" x14ac:dyDescent="0.3">
      <c r="B13" s="214"/>
      <c r="C13" s="389"/>
      <c r="D13" s="390"/>
      <c r="E13" s="391"/>
      <c r="F13" s="397"/>
      <c r="G13" s="411"/>
    </row>
    <row r="14" spans="2:7" s="113" customFormat="1" ht="36.75" customHeight="1" x14ac:dyDescent="0.3">
      <c r="B14" s="214"/>
      <c r="C14" s="389"/>
      <c r="D14" s="390"/>
      <c r="E14" s="391"/>
      <c r="F14" s="397"/>
      <c r="G14" s="411"/>
    </row>
    <row r="15" spans="2:7" s="113" customFormat="1" ht="36.75" customHeight="1" x14ac:dyDescent="0.3">
      <c r="B15" s="214"/>
      <c r="C15" s="389"/>
      <c r="D15" s="390"/>
      <c r="E15" s="391"/>
      <c r="F15" s="397"/>
      <c r="G15" s="411"/>
    </row>
    <row r="16" spans="2:7" s="113" customFormat="1" ht="36.75" customHeight="1" x14ac:dyDescent="0.3">
      <c r="B16" s="214"/>
      <c r="C16" s="389"/>
      <c r="D16" s="390"/>
      <c r="E16" s="391"/>
      <c r="F16" s="397"/>
      <c r="G16" s="411"/>
    </row>
    <row r="17" spans="2:7" s="113" customFormat="1" ht="36.75" customHeight="1" x14ac:dyDescent="0.3">
      <c r="B17" s="214"/>
      <c r="C17" s="389"/>
      <c r="D17" s="390"/>
      <c r="E17" s="391"/>
      <c r="F17" s="397"/>
      <c r="G17" s="411"/>
    </row>
    <row r="18" spans="2:7" s="113" customFormat="1" ht="36.75" customHeight="1" x14ac:dyDescent="0.3">
      <c r="B18" s="214"/>
      <c r="C18" s="389"/>
      <c r="D18" s="390"/>
      <c r="E18" s="391"/>
      <c r="F18" s="397"/>
      <c r="G18" s="411"/>
    </row>
    <row r="19" spans="2:7" s="113" customFormat="1" ht="36.75" customHeight="1" x14ac:dyDescent="0.3">
      <c r="B19" s="214"/>
      <c r="C19" s="389"/>
      <c r="D19" s="390"/>
      <c r="E19" s="391"/>
      <c r="F19" s="397"/>
      <c r="G19" s="411"/>
    </row>
    <row r="20" spans="2:7" s="113" customFormat="1" ht="36.75" customHeight="1" x14ac:dyDescent="0.3">
      <c r="B20" s="214"/>
      <c r="C20" s="389"/>
      <c r="D20" s="390"/>
      <c r="E20" s="391"/>
      <c r="F20" s="397"/>
      <c r="G20" s="411"/>
    </row>
    <row r="21" spans="2:7" s="113" customFormat="1" ht="36.75" customHeight="1" x14ac:dyDescent="0.3">
      <c r="B21" s="214"/>
      <c r="C21" s="389"/>
      <c r="D21" s="390"/>
      <c r="E21" s="391"/>
      <c r="F21" s="397"/>
      <c r="G21" s="411"/>
    </row>
    <row r="22" spans="2:7" s="113" customFormat="1" ht="36.75" customHeight="1" x14ac:dyDescent="0.3">
      <c r="B22" s="214"/>
      <c r="C22" s="389"/>
      <c r="D22" s="390"/>
      <c r="E22" s="391"/>
      <c r="F22" s="397"/>
      <c r="G22" s="411"/>
    </row>
    <row r="23" spans="2:7" s="113" customFormat="1" ht="36.75" customHeight="1" x14ac:dyDescent="0.3">
      <c r="B23" s="214"/>
      <c r="C23" s="389"/>
      <c r="D23" s="390"/>
      <c r="E23" s="391"/>
      <c r="F23" s="397"/>
      <c r="G23" s="411"/>
    </row>
    <row r="24" spans="2:7" s="113" customFormat="1" ht="5.25" customHeight="1" thickBot="1" x14ac:dyDescent="0.35">
      <c r="B24" s="398"/>
      <c r="C24" s="399"/>
      <c r="D24" s="400"/>
      <c r="E24" s="401"/>
      <c r="F24" s="402"/>
      <c r="G24" s="411"/>
    </row>
    <row r="25" spans="2:7" ht="14.25" hidden="1" thickTop="1" x14ac:dyDescent="0.25"/>
  </sheetData>
  <sheetProtection password="E218" sheet="1" objects="1" scenarios="1"/>
  <mergeCells count="1">
    <mergeCell ref="B2:F3"/>
  </mergeCells>
  <phoneticPr fontId="0" type="noConversion"/>
  <pageMargins left="0.5" right="0.49" top="0.78" bottom="0.83" header="0.5" footer="0.5"/>
  <pageSetup scale="84" orientation="portrait" horizontalDpi="1200" r:id="rId1"/>
  <headerFooter alignWithMargins="0">
    <oddFooter>&amp;CAWWA Water Loss Control Committee&amp;R&amp;A     &amp;P</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273F4-D610-4C33-8BD2-B08008688CD3}">
  <sheetPr codeName="Sheet10">
    <tabColor indexed="48"/>
  </sheetPr>
  <dimension ref="A1:N74"/>
  <sheetViews>
    <sheetView showGridLines="0" showRowColHeaders="0" zoomScaleNormal="100" zoomScaleSheetLayoutView="100" workbookViewId="0">
      <pane xSplit="2" ySplit="5" topLeftCell="C54" activePane="bottomRight" state="frozen"/>
      <selection activeCell="K26" sqref="K26"/>
      <selection pane="topRight" activeCell="K26" sqref="K26"/>
      <selection pane="bottomLeft" activeCell="K26" sqref="K26"/>
      <selection pane="bottomRight" activeCell="C63" sqref="C63:L63"/>
    </sheetView>
  </sheetViews>
  <sheetFormatPr defaultColWidth="0" defaultRowHeight="13.5" zeroHeight="1" x14ac:dyDescent="0.25"/>
  <cols>
    <col min="1" max="1" width="1.28515625" style="225" customWidth="1"/>
    <col min="2" max="2" width="1.28515625" style="26" customWidth="1"/>
    <col min="3" max="3" width="41.28515625" style="1" customWidth="1"/>
    <col min="4" max="4" width="6.42578125" style="1" customWidth="1"/>
    <col min="5" max="5" width="2.7109375" style="1" customWidth="1"/>
    <col min="6" max="6" width="7.85546875" style="1" customWidth="1"/>
    <col min="7" max="7" width="29.7109375" style="1" customWidth="1"/>
    <col min="8" max="8" width="3.140625" style="1" customWidth="1"/>
    <col min="9" max="9" width="8.7109375" style="1" customWidth="1"/>
    <col min="10" max="10" width="29.7109375" style="1" customWidth="1"/>
    <col min="11" max="11" width="2.85546875" style="1" customWidth="1"/>
    <col min="12" max="12" width="2.42578125" style="1" customWidth="1"/>
    <col min="13" max="13" width="1.140625" style="1" customWidth="1"/>
    <col min="14" max="14" width="1.28515625" style="1" customWidth="1"/>
    <col min="15" max="16384" width="0" style="1" hidden="1"/>
  </cols>
  <sheetData>
    <row r="1" spans="1:14" s="18" customFormat="1" ht="6" customHeight="1" thickBot="1" x14ac:dyDescent="0.3">
      <c r="A1" s="225"/>
      <c r="B1" s="26"/>
      <c r="N1" s="102"/>
    </row>
    <row r="2" spans="1:14" ht="40.5" customHeight="1" thickTop="1" thickBot="1" x14ac:dyDescent="0.3">
      <c r="B2" s="52"/>
      <c r="C2" s="622" t="s">
        <v>44</v>
      </c>
      <c r="D2" s="623"/>
      <c r="E2" s="623"/>
      <c r="F2" s="623"/>
      <c r="G2" s="623"/>
      <c r="H2" s="623"/>
      <c r="I2" s="623"/>
      <c r="J2" s="48"/>
      <c r="K2" s="48"/>
      <c r="L2" s="48"/>
      <c r="M2" s="49"/>
      <c r="N2" s="102"/>
    </row>
    <row r="3" spans="1:14" ht="9.75" customHeight="1" thickTop="1" thickBot="1" x14ac:dyDescent="0.3">
      <c r="B3" s="53"/>
      <c r="C3" s="2"/>
      <c r="D3" s="2"/>
      <c r="E3" s="2"/>
      <c r="F3" s="2"/>
      <c r="G3" s="2"/>
      <c r="H3" s="2"/>
      <c r="I3" s="2"/>
      <c r="J3" s="2"/>
      <c r="K3" s="2"/>
      <c r="L3" s="2"/>
      <c r="M3" s="29"/>
      <c r="N3" s="102"/>
    </row>
    <row r="4" spans="1:14" s="25" customFormat="1" ht="15" customHeight="1" thickBot="1" x14ac:dyDescent="0.35">
      <c r="A4" s="226"/>
      <c r="B4" s="54"/>
      <c r="C4" s="69" t="s">
        <v>607</v>
      </c>
      <c r="D4" s="66"/>
      <c r="E4" s="624" t="s">
        <v>608</v>
      </c>
      <c r="F4" s="625"/>
      <c r="G4" s="625"/>
      <c r="H4" s="625"/>
      <c r="I4" s="625"/>
      <c r="J4" s="625"/>
      <c r="K4" s="625"/>
      <c r="L4" s="626"/>
      <c r="M4" s="56"/>
      <c r="N4" s="102"/>
    </row>
    <row r="5" spans="1:14" ht="6.75" customHeight="1" thickBot="1" x14ac:dyDescent="0.3">
      <c r="B5" s="53"/>
      <c r="C5" s="50"/>
      <c r="D5" s="50"/>
      <c r="E5" s="50"/>
      <c r="F5" s="50"/>
      <c r="G5" s="28"/>
      <c r="H5" s="2"/>
      <c r="I5" s="2"/>
      <c r="J5" s="2"/>
      <c r="K5" s="2"/>
      <c r="L5" s="2"/>
      <c r="M5" s="29"/>
      <c r="N5" s="102"/>
    </row>
    <row r="6" spans="1:14" ht="89.25" customHeight="1" thickBot="1" x14ac:dyDescent="0.3">
      <c r="B6" s="53"/>
      <c r="C6" s="70" t="s">
        <v>290</v>
      </c>
      <c r="D6" s="67"/>
      <c r="E6" s="604" t="s">
        <v>213</v>
      </c>
      <c r="F6" s="605"/>
      <c r="G6" s="605"/>
      <c r="H6" s="605"/>
      <c r="I6" s="605"/>
      <c r="J6" s="605"/>
      <c r="K6" s="605"/>
      <c r="L6" s="606"/>
      <c r="M6" s="29"/>
      <c r="N6" s="102"/>
    </row>
    <row r="7" spans="1:14" ht="6.75" customHeight="1" thickBot="1" x14ac:dyDescent="0.3">
      <c r="B7" s="53"/>
      <c r="C7" s="50"/>
      <c r="D7" s="50"/>
      <c r="E7" s="50"/>
      <c r="F7" s="50"/>
      <c r="G7" s="28"/>
      <c r="H7" s="2"/>
      <c r="I7" s="2"/>
      <c r="J7" s="2"/>
      <c r="K7" s="2"/>
      <c r="L7" s="2"/>
      <c r="M7" s="29"/>
      <c r="N7" s="102"/>
    </row>
    <row r="8" spans="1:14" ht="124.5" customHeight="1" thickBot="1" x14ac:dyDescent="0.3">
      <c r="B8" s="53"/>
      <c r="C8" s="65" t="s">
        <v>571</v>
      </c>
      <c r="D8" s="61"/>
      <c r="E8" s="619" t="s">
        <v>102</v>
      </c>
      <c r="F8" s="620"/>
      <c r="G8" s="620"/>
      <c r="H8" s="620"/>
      <c r="I8" s="620"/>
      <c r="J8" s="620"/>
      <c r="K8" s="620"/>
      <c r="L8" s="621"/>
      <c r="M8" s="29"/>
      <c r="N8" s="102"/>
    </row>
    <row r="9" spans="1:14" ht="6.75" customHeight="1" thickBot="1" x14ac:dyDescent="0.3">
      <c r="B9" s="53"/>
      <c r="C9" s="50"/>
      <c r="D9" s="50"/>
      <c r="E9" s="50"/>
      <c r="F9" s="50"/>
      <c r="G9" s="28"/>
      <c r="H9" s="2"/>
      <c r="I9" s="2"/>
      <c r="J9" s="2"/>
      <c r="K9" s="2"/>
      <c r="L9" s="2"/>
      <c r="M9" s="29"/>
      <c r="N9" s="102"/>
    </row>
    <row r="10" spans="1:14" ht="292.5" customHeight="1" thickBot="1" x14ac:dyDescent="0.3">
      <c r="B10" s="53"/>
      <c r="C10" s="71" t="s">
        <v>483</v>
      </c>
      <c r="D10" s="67"/>
      <c r="E10" s="627"/>
      <c r="F10" s="628"/>
      <c r="G10" s="628"/>
      <c r="H10" s="628"/>
      <c r="I10" s="628"/>
      <c r="J10" s="628"/>
      <c r="K10" s="628"/>
      <c r="L10" s="629"/>
      <c r="M10" s="29"/>
      <c r="N10" s="102"/>
    </row>
    <row r="11" spans="1:14" ht="6.75" customHeight="1" thickBot="1" x14ac:dyDescent="0.3">
      <c r="B11" s="53"/>
      <c r="C11" s="50"/>
      <c r="D11" s="50"/>
      <c r="E11" s="50"/>
      <c r="F11" s="50"/>
      <c r="G11" s="28"/>
      <c r="H11" s="2"/>
      <c r="I11" s="2"/>
      <c r="J11" s="2"/>
      <c r="K11" s="2"/>
      <c r="L11" s="2"/>
      <c r="M11" s="29"/>
      <c r="N11" s="102"/>
    </row>
    <row r="12" spans="1:14" ht="87" customHeight="1" thickBot="1" x14ac:dyDescent="0.3">
      <c r="B12" s="53"/>
      <c r="C12" s="70" t="s">
        <v>37</v>
      </c>
      <c r="D12" s="67"/>
      <c r="E12" s="607" t="s">
        <v>442</v>
      </c>
      <c r="F12" s="608"/>
      <c r="G12" s="608"/>
      <c r="H12" s="608"/>
      <c r="I12" s="608"/>
      <c r="J12" s="608"/>
      <c r="K12" s="608"/>
      <c r="L12" s="609"/>
      <c r="M12" s="29"/>
      <c r="N12" s="102"/>
    </row>
    <row r="13" spans="1:14" ht="6.75" customHeight="1" thickBot="1" x14ac:dyDescent="0.3">
      <c r="B13" s="53"/>
      <c r="C13" s="50"/>
      <c r="D13" s="50"/>
      <c r="E13" s="50"/>
      <c r="F13" s="50"/>
      <c r="G13" s="28"/>
      <c r="H13" s="2"/>
      <c r="I13" s="2"/>
      <c r="J13" s="2"/>
      <c r="K13" s="2"/>
      <c r="L13" s="2"/>
      <c r="M13" s="29"/>
      <c r="N13" s="102"/>
    </row>
    <row r="14" spans="1:14" ht="25.5" customHeight="1" thickBot="1" x14ac:dyDescent="0.3">
      <c r="B14" s="53"/>
      <c r="C14" s="70" t="s">
        <v>20</v>
      </c>
      <c r="D14" s="67"/>
      <c r="E14" s="616" t="s">
        <v>606</v>
      </c>
      <c r="F14" s="617"/>
      <c r="G14" s="617"/>
      <c r="H14" s="617"/>
      <c r="I14" s="617"/>
      <c r="J14" s="617"/>
      <c r="K14" s="617"/>
      <c r="L14" s="618"/>
      <c r="M14" s="29"/>
      <c r="N14" s="102"/>
    </row>
    <row r="15" spans="1:14" ht="6.75" customHeight="1" thickBot="1" x14ac:dyDescent="0.3">
      <c r="B15" s="53"/>
      <c r="C15" s="50"/>
      <c r="D15" s="50"/>
      <c r="E15" s="50"/>
      <c r="F15" s="50"/>
      <c r="G15" s="28"/>
      <c r="H15" s="2"/>
      <c r="I15" s="2"/>
      <c r="J15" s="2"/>
      <c r="K15" s="2"/>
      <c r="L15" s="2"/>
      <c r="M15" s="29"/>
      <c r="N15" s="102"/>
    </row>
    <row r="16" spans="1:14" ht="107.25" customHeight="1" thickBot="1" x14ac:dyDescent="0.3">
      <c r="B16" s="53"/>
      <c r="C16" s="70" t="s">
        <v>364</v>
      </c>
      <c r="D16" s="67"/>
      <c r="E16" s="616" t="s">
        <v>32</v>
      </c>
      <c r="F16" s="617"/>
      <c r="G16" s="617"/>
      <c r="H16" s="617"/>
      <c r="I16" s="617"/>
      <c r="J16" s="617"/>
      <c r="K16" s="617"/>
      <c r="L16" s="618"/>
      <c r="M16" s="29"/>
      <c r="N16" s="102"/>
    </row>
    <row r="17" spans="1:14" ht="6.75" customHeight="1" thickBot="1" x14ac:dyDescent="0.3">
      <c r="B17" s="53"/>
      <c r="C17" s="50"/>
      <c r="D17" s="50"/>
      <c r="E17" s="50"/>
      <c r="F17" s="50"/>
      <c r="G17" s="28"/>
      <c r="H17" s="2"/>
      <c r="I17" s="2"/>
      <c r="J17" s="2"/>
      <c r="K17" s="2"/>
      <c r="L17" s="2"/>
      <c r="M17" s="29"/>
      <c r="N17" s="102"/>
    </row>
    <row r="18" spans="1:14" ht="77.25" customHeight="1" thickBot="1" x14ac:dyDescent="0.3">
      <c r="B18" s="53"/>
      <c r="C18" s="70" t="s">
        <v>365</v>
      </c>
      <c r="D18" s="67"/>
      <c r="E18" s="616" t="s">
        <v>103</v>
      </c>
      <c r="F18" s="617"/>
      <c r="G18" s="617"/>
      <c r="H18" s="617"/>
      <c r="I18" s="617"/>
      <c r="J18" s="617"/>
      <c r="K18" s="617"/>
      <c r="L18" s="618"/>
      <c r="M18" s="29"/>
      <c r="N18" s="102"/>
    </row>
    <row r="19" spans="1:14" ht="6.75" customHeight="1" thickBot="1" x14ac:dyDescent="0.3">
      <c r="B19" s="53"/>
      <c r="C19" s="50"/>
      <c r="D19" s="50"/>
      <c r="E19" s="50"/>
      <c r="F19" s="50"/>
      <c r="G19" s="28"/>
      <c r="H19" s="2"/>
      <c r="I19" s="2"/>
      <c r="J19" s="2"/>
      <c r="K19" s="2"/>
      <c r="L19" s="2"/>
      <c r="M19" s="29"/>
      <c r="N19" s="102"/>
    </row>
    <row r="20" spans="1:14" ht="18.75" customHeight="1" thickBot="1" x14ac:dyDescent="0.3">
      <c r="B20" s="53"/>
      <c r="C20" s="70" t="s">
        <v>293</v>
      </c>
      <c r="D20" s="67"/>
      <c r="E20" s="604" t="s">
        <v>56</v>
      </c>
      <c r="F20" s="605"/>
      <c r="G20" s="605"/>
      <c r="H20" s="605"/>
      <c r="I20" s="605"/>
      <c r="J20" s="605"/>
      <c r="K20" s="605"/>
      <c r="L20" s="606"/>
      <c r="M20" s="29"/>
      <c r="N20" s="102"/>
    </row>
    <row r="21" spans="1:14" ht="6.75" customHeight="1" thickBot="1" x14ac:dyDescent="0.3">
      <c r="B21" s="53"/>
      <c r="C21" s="50"/>
      <c r="D21" s="50"/>
      <c r="E21" s="50"/>
      <c r="F21" s="50"/>
      <c r="G21" s="28"/>
      <c r="H21" s="2"/>
      <c r="I21" s="2"/>
      <c r="J21" s="2"/>
      <c r="K21" s="2"/>
      <c r="L21" s="2"/>
      <c r="M21" s="29"/>
      <c r="N21" s="102"/>
    </row>
    <row r="22" spans="1:14" s="64" customFormat="1" ht="158.25" customHeight="1" thickBot="1" x14ac:dyDescent="0.25">
      <c r="A22" s="228"/>
      <c r="B22" s="63"/>
      <c r="C22" s="71" t="s">
        <v>369</v>
      </c>
      <c r="D22" s="68"/>
      <c r="E22" s="607" t="s">
        <v>421</v>
      </c>
      <c r="F22" s="608"/>
      <c r="G22" s="608"/>
      <c r="H22" s="608"/>
      <c r="I22" s="608"/>
      <c r="J22" s="608"/>
      <c r="K22" s="608"/>
      <c r="L22" s="609"/>
      <c r="M22" s="40"/>
      <c r="N22" s="103"/>
    </row>
    <row r="23" spans="1:14" ht="6.75" customHeight="1" thickBot="1" x14ac:dyDescent="0.3">
      <c r="B23" s="53"/>
      <c r="C23" s="50"/>
      <c r="D23" s="50"/>
      <c r="E23" s="50"/>
      <c r="F23" s="50"/>
      <c r="G23" s="28"/>
      <c r="H23" s="2"/>
      <c r="I23" s="2"/>
      <c r="J23" s="2"/>
      <c r="K23" s="2"/>
      <c r="L23" s="2"/>
      <c r="M23" s="29"/>
      <c r="N23" s="102"/>
    </row>
    <row r="24" spans="1:14" ht="192" customHeight="1" thickBot="1" x14ac:dyDescent="0.3">
      <c r="B24" s="53"/>
      <c r="C24" s="70" t="s">
        <v>39</v>
      </c>
      <c r="D24" s="67"/>
      <c r="E24" s="607" t="s">
        <v>514</v>
      </c>
      <c r="F24" s="608"/>
      <c r="G24" s="608"/>
      <c r="H24" s="608"/>
      <c r="I24" s="608"/>
      <c r="J24" s="608"/>
      <c r="K24" s="608"/>
      <c r="L24" s="609"/>
      <c r="M24" s="29"/>
      <c r="N24" s="102"/>
    </row>
    <row r="25" spans="1:14" ht="6.75" customHeight="1" thickBot="1" x14ac:dyDescent="0.3">
      <c r="B25" s="53"/>
      <c r="C25" s="50"/>
      <c r="D25" s="50"/>
      <c r="E25" s="50"/>
      <c r="F25" s="50"/>
      <c r="G25" s="28"/>
      <c r="H25" s="2"/>
      <c r="I25" s="2"/>
      <c r="J25" s="2"/>
      <c r="K25" s="2"/>
      <c r="L25" s="2"/>
      <c r="M25" s="29"/>
      <c r="N25" s="102"/>
    </row>
    <row r="26" spans="1:14" ht="39.75" customHeight="1" thickBot="1" x14ac:dyDescent="0.3">
      <c r="B26" s="53"/>
      <c r="C26" s="65" t="s">
        <v>203</v>
      </c>
      <c r="D26" s="101"/>
      <c r="E26" s="613" t="s">
        <v>288</v>
      </c>
      <c r="F26" s="614"/>
      <c r="G26" s="614"/>
      <c r="H26" s="614"/>
      <c r="I26" s="614"/>
      <c r="J26" s="614"/>
      <c r="K26" s="614"/>
      <c r="L26" s="615"/>
      <c r="M26" s="29"/>
      <c r="N26" s="102"/>
    </row>
    <row r="27" spans="1:14" ht="6.75" customHeight="1" thickBot="1" x14ac:dyDescent="0.3">
      <c r="B27" s="53"/>
      <c r="C27" s="50"/>
      <c r="D27" s="50"/>
      <c r="E27" s="50"/>
      <c r="F27" s="50"/>
      <c r="G27" s="28"/>
      <c r="H27" s="2"/>
      <c r="I27" s="2"/>
      <c r="J27" s="2"/>
      <c r="K27" s="2"/>
      <c r="L27" s="2"/>
      <c r="M27" s="29"/>
      <c r="N27" s="102"/>
    </row>
    <row r="28" spans="1:14" ht="197.25" customHeight="1" thickBot="1" x14ac:dyDescent="0.3">
      <c r="B28" s="53"/>
      <c r="C28" s="70" t="s">
        <v>292</v>
      </c>
      <c r="D28" s="67"/>
      <c r="E28" s="607" t="s">
        <v>287</v>
      </c>
      <c r="F28" s="608"/>
      <c r="G28" s="608"/>
      <c r="H28" s="608"/>
      <c r="I28" s="608"/>
      <c r="J28" s="608"/>
      <c r="K28" s="608"/>
      <c r="L28" s="609"/>
      <c r="M28" s="29"/>
      <c r="N28" s="102"/>
    </row>
    <row r="29" spans="1:14" ht="6.75" customHeight="1" thickBot="1" x14ac:dyDescent="0.3">
      <c r="B29" s="53"/>
      <c r="C29" s="50"/>
      <c r="D29" s="50"/>
      <c r="E29" s="50"/>
      <c r="F29" s="50"/>
      <c r="G29" s="28"/>
      <c r="H29" s="2"/>
      <c r="I29" s="2"/>
      <c r="J29" s="2"/>
      <c r="K29" s="2"/>
      <c r="L29" s="2"/>
      <c r="M29" s="29"/>
      <c r="N29" s="102"/>
    </row>
    <row r="30" spans="1:14" ht="64.5" customHeight="1" thickBot="1" x14ac:dyDescent="0.3">
      <c r="A30" s="224"/>
      <c r="B30" s="53"/>
      <c r="C30" s="65" t="s">
        <v>52</v>
      </c>
      <c r="D30" s="60"/>
      <c r="E30" s="616" t="s">
        <v>10</v>
      </c>
      <c r="F30" s="617"/>
      <c r="G30" s="617"/>
      <c r="H30" s="617"/>
      <c r="I30" s="617"/>
      <c r="J30" s="617"/>
      <c r="K30" s="617"/>
      <c r="L30" s="618"/>
      <c r="M30" s="29"/>
      <c r="N30" s="102"/>
    </row>
    <row r="31" spans="1:14" ht="6.75" customHeight="1" thickBot="1" x14ac:dyDescent="0.3">
      <c r="B31" s="53"/>
      <c r="C31" s="50"/>
      <c r="D31" s="50"/>
      <c r="E31" s="50"/>
      <c r="F31" s="50"/>
      <c r="G31" s="28"/>
      <c r="H31" s="2"/>
      <c r="I31" s="2"/>
      <c r="J31" s="2"/>
      <c r="K31" s="2"/>
      <c r="L31" s="2"/>
      <c r="M31" s="29"/>
      <c r="N31" s="102"/>
    </row>
    <row r="32" spans="1:14" ht="27.75" customHeight="1" thickBot="1" x14ac:dyDescent="0.3">
      <c r="B32" s="53"/>
      <c r="C32" s="71" t="s">
        <v>36</v>
      </c>
      <c r="D32" s="68"/>
      <c r="E32" s="637" t="s">
        <v>440</v>
      </c>
      <c r="F32" s="638"/>
      <c r="G32" s="638"/>
      <c r="H32" s="638"/>
      <c r="I32" s="638"/>
      <c r="J32" s="638"/>
      <c r="K32" s="638"/>
      <c r="L32" s="639"/>
      <c r="M32" s="29"/>
      <c r="N32" s="102"/>
    </row>
    <row r="33" spans="2:14" ht="6.75" customHeight="1" thickBot="1" x14ac:dyDescent="0.3">
      <c r="B33" s="53"/>
      <c r="C33" s="50"/>
      <c r="D33" s="50"/>
      <c r="E33" s="50"/>
      <c r="F33" s="50"/>
      <c r="G33" s="28"/>
      <c r="H33" s="2"/>
      <c r="I33" s="2"/>
      <c r="J33" s="2"/>
      <c r="K33" s="2"/>
      <c r="L33" s="2"/>
      <c r="M33" s="29"/>
      <c r="N33" s="102"/>
    </row>
    <row r="34" spans="2:14" ht="52.5" customHeight="1" thickBot="1" x14ac:dyDescent="0.3">
      <c r="B34" s="53"/>
      <c r="C34" s="71" t="s">
        <v>285</v>
      </c>
      <c r="D34" s="67"/>
      <c r="E34" s="607" t="s">
        <v>271</v>
      </c>
      <c r="F34" s="608"/>
      <c r="G34" s="608"/>
      <c r="H34" s="608"/>
      <c r="I34" s="608"/>
      <c r="J34" s="608"/>
      <c r="K34" s="608"/>
      <c r="L34" s="609"/>
      <c r="M34" s="29"/>
      <c r="N34" s="102"/>
    </row>
    <row r="35" spans="2:14" ht="6.75" customHeight="1" thickBot="1" x14ac:dyDescent="0.3">
      <c r="B35" s="53"/>
      <c r="C35" s="50"/>
      <c r="D35" s="50"/>
      <c r="E35" s="50"/>
      <c r="F35" s="50"/>
      <c r="G35" s="28"/>
      <c r="H35" s="2"/>
      <c r="I35" s="2"/>
      <c r="J35" s="2"/>
      <c r="K35" s="2"/>
      <c r="L35" s="2"/>
      <c r="M35" s="29"/>
      <c r="N35" s="102"/>
    </row>
    <row r="36" spans="2:14" ht="84.75" customHeight="1" thickBot="1" x14ac:dyDescent="0.3">
      <c r="B36" s="53"/>
      <c r="C36" s="70" t="s">
        <v>291</v>
      </c>
      <c r="D36" s="67"/>
      <c r="E36" s="607" t="s">
        <v>296</v>
      </c>
      <c r="F36" s="608"/>
      <c r="G36" s="608"/>
      <c r="H36" s="608"/>
      <c r="I36" s="608"/>
      <c r="J36" s="608"/>
      <c r="K36" s="608"/>
      <c r="L36" s="609"/>
      <c r="M36" s="29"/>
      <c r="N36" s="102"/>
    </row>
    <row r="37" spans="2:14" ht="6.75" customHeight="1" thickBot="1" x14ac:dyDescent="0.3">
      <c r="B37" s="53"/>
      <c r="C37" s="50"/>
      <c r="D37" s="50"/>
      <c r="E37" s="50"/>
      <c r="F37" s="50"/>
      <c r="G37" s="28"/>
      <c r="H37" s="2"/>
      <c r="I37" s="2"/>
      <c r="J37" s="2"/>
      <c r="K37" s="2"/>
      <c r="L37" s="2"/>
      <c r="M37" s="29"/>
      <c r="N37" s="102"/>
    </row>
    <row r="38" spans="2:14" ht="17.25" customHeight="1" thickBot="1" x14ac:dyDescent="0.3">
      <c r="B38" s="53"/>
      <c r="C38" s="71" t="s">
        <v>22</v>
      </c>
      <c r="D38" s="68"/>
      <c r="E38" s="610" t="s">
        <v>201</v>
      </c>
      <c r="F38" s="611"/>
      <c r="G38" s="611"/>
      <c r="H38" s="611"/>
      <c r="I38" s="611"/>
      <c r="J38" s="611"/>
      <c r="K38" s="611"/>
      <c r="L38" s="612"/>
      <c r="M38" s="29"/>
      <c r="N38" s="102"/>
    </row>
    <row r="39" spans="2:14" ht="6.75" customHeight="1" thickBot="1" x14ac:dyDescent="0.3">
      <c r="B39" s="53"/>
      <c r="C39" s="50"/>
      <c r="D39" s="50"/>
      <c r="E39" s="50"/>
      <c r="F39" s="50"/>
      <c r="G39" s="28"/>
      <c r="H39" s="2"/>
      <c r="I39" s="2"/>
      <c r="J39" s="2"/>
      <c r="K39" s="2"/>
      <c r="L39" s="2"/>
      <c r="M39" s="29"/>
      <c r="N39" s="102"/>
    </row>
    <row r="40" spans="2:14" ht="27.75" customHeight="1" thickBot="1" x14ac:dyDescent="0.3">
      <c r="B40" s="53"/>
      <c r="C40" s="71" t="s">
        <v>35</v>
      </c>
      <c r="D40" s="68"/>
      <c r="E40" s="607" t="s">
        <v>361</v>
      </c>
      <c r="F40" s="608"/>
      <c r="G40" s="608"/>
      <c r="H40" s="608"/>
      <c r="I40" s="608"/>
      <c r="J40" s="608"/>
      <c r="K40" s="608"/>
      <c r="L40" s="609"/>
      <c r="M40" s="29"/>
      <c r="N40" s="102"/>
    </row>
    <row r="41" spans="2:14" ht="6.75" customHeight="1" thickBot="1" x14ac:dyDescent="0.3">
      <c r="B41" s="53"/>
      <c r="C41" s="50"/>
      <c r="D41" s="50"/>
      <c r="E41" s="50"/>
      <c r="F41" s="50"/>
      <c r="G41" s="28"/>
      <c r="H41" s="2"/>
      <c r="I41" s="2"/>
      <c r="J41" s="2"/>
      <c r="K41" s="2"/>
      <c r="L41" s="2"/>
      <c r="M41" s="29"/>
      <c r="N41" s="102"/>
    </row>
    <row r="42" spans="2:14" ht="77.25" customHeight="1" thickBot="1" x14ac:dyDescent="0.3">
      <c r="B42" s="53"/>
      <c r="C42" s="71" t="s">
        <v>38</v>
      </c>
      <c r="D42" s="67"/>
      <c r="E42" s="607" t="s">
        <v>370</v>
      </c>
      <c r="F42" s="608"/>
      <c r="G42" s="608"/>
      <c r="H42" s="608"/>
      <c r="I42" s="608"/>
      <c r="J42" s="608"/>
      <c r="K42" s="608"/>
      <c r="L42" s="609"/>
      <c r="M42" s="29"/>
      <c r="N42" s="102"/>
    </row>
    <row r="43" spans="2:14" ht="6.75" customHeight="1" thickBot="1" x14ac:dyDescent="0.3">
      <c r="B43" s="53"/>
      <c r="C43" s="50"/>
      <c r="D43" s="50"/>
      <c r="E43" s="50"/>
      <c r="F43" s="50"/>
      <c r="G43" s="28"/>
      <c r="H43" s="2"/>
      <c r="I43" s="2"/>
      <c r="J43" s="2"/>
      <c r="K43" s="2"/>
      <c r="L43" s="2"/>
      <c r="M43" s="29"/>
      <c r="N43" s="102"/>
    </row>
    <row r="44" spans="2:14" ht="123" customHeight="1" thickBot="1" x14ac:dyDescent="0.3">
      <c r="B44" s="53"/>
      <c r="C44" s="70" t="s">
        <v>34</v>
      </c>
      <c r="D44" s="67"/>
      <c r="E44" s="607" t="s">
        <v>486</v>
      </c>
      <c r="F44" s="608"/>
      <c r="G44" s="608"/>
      <c r="H44" s="608"/>
      <c r="I44" s="608"/>
      <c r="J44" s="608"/>
      <c r="K44" s="608"/>
      <c r="L44" s="609"/>
      <c r="M44" s="29"/>
      <c r="N44" s="102"/>
    </row>
    <row r="45" spans="2:14" ht="6.75" customHeight="1" thickBot="1" x14ac:dyDescent="0.3">
      <c r="B45" s="53"/>
      <c r="C45" s="50"/>
      <c r="D45" s="50"/>
      <c r="E45" s="50"/>
      <c r="F45" s="50"/>
      <c r="G45" s="28"/>
      <c r="H45" s="2"/>
      <c r="I45" s="2"/>
      <c r="J45" s="2"/>
      <c r="K45" s="2"/>
      <c r="L45" s="2"/>
      <c r="M45" s="29"/>
      <c r="N45" s="102"/>
    </row>
    <row r="46" spans="2:14" ht="130.5" customHeight="1" x14ac:dyDescent="0.25">
      <c r="B46" s="53"/>
      <c r="C46" s="643" t="s">
        <v>202</v>
      </c>
      <c r="D46" s="656"/>
      <c r="E46" s="658" t="s">
        <v>179</v>
      </c>
      <c r="F46" s="659"/>
      <c r="G46" s="659"/>
      <c r="H46" s="659"/>
      <c r="I46" s="659"/>
      <c r="J46" s="659"/>
      <c r="K46" s="659"/>
      <c r="L46" s="660"/>
      <c r="M46" s="29"/>
      <c r="N46" s="102"/>
    </row>
    <row r="47" spans="2:14" ht="201.75" customHeight="1" thickBot="1" x14ac:dyDescent="0.3">
      <c r="B47" s="53"/>
      <c r="C47" s="644"/>
      <c r="D47" s="657"/>
      <c r="E47" s="640" t="s">
        <v>94</v>
      </c>
      <c r="F47" s="641"/>
      <c r="G47" s="641"/>
      <c r="H47" s="641"/>
      <c r="I47" s="641"/>
      <c r="J47" s="641"/>
      <c r="K47" s="641"/>
      <c r="L47" s="642"/>
      <c r="M47" s="29"/>
      <c r="N47" s="102"/>
    </row>
    <row r="48" spans="2:14" ht="6.75" customHeight="1" thickBot="1" x14ac:dyDescent="0.3">
      <c r="B48" s="53"/>
      <c r="C48" s="50"/>
      <c r="D48" s="50"/>
      <c r="E48" s="50"/>
      <c r="F48" s="50"/>
      <c r="G48" s="28"/>
      <c r="H48" s="2"/>
      <c r="I48" s="2"/>
      <c r="J48" s="2"/>
      <c r="K48" s="2"/>
      <c r="L48" s="2"/>
      <c r="M48" s="29"/>
      <c r="N48" s="102"/>
    </row>
    <row r="49" spans="2:14" ht="24.75" customHeight="1" thickBot="1" x14ac:dyDescent="0.3">
      <c r="B49" s="53"/>
      <c r="C49" s="71" t="s">
        <v>24</v>
      </c>
      <c r="D49" s="68"/>
      <c r="E49" s="616" t="s">
        <v>605</v>
      </c>
      <c r="F49" s="617"/>
      <c r="G49" s="617"/>
      <c r="H49" s="617"/>
      <c r="I49" s="617"/>
      <c r="J49" s="617"/>
      <c r="K49" s="617"/>
      <c r="L49" s="618"/>
      <c r="M49" s="29"/>
      <c r="N49" s="102"/>
    </row>
    <row r="50" spans="2:14" ht="6.75" customHeight="1" thickBot="1" x14ac:dyDescent="0.3">
      <c r="B50" s="53"/>
      <c r="C50" s="30"/>
      <c r="D50" s="27"/>
      <c r="E50" s="27"/>
      <c r="F50" s="27"/>
      <c r="G50" s="59"/>
      <c r="H50" s="58"/>
      <c r="I50" s="58"/>
      <c r="J50" s="58"/>
      <c r="K50" s="58"/>
      <c r="L50" s="58"/>
      <c r="M50" s="29"/>
      <c r="N50" s="102"/>
    </row>
    <row r="51" spans="2:14" ht="52.5" customHeight="1" thickBot="1" x14ac:dyDescent="0.3">
      <c r="B51" s="53"/>
      <c r="C51" s="70" t="s">
        <v>368</v>
      </c>
      <c r="D51" s="67"/>
      <c r="E51" s="607" t="s">
        <v>104</v>
      </c>
      <c r="F51" s="608"/>
      <c r="G51" s="608"/>
      <c r="H51" s="608"/>
      <c r="I51" s="608"/>
      <c r="J51" s="608"/>
      <c r="K51" s="608"/>
      <c r="L51" s="609"/>
      <c r="M51" s="29"/>
      <c r="N51" s="102"/>
    </row>
    <row r="52" spans="2:14" ht="6.75" customHeight="1" thickBot="1" x14ac:dyDescent="0.3">
      <c r="B52" s="53"/>
      <c r="C52" s="30"/>
      <c r="D52" s="27"/>
      <c r="E52" s="27"/>
      <c r="F52" s="27"/>
      <c r="G52" s="59"/>
      <c r="H52" s="58"/>
      <c r="I52" s="58"/>
      <c r="J52" s="58"/>
      <c r="K52" s="58"/>
      <c r="L52" s="58"/>
      <c r="M52" s="29"/>
      <c r="N52" s="102"/>
    </row>
    <row r="53" spans="2:14" ht="182.25" customHeight="1" thickBot="1" x14ac:dyDescent="0.3">
      <c r="B53" s="53"/>
      <c r="C53" s="71" t="s">
        <v>367</v>
      </c>
      <c r="D53" s="68"/>
      <c r="E53" s="607" t="s">
        <v>107</v>
      </c>
      <c r="F53" s="608"/>
      <c r="G53" s="608"/>
      <c r="H53" s="608"/>
      <c r="I53" s="608"/>
      <c r="J53" s="608"/>
      <c r="K53" s="608"/>
      <c r="L53" s="609"/>
      <c r="M53" s="29"/>
      <c r="N53" s="102"/>
    </row>
    <row r="54" spans="2:14" ht="6.75" customHeight="1" thickBot="1" x14ac:dyDescent="0.3">
      <c r="B54" s="53"/>
      <c r="C54" s="50"/>
      <c r="D54" s="50"/>
      <c r="E54" s="50"/>
      <c r="F54" s="50"/>
      <c r="G54" s="28"/>
      <c r="H54" s="2"/>
      <c r="I54" s="2"/>
      <c r="J54" s="2"/>
      <c r="K54" s="2"/>
      <c r="L54" s="2"/>
      <c r="M54" s="29"/>
      <c r="N54" s="102"/>
    </row>
    <row r="55" spans="2:14" ht="102" customHeight="1" x14ac:dyDescent="0.25">
      <c r="B55" s="53"/>
      <c r="C55" s="630" t="s">
        <v>113</v>
      </c>
      <c r="D55" s="633"/>
      <c r="E55" s="650" t="s">
        <v>14</v>
      </c>
      <c r="F55" s="651"/>
      <c r="G55" s="651"/>
      <c r="H55" s="651"/>
      <c r="I55" s="651"/>
      <c r="J55" s="651"/>
      <c r="K55" s="651"/>
      <c r="L55" s="652"/>
      <c r="M55" s="29"/>
      <c r="N55" s="102"/>
    </row>
    <row r="56" spans="2:14" ht="18" customHeight="1" x14ac:dyDescent="0.25">
      <c r="B56" s="53"/>
      <c r="C56" s="631"/>
      <c r="D56" s="634"/>
      <c r="E56" s="648" t="s">
        <v>536</v>
      </c>
      <c r="F56" s="649"/>
      <c r="G56" s="283" t="s">
        <v>534</v>
      </c>
      <c r="H56" s="283"/>
      <c r="I56" s="636" t="s">
        <v>535</v>
      </c>
      <c r="J56" s="636"/>
      <c r="K56" s="280"/>
      <c r="L56" s="284"/>
      <c r="M56" s="29"/>
      <c r="N56" s="102"/>
    </row>
    <row r="57" spans="2:14" ht="18.75" customHeight="1" x14ac:dyDescent="0.25">
      <c r="B57" s="53"/>
      <c r="C57" s="631"/>
      <c r="D57" s="634"/>
      <c r="E57" s="654">
        <v>1</v>
      </c>
      <c r="F57" s="655"/>
      <c r="G57" s="291" t="s">
        <v>530</v>
      </c>
      <c r="H57" s="281" t="s">
        <v>533</v>
      </c>
      <c r="I57" s="282">
        <f>E57*INDEX(Sheet1!N2:P4,MATCH(G57,Sheet1!M2:M4,0),MATCH(J57,Sheet1!N1:P1,0))</f>
        <v>3.068883289737228</v>
      </c>
      <c r="J57" s="291" t="s">
        <v>111</v>
      </c>
      <c r="K57" s="280"/>
      <c r="L57" s="284"/>
      <c r="M57" s="29"/>
      <c r="N57" s="102"/>
    </row>
    <row r="58" spans="2:14" ht="18" customHeight="1" x14ac:dyDescent="0.25">
      <c r="B58" s="53"/>
      <c r="C58" s="631"/>
      <c r="D58" s="634"/>
      <c r="E58" s="285"/>
      <c r="F58" s="279"/>
      <c r="G58" s="653" t="str">
        <f>"(conversion factor = "&amp;INDEX(Sheet1!N2:P4,MATCH(G57,Sheet1!M2:M4,0),MATCH(J57,Sheet1!N1:P1,0))&amp;")"</f>
        <v>(conversion factor = 3.06888328973723)</v>
      </c>
      <c r="H58" s="653"/>
      <c r="I58" s="653"/>
      <c r="J58" s="653"/>
      <c r="K58" s="280"/>
      <c r="L58" s="284"/>
      <c r="M58" s="29"/>
      <c r="N58" s="102"/>
    </row>
    <row r="59" spans="2:14" ht="3.75" customHeight="1" thickBot="1" x14ac:dyDescent="0.3">
      <c r="B59" s="53"/>
      <c r="C59" s="632"/>
      <c r="D59" s="635"/>
      <c r="E59" s="286"/>
      <c r="F59" s="287"/>
      <c r="G59" s="288"/>
      <c r="H59" s="289"/>
      <c r="I59" s="289"/>
      <c r="J59" s="289"/>
      <c r="K59" s="289"/>
      <c r="L59" s="290"/>
      <c r="M59" s="29"/>
      <c r="N59" s="102"/>
    </row>
    <row r="60" spans="2:14" ht="6.75" customHeight="1" thickBot="1" x14ac:dyDescent="0.3">
      <c r="B60" s="53"/>
      <c r="C60" s="32"/>
      <c r="D60" s="32"/>
      <c r="E60" s="32"/>
      <c r="F60" s="32"/>
      <c r="G60" s="2"/>
      <c r="H60" s="2"/>
      <c r="I60" s="2"/>
      <c r="J60" s="2"/>
      <c r="K60" s="2"/>
      <c r="L60" s="2"/>
      <c r="M60" s="29"/>
      <c r="N60" s="102"/>
    </row>
    <row r="61" spans="2:14" ht="209.25" customHeight="1" thickBot="1" x14ac:dyDescent="0.3">
      <c r="B61" s="53"/>
      <c r="C61" s="65" t="s">
        <v>485</v>
      </c>
      <c r="D61" s="101"/>
      <c r="E61" s="645"/>
      <c r="F61" s="646"/>
      <c r="G61" s="646"/>
      <c r="H61" s="646"/>
      <c r="I61" s="646"/>
      <c r="J61" s="646"/>
      <c r="K61" s="646"/>
      <c r="L61" s="647"/>
      <c r="M61" s="29"/>
      <c r="N61" s="102"/>
    </row>
    <row r="62" spans="2:14" ht="6.75" customHeight="1" thickBot="1" x14ac:dyDescent="0.3">
      <c r="B62" s="53"/>
      <c r="C62" s="32"/>
      <c r="D62" s="32"/>
      <c r="E62" s="32"/>
      <c r="F62" s="32"/>
      <c r="G62" s="2"/>
      <c r="H62" s="2"/>
      <c r="I62" s="2"/>
      <c r="J62" s="2"/>
      <c r="K62" s="2"/>
      <c r="L62" s="2"/>
      <c r="M62" s="29"/>
      <c r="N62" s="102"/>
    </row>
    <row r="63" spans="2:14" ht="50.25" customHeight="1" thickBot="1" x14ac:dyDescent="0.3">
      <c r="B63" s="53"/>
      <c r="C63" s="130" t="s">
        <v>410</v>
      </c>
      <c r="D63" s="101"/>
      <c r="E63" s="607" t="s">
        <v>317</v>
      </c>
      <c r="F63" s="608"/>
      <c r="G63" s="608"/>
      <c r="H63" s="608"/>
      <c r="I63" s="608"/>
      <c r="J63" s="608"/>
      <c r="K63" s="608"/>
      <c r="L63" s="609"/>
      <c r="M63" s="29"/>
      <c r="N63" s="102"/>
    </row>
    <row r="64" spans="2:14" ht="6.75" customHeight="1" thickBot="1" x14ac:dyDescent="0.3">
      <c r="B64" s="53"/>
      <c r="C64" s="32"/>
      <c r="D64" s="32"/>
      <c r="E64" s="32"/>
      <c r="F64" s="32"/>
      <c r="G64" s="2"/>
      <c r="H64" s="2"/>
      <c r="I64" s="2"/>
      <c r="J64" s="2"/>
      <c r="K64" s="2"/>
      <c r="L64" s="2"/>
      <c r="M64" s="29"/>
      <c r="N64" s="102"/>
    </row>
    <row r="65" spans="1:14" ht="17.25" customHeight="1" thickBot="1" x14ac:dyDescent="0.3">
      <c r="B65" s="53"/>
      <c r="C65" s="65" t="s">
        <v>363</v>
      </c>
      <c r="D65" s="60"/>
      <c r="E65" s="616" t="s">
        <v>55</v>
      </c>
      <c r="F65" s="617"/>
      <c r="G65" s="617"/>
      <c r="H65" s="617"/>
      <c r="I65" s="617"/>
      <c r="J65" s="617"/>
      <c r="K65" s="617"/>
      <c r="L65" s="618"/>
      <c r="M65" s="29"/>
      <c r="N65" s="102"/>
    </row>
    <row r="66" spans="1:14" ht="6.75" customHeight="1" thickBot="1" x14ac:dyDescent="0.3">
      <c r="B66" s="53"/>
      <c r="C66" s="32"/>
      <c r="D66" s="32"/>
      <c r="E66" s="32"/>
      <c r="F66" s="32"/>
      <c r="G66" s="2"/>
      <c r="H66" s="2"/>
      <c r="I66" s="2"/>
      <c r="J66" s="2"/>
      <c r="K66" s="2"/>
      <c r="L66" s="2"/>
      <c r="M66" s="29"/>
      <c r="N66" s="102"/>
    </row>
    <row r="67" spans="1:14" ht="39" customHeight="1" thickBot="1" x14ac:dyDescent="0.3">
      <c r="B67" s="53"/>
      <c r="C67" s="65" t="s">
        <v>366</v>
      </c>
      <c r="D67" s="60"/>
      <c r="E67" s="616" t="s">
        <v>445</v>
      </c>
      <c r="F67" s="617"/>
      <c r="G67" s="617"/>
      <c r="H67" s="617"/>
      <c r="I67" s="617"/>
      <c r="J67" s="617"/>
      <c r="K67" s="617"/>
      <c r="L67" s="618"/>
      <c r="M67" s="29"/>
      <c r="N67" s="102"/>
    </row>
    <row r="68" spans="1:14" ht="6.75" customHeight="1" thickBot="1" x14ac:dyDescent="0.3">
      <c r="A68" s="227"/>
      <c r="B68" s="31"/>
      <c r="C68" s="62"/>
      <c r="D68" s="51"/>
      <c r="E68" s="51"/>
      <c r="F68" s="51"/>
      <c r="G68" s="57"/>
      <c r="H68" s="58"/>
      <c r="I68" s="58"/>
      <c r="J68" s="58"/>
      <c r="K68" s="58"/>
      <c r="L68" s="58"/>
      <c r="M68" s="29"/>
      <c r="N68" s="102"/>
    </row>
    <row r="69" spans="1:14" ht="39" customHeight="1" thickBot="1" x14ac:dyDescent="0.3">
      <c r="B69" s="53"/>
      <c r="C69" s="65" t="s">
        <v>362</v>
      </c>
      <c r="D69" s="60"/>
      <c r="E69" s="616" t="s">
        <v>444</v>
      </c>
      <c r="F69" s="617"/>
      <c r="G69" s="617"/>
      <c r="H69" s="617"/>
      <c r="I69" s="617"/>
      <c r="J69" s="617"/>
      <c r="K69" s="617"/>
      <c r="L69" s="618"/>
      <c r="M69" s="29"/>
      <c r="N69" s="102"/>
    </row>
    <row r="70" spans="1:14" ht="6.75" customHeight="1" thickBot="1" x14ac:dyDescent="0.3">
      <c r="B70" s="53"/>
      <c r="C70" s="32"/>
      <c r="D70" s="32"/>
      <c r="E70" s="32"/>
      <c r="F70" s="32"/>
      <c r="G70" s="2"/>
      <c r="H70" s="2"/>
      <c r="I70" s="2"/>
      <c r="J70" s="2"/>
      <c r="K70" s="2"/>
      <c r="L70" s="2"/>
      <c r="M70" s="29"/>
      <c r="N70" s="102"/>
    </row>
    <row r="71" spans="1:14" ht="74.25" customHeight="1" thickBot="1" x14ac:dyDescent="0.3">
      <c r="B71" s="53"/>
      <c r="C71" s="70" t="s">
        <v>33</v>
      </c>
      <c r="D71" s="67"/>
      <c r="E71" s="604" t="s">
        <v>284</v>
      </c>
      <c r="F71" s="605"/>
      <c r="G71" s="605"/>
      <c r="H71" s="605"/>
      <c r="I71" s="605"/>
      <c r="J71" s="605"/>
      <c r="K71" s="605"/>
      <c r="L71" s="606"/>
      <c r="M71" s="29"/>
      <c r="N71" s="102"/>
    </row>
    <row r="72" spans="1:14" ht="6.75" customHeight="1" thickBot="1" x14ac:dyDescent="0.3">
      <c r="B72" s="55"/>
      <c r="C72" s="33"/>
      <c r="D72" s="33"/>
      <c r="E72" s="33"/>
      <c r="F72" s="33"/>
      <c r="G72" s="33"/>
      <c r="H72" s="33"/>
      <c r="I72" s="33"/>
      <c r="J72" s="33"/>
      <c r="K72" s="33"/>
      <c r="L72" s="33"/>
      <c r="M72" s="34"/>
      <c r="N72" s="102"/>
    </row>
    <row r="73" spans="1:14" ht="9.75" hidden="1" customHeight="1" thickTop="1" x14ac:dyDescent="0.25">
      <c r="N73" s="102"/>
    </row>
    <row r="74" spans="1:14" hidden="1" x14ac:dyDescent="0.25">
      <c r="N74" s="102"/>
    </row>
  </sheetData>
  <sheetProtection password="E218" sheet="1" objects="1" scenarios="1"/>
  <mergeCells count="42">
    <mergeCell ref="E69:L69"/>
    <mergeCell ref="E57:F57"/>
    <mergeCell ref="E42:L42"/>
    <mergeCell ref="D46:D47"/>
    <mergeCell ref="E46:L46"/>
    <mergeCell ref="E44:L44"/>
    <mergeCell ref="E71:L71"/>
    <mergeCell ref="E53:L53"/>
    <mergeCell ref="E67:L67"/>
    <mergeCell ref="E65:L65"/>
    <mergeCell ref="E63:L63"/>
    <mergeCell ref="E51:L51"/>
    <mergeCell ref="E61:L61"/>
    <mergeCell ref="E56:F56"/>
    <mergeCell ref="E55:L55"/>
    <mergeCell ref="G58:J58"/>
    <mergeCell ref="C55:C59"/>
    <mergeCell ref="D55:D59"/>
    <mergeCell ref="I56:J56"/>
    <mergeCell ref="E32:L32"/>
    <mergeCell ref="E36:L36"/>
    <mergeCell ref="E47:L47"/>
    <mergeCell ref="E49:L49"/>
    <mergeCell ref="C46:C47"/>
    <mergeCell ref="E8:L8"/>
    <mergeCell ref="E24:L24"/>
    <mergeCell ref="C2:I2"/>
    <mergeCell ref="E4:L4"/>
    <mergeCell ref="E6:L6"/>
    <mergeCell ref="E22:L22"/>
    <mergeCell ref="E14:L14"/>
    <mergeCell ref="E10:L10"/>
    <mergeCell ref="E18:L18"/>
    <mergeCell ref="E16:L16"/>
    <mergeCell ref="E20:L20"/>
    <mergeCell ref="E12:L12"/>
    <mergeCell ref="E40:L40"/>
    <mergeCell ref="E28:L28"/>
    <mergeCell ref="E38:L38"/>
    <mergeCell ref="E26:L26"/>
    <mergeCell ref="E34:L34"/>
    <mergeCell ref="E30:L30"/>
  </mergeCells>
  <phoneticPr fontId="0" type="noConversion"/>
  <dataValidations count="1">
    <dataValidation type="list" allowBlank="1" showInputMessage="1" showErrorMessage="1" sqref="G57 J57" xr:uid="{34A91BCC-C4B1-40F8-BEEE-2999059816FE}">
      <formula1>"Million Gallons (US),Megalitres (thousand cubic metres),Acre-feet"</formula1>
    </dataValidation>
  </dataValidations>
  <pageMargins left="0.5" right="0.41" top="0.72" bottom="0.49" header="0.41" footer="0.3"/>
  <pageSetup scale="69" orientation="portrait" horizontalDpi="1200" r:id="rId1"/>
  <headerFooter alignWithMargins="0">
    <oddFooter>&amp;CAWWA Water Loss Control Committee&amp;R&amp;A     &amp;P</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3E69F-77A4-4B16-A8C1-A60A5389B7F4}">
  <sheetPr codeName="Sheet11">
    <tabColor indexed="48"/>
  </sheetPr>
  <dimension ref="A1:IU94"/>
  <sheetViews>
    <sheetView showGridLines="0" showRowColHeaders="0" zoomScaleNormal="100" workbookViewId="0">
      <selection activeCell="C2" sqref="C2:O2"/>
    </sheetView>
  </sheetViews>
  <sheetFormatPr defaultColWidth="0" defaultRowHeight="0" customHeight="1" zeroHeight="1" x14ac:dyDescent="0.25"/>
  <cols>
    <col min="1" max="1" width="1.42578125" style="26" customWidth="1"/>
    <col min="2" max="2" width="1.7109375" style="26" customWidth="1"/>
    <col min="3" max="3" width="19.140625" style="1" customWidth="1"/>
    <col min="4" max="17" width="8" style="1" customWidth="1"/>
    <col min="18" max="18" width="8.42578125" style="1" customWidth="1"/>
    <col min="19" max="19" width="3.42578125" style="361" customWidth="1"/>
    <col min="20" max="20" width="2.140625" style="224" customWidth="1"/>
    <col min="21" max="21" width="2.140625" style="322" hidden="1" customWidth="1"/>
    <col min="22" max="22" width="3" style="322" hidden="1" customWidth="1"/>
    <col min="23" max="255" width="0" style="1" hidden="1" customWidth="1"/>
    <col min="256" max="16384" width="3.140625" style="1" hidden="1"/>
  </cols>
  <sheetData>
    <row r="1" spans="1:22" s="18" customFormat="1" ht="8.25" customHeight="1" thickBot="1" x14ac:dyDescent="0.3">
      <c r="A1" s="26"/>
      <c r="B1" s="26"/>
      <c r="S1" s="356"/>
      <c r="T1" s="224"/>
      <c r="U1" s="322"/>
      <c r="V1" s="322"/>
    </row>
    <row r="2" spans="1:22" ht="36.75" customHeight="1" thickTop="1" thickBot="1" x14ac:dyDescent="0.3">
      <c r="B2" s="52"/>
      <c r="C2" s="661" t="s">
        <v>45</v>
      </c>
      <c r="D2" s="662"/>
      <c r="E2" s="662"/>
      <c r="F2" s="662"/>
      <c r="G2" s="663"/>
      <c r="H2" s="663"/>
      <c r="I2" s="663"/>
      <c r="J2" s="663"/>
      <c r="K2" s="664"/>
      <c r="L2" s="664"/>
      <c r="M2" s="664"/>
      <c r="N2" s="664"/>
      <c r="O2" s="664"/>
      <c r="P2" s="48"/>
      <c r="Q2" s="48"/>
      <c r="R2" s="48"/>
      <c r="S2" s="357"/>
      <c r="T2" s="353"/>
      <c r="U2" s="351"/>
    </row>
    <row r="3" spans="1:22" ht="13.5" customHeight="1" thickTop="1" thickBot="1" x14ac:dyDescent="0.3">
      <c r="B3" s="53"/>
      <c r="C3" s="2"/>
      <c r="D3" s="2"/>
      <c r="E3" s="2"/>
      <c r="F3" s="2"/>
      <c r="G3" s="2"/>
      <c r="H3" s="2"/>
      <c r="I3" s="2"/>
      <c r="J3" s="2"/>
      <c r="K3" s="2"/>
      <c r="L3" s="2"/>
      <c r="M3" s="2"/>
      <c r="N3" s="2"/>
      <c r="O3" s="2"/>
      <c r="P3" s="2"/>
      <c r="Q3" s="2"/>
      <c r="R3" s="2"/>
      <c r="S3" s="358"/>
      <c r="T3" s="354"/>
      <c r="U3" s="350"/>
    </row>
    <row r="4" spans="1:22" ht="36.75" customHeight="1" thickBot="1" x14ac:dyDescent="0.3">
      <c r="B4" s="53"/>
      <c r="C4" s="669" t="s">
        <v>341</v>
      </c>
      <c r="D4" s="670"/>
      <c r="E4" s="670"/>
      <c r="F4" s="670"/>
      <c r="G4" s="670"/>
      <c r="H4" s="670"/>
      <c r="I4" s="670"/>
      <c r="J4" s="670"/>
      <c r="K4" s="670"/>
      <c r="L4" s="670"/>
      <c r="M4" s="670"/>
      <c r="N4" s="670"/>
      <c r="O4" s="670"/>
      <c r="P4" s="670"/>
      <c r="Q4" s="670"/>
      <c r="R4" s="671"/>
      <c r="S4" s="358"/>
      <c r="T4" s="354"/>
      <c r="U4" s="350"/>
    </row>
    <row r="5" spans="1:22" ht="18.75" customHeight="1" thickTop="1" x14ac:dyDescent="0.25">
      <c r="B5" s="53"/>
      <c r="C5" s="341"/>
      <c r="D5" s="685" t="s">
        <v>275</v>
      </c>
      <c r="E5" s="686"/>
      <c r="F5" s="686"/>
      <c r="G5" s="686"/>
      <c r="H5" s="686"/>
      <c r="I5" s="686"/>
      <c r="J5" s="686"/>
      <c r="K5" s="686"/>
      <c r="L5" s="686"/>
      <c r="M5" s="686"/>
      <c r="N5" s="686"/>
      <c r="O5" s="686"/>
      <c r="P5" s="686"/>
      <c r="Q5" s="686"/>
      <c r="R5" s="687"/>
      <c r="S5" s="358"/>
      <c r="T5" s="354"/>
      <c r="U5" s="350"/>
    </row>
    <row r="6" spans="1:22" ht="34.5" customHeight="1" thickBot="1" x14ac:dyDescent="0.3">
      <c r="B6" s="53"/>
      <c r="C6" s="342" t="s">
        <v>342</v>
      </c>
      <c r="D6" s="688" t="s">
        <v>357</v>
      </c>
      <c r="E6" s="676"/>
      <c r="F6" s="677"/>
      <c r="G6" s="675" t="s">
        <v>618</v>
      </c>
      <c r="H6" s="676"/>
      <c r="I6" s="677"/>
      <c r="J6" s="675" t="s">
        <v>619</v>
      </c>
      <c r="K6" s="676"/>
      <c r="L6" s="677"/>
      <c r="M6" s="675" t="s">
        <v>620</v>
      </c>
      <c r="N6" s="676"/>
      <c r="O6" s="677"/>
      <c r="P6" s="675" t="s">
        <v>621</v>
      </c>
      <c r="Q6" s="676"/>
      <c r="R6" s="692"/>
      <c r="S6" s="358"/>
      <c r="T6" s="354"/>
      <c r="U6" s="350"/>
    </row>
    <row r="7" spans="1:22" ht="66.75" customHeight="1" thickTop="1" x14ac:dyDescent="0.25">
      <c r="B7" s="53"/>
      <c r="C7" s="343" t="s">
        <v>433</v>
      </c>
      <c r="D7" s="689" t="s">
        <v>434</v>
      </c>
      <c r="E7" s="673"/>
      <c r="F7" s="690"/>
      <c r="G7" s="672" t="s">
        <v>435</v>
      </c>
      <c r="H7" s="673"/>
      <c r="I7" s="690"/>
      <c r="J7" s="672" t="s">
        <v>436</v>
      </c>
      <c r="K7" s="673"/>
      <c r="L7" s="674"/>
      <c r="M7" s="672" t="s">
        <v>59</v>
      </c>
      <c r="N7" s="673"/>
      <c r="O7" s="674"/>
      <c r="P7" s="672" t="s">
        <v>60</v>
      </c>
      <c r="Q7" s="673"/>
      <c r="R7" s="674"/>
      <c r="S7" s="358"/>
      <c r="T7" s="354"/>
      <c r="U7" s="350"/>
    </row>
    <row r="8" spans="1:22" ht="78" customHeight="1" x14ac:dyDescent="0.25">
      <c r="B8" s="53"/>
      <c r="C8" s="344" t="s">
        <v>61</v>
      </c>
      <c r="D8" s="691" t="s">
        <v>62</v>
      </c>
      <c r="E8" s="666"/>
      <c r="F8" s="667"/>
      <c r="G8" s="665" t="s">
        <v>63</v>
      </c>
      <c r="H8" s="666"/>
      <c r="I8" s="667"/>
      <c r="J8" s="665" t="s">
        <v>64</v>
      </c>
      <c r="K8" s="666"/>
      <c r="L8" s="668"/>
      <c r="M8" s="665" t="s">
        <v>65</v>
      </c>
      <c r="N8" s="666"/>
      <c r="O8" s="668"/>
      <c r="P8" s="665" t="s">
        <v>623</v>
      </c>
      <c r="Q8" s="666"/>
      <c r="R8" s="668"/>
      <c r="S8" s="358"/>
      <c r="T8" s="354"/>
      <c r="U8" s="350"/>
    </row>
    <row r="9" spans="1:22" ht="105.75" customHeight="1" x14ac:dyDescent="0.25">
      <c r="B9" s="53"/>
      <c r="C9" s="344" t="s">
        <v>624</v>
      </c>
      <c r="D9" s="678"/>
      <c r="E9" s="679"/>
      <c r="F9" s="680"/>
      <c r="G9" s="681" t="s">
        <v>625</v>
      </c>
      <c r="H9" s="682"/>
      <c r="I9" s="683"/>
      <c r="J9" s="665" t="s">
        <v>423</v>
      </c>
      <c r="K9" s="666"/>
      <c r="L9" s="668"/>
      <c r="M9" s="665" t="s">
        <v>424</v>
      </c>
      <c r="N9" s="666"/>
      <c r="O9" s="668"/>
      <c r="P9" s="665" t="s">
        <v>223</v>
      </c>
      <c r="Q9" s="666"/>
      <c r="R9" s="668"/>
      <c r="S9" s="358"/>
      <c r="T9" s="354"/>
      <c r="U9" s="350"/>
    </row>
    <row r="10" spans="1:22" ht="68.25" customHeight="1" x14ac:dyDescent="0.25">
      <c r="B10" s="53"/>
      <c r="C10" s="344" t="s">
        <v>224</v>
      </c>
      <c r="D10" s="678"/>
      <c r="E10" s="679"/>
      <c r="F10" s="680"/>
      <c r="G10" s="684"/>
      <c r="H10" s="679"/>
      <c r="I10" s="680"/>
      <c r="J10" s="665" t="s">
        <v>225</v>
      </c>
      <c r="K10" s="666"/>
      <c r="L10" s="668"/>
      <c r="M10" s="665" t="s">
        <v>226</v>
      </c>
      <c r="N10" s="666"/>
      <c r="O10" s="668"/>
      <c r="P10" s="665" t="s">
        <v>227</v>
      </c>
      <c r="Q10" s="666"/>
      <c r="R10" s="668"/>
      <c r="S10" s="358"/>
      <c r="T10" s="354"/>
      <c r="U10" s="350"/>
    </row>
    <row r="11" spans="1:22" ht="84" customHeight="1" thickBot="1" x14ac:dyDescent="0.3">
      <c r="B11" s="53"/>
      <c r="C11" s="345" t="s">
        <v>228</v>
      </c>
      <c r="D11" s="696"/>
      <c r="E11" s="697"/>
      <c r="F11" s="698"/>
      <c r="G11" s="699"/>
      <c r="H11" s="697"/>
      <c r="I11" s="698"/>
      <c r="J11" s="700" t="s">
        <v>272</v>
      </c>
      <c r="K11" s="701"/>
      <c r="L11" s="702"/>
      <c r="M11" s="700" t="s">
        <v>273</v>
      </c>
      <c r="N11" s="701"/>
      <c r="O11" s="702"/>
      <c r="P11" s="700" t="s">
        <v>274</v>
      </c>
      <c r="Q11" s="701"/>
      <c r="R11" s="702"/>
      <c r="S11" s="358"/>
      <c r="T11" s="354"/>
      <c r="U11" s="350"/>
    </row>
    <row r="12" spans="1:22" ht="21" customHeight="1" thickTop="1" thickBot="1" x14ac:dyDescent="0.3">
      <c r="B12" s="53"/>
      <c r="C12" s="706" t="s">
        <v>617</v>
      </c>
      <c r="D12" s="707"/>
      <c r="E12" s="707"/>
      <c r="F12" s="707"/>
      <c r="G12" s="707"/>
      <c r="H12" s="707"/>
      <c r="I12" s="707"/>
      <c r="J12" s="707"/>
      <c r="K12" s="707"/>
      <c r="L12" s="707"/>
      <c r="M12" s="707"/>
      <c r="N12" s="707"/>
      <c r="O12" s="707"/>
      <c r="P12" s="707"/>
      <c r="Q12" s="707"/>
      <c r="R12" s="708"/>
      <c r="S12" s="358"/>
      <c r="T12" s="354"/>
      <c r="U12" s="350"/>
    </row>
    <row r="13" spans="1:22" ht="19.5" customHeight="1" thickBot="1" x14ac:dyDescent="0.3">
      <c r="B13" s="53"/>
      <c r="C13" s="363"/>
      <c r="D13" s="363"/>
      <c r="E13" s="363"/>
      <c r="F13" s="363"/>
      <c r="G13" s="363"/>
      <c r="H13" s="363"/>
      <c r="I13" s="363"/>
      <c r="J13" s="363"/>
      <c r="K13" s="363"/>
      <c r="L13" s="363"/>
      <c r="M13" s="363"/>
      <c r="N13" s="363"/>
      <c r="O13" s="363"/>
      <c r="P13" s="363"/>
      <c r="Q13" s="363"/>
      <c r="R13" s="363"/>
      <c r="S13" s="358"/>
      <c r="T13" s="354"/>
      <c r="U13" s="350"/>
    </row>
    <row r="14" spans="1:22" ht="15.75" hidden="1" customHeight="1" x14ac:dyDescent="0.25">
      <c r="A14" s="18"/>
      <c r="B14" s="412"/>
      <c r="C14" s="413"/>
      <c r="D14" s="414"/>
      <c r="E14" s="415">
        <v>0</v>
      </c>
      <c r="F14" s="415"/>
      <c r="G14" s="415"/>
      <c r="H14" s="415">
        <v>26</v>
      </c>
      <c r="I14" s="415"/>
      <c r="J14" s="415"/>
      <c r="K14" s="415">
        <v>51</v>
      </c>
      <c r="L14" s="415"/>
      <c r="M14" s="415"/>
      <c r="N14" s="415">
        <v>71</v>
      </c>
      <c r="O14" s="415"/>
      <c r="P14" s="415"/>
      <c r="Q14" s="415">
        <v>91</v>
      </c>
      <c r="R14" s="415"/>
      <c r="S14" s="29"/>
      <c r="T14" s="354"/>
      <c r="U14" s="2"/>
      <c r="V14" s="414"/>
    </row>
    <row r="15" spans="1:22" ht="15.75" hidden="1" customHeight="1" x14ac:dyDescent="0.25">
      <c r="A15" s="18"/>
      <c r="B15" s="412"/>
      <c r="C15" s="413"/>
      <c r="D15" s="414"/>
      <c r="E15" s="415">
        <v>25</v>
      </c>
      <c r="F15" s="415"/>
      <c r="G15" s="415"/>
      <c r="H15" s="415">
        <v>50</v>
      </c>
      <c r="I15" s="415"/>
      <c r="J15" s="415"/>
      <c r="K15" s="415">
        <v>70</v>
      </c>
      <c r="L15" s="415"/>
      <c r="M15" s="415"/>
      <c r="N15" s="415">
        <v>90</v>
      </c>
      <c r="O15" s="415"/>
      <c r="P15" s="415"/>
      <c r="Q15" s="415">
        <v>100</v>
      </c>
      <c r="R15" s="415"/>
      <c r="S15" s="29"/>
      <c r="T15" s="354"/>
      <c r="U15" s="2"/>
      <c r="V15" s="414"/>
    </row>
    <row r="16" spans="1:22" ht="11.25" hidden="1" customHeight="1" thickBot="1" x14ac:dyDescent="0.3">
      <c r="B16" s="53"/>
      <c r="C16" s="350"/>
      <c r="D16" s="350"/>
      <c r="E16" s="350">
        <f>IF(AND(GradingAssessment!$G$22&gt;=E14,GradingAssessment!$G$22&lt;='Loss Control Planning'!E15),1,0)</f>
        <v>0</v>
      </c>
      <c r="F16" s="350"/>
      <c r="G16" s="350"/>
      <c r="H16" s="350">
        <f>IF(AND(GradingAssessment!$G$22&gt;=H14,GradingAssessment!$G$22&lt;='Loss Control Planning'!H15),1,0)</f>
        <v>0</v>
      </c>
      <c r="I16" s="350"/>
      <c r="J16" s="350"/>
      <c r="K16" s="350">
        <f>IF(AND(GradingAssessment!$G$22&gt;=K14,GradingAssessment!$G$22&lt;='Loss Control Planning'!K15),1,0)</f>
        <v>1</v>
      </c>
      <c r="L16" s="350"/>
      <c r="M16" s="350"/>
      <c r="N16" s="350">
        <f>IF(AND(GradingAssessment!$G$22&gt;=N14,GradingAssessment!$G$22&lt;='Loss Control Planning'!N15),1,0)</f>
        <v>0</v>
      </c>
      <c r="O16" s="350"/>
      <c r="P16" s="350"/>
      <c r="Q16" s="350">
        <f>IF(AND(GradingAssessment!$G$22&gt;=Q14,GradingAssessment!$G$22&lt;='Loss Control Planning'!Q15),1,0)</f>
        <v>0</v>
      </c>
      <c r="R16" s="350"/>
      <c r="S16" s="358"/>
      <c r="T16" s="354"/>
      <c r="U16" s="350"/>
    </row>
    <row r="17" spans="2:22" ht="140.25" customHeight="1" thickBot="1" x14ac:dyDescent="0.35">
      <c r="B17" s="53"/>
      <c r="C17" s="703" t="s">
        <v>11</v>
      </c>
      <c r="D17" s="704"/>
      <c r="E17" s="704"/>
      <c r="F17" s="704"/>
      <c r="G17" s="704"/>
      <c r="H17" s="704"/>
      <c r="I17" s="704"/>
      <c r="J17" s="704"/>
      <c r="K17" s="704"/>
      <c r="L17" s="704"/>
      <c r="M17" s="704"/>
      <c r="N17" s="704"/>
      <c r="O17" s="704"/>
      <c r="P17" s="704"/>
      <c r="Q17" s="704"/>
      <c r="R17" s="705"/>
      <c r="S17" s="358"/>
      <c r="T17" s="354"/>
      <c r="U17" s="350"/>
    </row>
    <row r="18" spans="2:22" ht="8.25" customHeight="1" thickBot="1" x14ac:dyDescent="0.3">
      <c r="B18" s="53"/>
      <c r="C18" s="32"/>
      <c r="D18" s="32"/>
      <c r="E18" s="32"/>
      <c r="F18" s="32"/>
      <c r="G18" s="2"/>
      <c r="H18" s="2"/>
      <c r="I18" s="2"/>
      <c r="J18" s="2"/>
      <c r="K18" s="2"/>
      <c r="L18" s="2"/>
      <c r="M18" s="2"/>
      <c r="N18" s="2"/>
      <c r="O18" s="2"/>
      <c r="P18" s="2"/>
      <c r="Q18" s="2"/>
      <c r="R18" s="2"/>
      <c r="S18" s="358"/>
      <c r="T18" s="354"/>
      <c r="U18" s="350"/>
    </row>
    <row r="19" spans="2:22" ht="42" customHeight="1" thickBot="1" x14ac:dyDescent="0.3">
      <c r="B19" s="53"/>
      <c r="C19" s="693" t="s">
        <v>82</v>
      </c>
      <c r="D19" s="694"/>
      <c r="E19" s="694"/>
      <c r="F19" s="694"/>
      <c r="G19" s="694"/>
      <c r="H19" s="694"/>
      <c r="I19" s="694"/>
      <c r="J19" s="694"/>
      <c r="K19" s="694"/>
      <c r="L19" s="694"/>
      <c r="M19" s="694"/>
      <c r="N19" s="694"/>
      <c r="O19" s="694"/>
      <c r="P19" s="694"/>
      <c r="Q19" s="694"/>
      <c r="R19" s="695"/>
      <c r="S19" s="358"/>
      <c r="T19" s="354"/>
      <c r="U19" s="350"/>
    </row>
    <row r="20" spans="2:22" ht="26.25" customHeight="1" thickBot="1" x14ac:dyDescent="0.3">
      <c r="B20" s="53"/>
      <c r="C20" s="98" t="s">
        <v>207</v>
      </c>
      <c r="D20" s="709" t="s">
        <v>210</v>
      </c>
      <c r="E20" s="710"/>
      <c r="F20" s="710"/>
      <c r="G20" s="710"/>
      <c r="H20" s="711"/>
      <c r="I20" s="709" t="s">
        <v>208</v>
      </c>
      <c r="J20" s="710"/>
      <c r="K20" s="710"/>
      <c r="L20" s="710"/>
      <c r="M20" s="711"/>
      <c r="N20" s="709" t="s">
        <v>209</v>
      </c>
      <c r="O20" s="710"/>
      <c r="P20" s="710"/>
      <c r="Q20" s="710"/>
      <c r="R20" s="711"/>
      <c r="S20" s="358"/>
      <c r="T20" s="354"/>
      <c r="U20" s="350"/>
    </row>
    <row r="21" spans="2:22" ht="84.75" customHeight="1" x14ac:dyDescent="0.25">
      <c r="B21" s="53">
        <v>1</v>
      </c>
      <c r="C21" s="346" t="s">
        <v>211</v>
      </c>
      <c r="D21" s="712" t="s">
        <v>75</v>
      </c>
      <c r="E21" s="713"/>
      <c r="F21" s="713"/>
      <c r="G21" s="713"/>
      <c r="H21" s="714"/>
      <c r="I21" s="712" t="s">
        <v>77</v>
      </c>
      <c r="J21" s="713"/>
      <c r="K21" s="713"/>
      <c r="L21" s="713"/>
      <c r="M21" s="714"/>
      <c r="N21" s="712" t="s">
        <v>79</v>
      </c>
      <c r="O21" s="713"/>
      <c r="P21" s="713"/>
      <c r="Q21" s="713"/>
      <c r="R21" s="715"/>
      <c r="S21" s="358">
        <f>IF(AND('Reporting Worksheet'!$I$105&gt;='Loss Control Planning'!U21,'Reporting Worksheet'!$I$105&lt;='Loss Control Planning'!V21),1,0)</f>
        <v>0</v>
      </c>
      <c r="T21" s="354"/>
      <c r="U21" s="350">
        <v>1</v>
      </c>
      <c r="V21" s="362">
        <v>3</v>
      </c>
    </row>
    <row r="22" spans="2:22" ht="97.5" customHeight="1" x14ac:dyDescent="0.25">
      <c r="B22" s="53">
        <v>2</v>
      </c>
      <c r="C22" s="347" t="s">
        <v>566</v>
      </c>
      <c r="D22" s="716" t="s">
        <v>84</v>
      </c>
      <c r="E22" s="717"/>
      <c r="F22" s="717"/>
      <c r="G22" s="717"/>
      <c r="H22" s="722"/>
      <c r="I22" s="716" t="s">
        <v>78</v>
      </c>
      <c r="J22" s="717"/>
      <c r="K22" s="717"/>
      <c r="L22" s="717"/>
      <c r="M22" s="722"/>
      <c r="N22" s="716" t="s">
        <v>80</v>
      </c>
      <c r="O22" s="717"/>
      <c r="P22" s="717"/>
      <c r="Q22" s="717"/>
      <c r="R22" s="718"/>
      <c r="S22" s="358">
        <f>IF(AND('Reporting Worksheet'!$I$105&gt;='Loss Control Planning'!U22,'Reporting Worksheet'!$I$105&lt;='Loss Control Planning'!V22),1,0)</f>
        <v>0</v>
      </c>
      <c r="T22" s="354"/>
      <c r="U22" s="350">
        <v>3</v>
      </c>
      <c r="V22" s="322">
        <v>5</v>
      </c>
    </row>
    <row r="23" spans="2:22" ht="72.75" customHeight="1" x14ac:dyDescent="0.25">
      <c r="B23" s="53">
        <v>3</v>
      </c>
      <c r="C23" s="349" t="s">
        <v>567</v>
      </c>
      <c r="D23" s="716" t="s">
        <v>76</v>
      </c>
      <c r="E23" s="717"/>
      <c r="F23" s="717"/>
      <c r="G23" s="717"/>
      <c r="H23" s="722"/>
      <c r="I23" s="716" t="s">
        <v>70</v>
      </c>
      <c r="J23" s="717"/>
      <c r="K23" s="717"/>
      <c r="L23" s="717"/>
      <c r="M23" s="722"/>
      <c r="N23" s="716" t="s">
        <v>81</v>
      </c>
      <c r="O23" s="717"/>
      <c r="P23" s="717"/>
      <c r="Q23" s="717"/>
      <c r="R23" s="718"/>
      <c r="S23" s="358">
        <f>IF(AND('Reporting Worksheet'!$I$105&gt;='Loss Control Planning'!U23,'Reporting Worksheet'!$I$105&lt;='Loss Control Planning'!V23),1,0)</f>
        <v>0</v>
      </c>
      <c r="T23" s="354"/>
      <c r="U23" s="350">
        <v>5</v>
      </c>
      <c r="V23" s="322">
        <v>8</v>
      </c>
    </row>
    <row r="24" spans="2:22" ht="48" customHeight="1" x14ac:dyDescent="0.25">
      <c r="B24" s="53"/>
      <c r="C24" s="347" t="s">
        <v>212</v>
      </c>
      <c r="D24" s="716" t="s">
        <v>83</v>
      </c>
      <c r="E24" s="717"/>
      <c r="F24" s="717"/>
      <c r="G24" s="717"/>
      <c r="H24" s="717"/>
      <c r="I24" s="717"/>
      <c r="J24" s="717"/>
      <c r="K24" s="717"/>
      <c r="L24" s="717"/>
      <c r="M24" s="717"/>
      <c r="N24" s="717"/>
      <c r="O24" s="717"/>
      <c r="P24" s="717"/>
      <c r="Q24" s="717"/>
      <c r="R24" s="718"/>
      <c r="S24" s="358">
        <f>IF('Reporting Worksheet'!$I$105&gt;'Loss Control Planning'!U24,1,0)</f>
        <v>1</v>
      </c>
      <c r="T24" s="354"/>
      <c r="U24" s="350">
        <v>8</v>
      </c>
    </row>
    <row r="25" spans="2:22" ht="98.25" customHeight="1" thickBot="1" x14ac:dyDescent="0.3">
      <c r="B25" s="53">
        <v>4</v>
      </c>
      <c r="C25" s="348" t="s">
        <v>461</v>
      </c>
      <c r="D25" s="719" t="s">
        <v>178</v>
      </c>
      <c r="E25" s="720"/>
      <c r="F25" s="720"/>
      <c r="G25" s="720"/>
      <c r="H25" s="720"/>
      <c r="I25" s="720"/>
      <c r="J25" s="720"/>
      <c r="K25" s="720"/>
      <c r="L25" s="720"/>
      <c r="M25" s="720"/>
      <c r="N25" s="720"/>
      <c r="O25" s="720"/>
      <c r="P25" s="720"/>
      <c r="Q25" s="720"/>
      <c r="R25" s="721"/>
      <c r="S25" s="358">
        <f>IF('Reporting Worksheet'!$I$105&lt;1,1,0)</f>
        <v>0</v>
      </c>
      <c r="T25" s="354"/>
      <c r="U25" s="350">
        <v>1</v>
      </c>
    </row>
    <row r="26" spans="2:22" ht="9" customHeight="1" x14ac:dyDescent="0.25">
      <c r="B26" s="53"/>
      <c r="C26" s="32"/>
      <c r="D26" s="32"/>
      <c r="E26" s="32"/>
      <c r="F26" s="32"/>
      <c r="G26" s="2"/>
      <c r="H26" s="2"/>
      <c r="I26" s="2"/>
      <c r="J26" s="2"/>
      <c r="K26" s="2"/>
      <c r="L26" s="2"/>
      <c r="M26" s="2"/>
      <c r="N26" s="2"/>
      <c r="O26" s="2"/>
      <c r="P26" s="2"/>
      <c r="Q26" s="2"/>
      <c r="R26" s="2"/>
      <c r="S26" s="358"/>
      <c r="T26" s="354"/>
      <c r="U26" s="350"/>
    </row>
    <row r="30" spans="2:22" ht="6" customHeight="1" thickBot="1" x14ac:dyDescent="0.3">
      <c r="B30" s="55"/>
      <c r="C30" s="33"/>
      <c r="D30" s="33"/>
      <c r="E30" s="33"/>
      <c r="F30" s="33"/>
      <c r="G30" s="33"/>
      <c r="H30" s="33"/>
      <c r="I30" s="33"/>
      <c r="J30" s="33"/>
      <c r="K30" s="33"/>
      <c r="L30" s="33"/>
      <c r="M30" s="33"/>
      <c r="N30" s="33"/>
      <c r="O30" s="33"/>
      <c r="P30" s="33"/>
      <c r="Q30" s="33"/>
      <c r="R30" s="33"/>
      <c r="S30" s="360"/>
      <c r="T30" s="354"/>
      <c r="U30" s="350"/>
    </row>
    <row r="31" spans="2:22" ht="7.5" customHeight="1" thickTop="1" x14ac:dyDescent="0.25"/>
    <row r="32" spans="2:22" ht="13.5" hidden="1" x14ac:dyDescent="0.25"/>
    <row r="33" ht="13.5" hidden="1" x14ac:dyDescent="0.25"/>
    <row r="34" ht="13.5" hidden="1" x14ac:dyDescent="0.25"/>
    <row r="35" ht="13.5" hidden="1" x14ac:dyDescent="0.25"/>
    <row r="36" ht="13.5" hidden="1" x14ac:dyDescent="0.25"/>
    <row r="37" ht="13.5" hidden="1" x14ac:dyDescent="0.25"/>
    <row r="38" ht="13.5" hidden="1" x14ac:dyDescent="0.25"/>
    <row r="39" ht="13.5" hidden="1" x14ac:dyDescent="0.25"/>
    <row r="40" ht="13.5" hidden="1" x14ac:dyDescent="0.25"/>
    <row r="41" ht="13.5" hidden="1" x14ac:dyDescent="0.25"/>
    <row r="42" ht="13.5" hidden="1" x14ac:dyDescent="0.25"/>
    <row r="43" ht="13.5" hidden="1" x14ac:dyDescent="0.25"/>
    <row r="44" ht="13.5" hidden="1" x14ac:dyDescent="0.25"/>
    <row r="45" ht="13.5" hidden="1" x14ac:dyDescent="0.25"/>
    <row r="46" ht="13.5" hidden="1" x14ac:dyDescent="0.25"/>
    <row r="47" ht="13.5" hidden="1" x14ac:dyDescent="0.25"/>
    <row r="48" ht="13.5" hidden="1" x14ac:dyDescent="0.25"/>
    <row r="49" ht="13.5" hidden="1" x14ac:dyDescent="0.25"/>
    <row r="50" ht="13.5" hidden="1" x14ac:dyDescent="0.25"/>
    <row r="51" ht="13.5" hidden="1" x14ac:dyDescent="0.25"/>
    <row r="52" ht="13.5" hidden="1" x14ac:dyDescent="0.25"/>
    <row r="53" ht="13.5" hidden="1" x14ac:dyDescent="0.25"/>
    <row r="54" ht="13.5" hidden="1" x14ac:dyDescent="0.25"/>
    <row r="55" ht="13.5" hidden="1" x14ac:dyDescent="0.25"/>
    <row r="56" ht="13.5" hidden="1" x14ac:dyDescent="0.25"/>
    <row r="57" ht="13.5" hidden="1" x14ac:dyDescent="0.25"/>
    <row r="58" ht="13.5" hidden="1" x14ac:dyDescent="0.25"/>
    <row r="59" ht="13.5" hidden="1" x14ac:dyDescent="0.25"/>
    <row r="60" ht="13.5" hidden="1" x14ac:dyDescent="0.25"/>
    <row r="61" ht="13.5" hidden="1" x14ac:dyDescent="0.25"/>
    <row r="62" ht="13.5" hidden="1" x14ac:dyDescent="0.25"/>
    <row r="63" ht="13.5" hidden="1" x14ac:dyDescent="0.25"/>
    <row r="64" ht="13.5" hidden="1" x14ac:dyDescent="0.25"/>
    <row r="65" ht="13.5" hidden="1" x14ac:dyDescent="0.25"/>
    <row r="66" ht="13.5" hidden="1" x14ac:dyDescent="0.25"/>
    <row r="67" ht="13.5" hidden="1" x14ac:dyDescent="0.25"/>
    <row r="68" ht="13.5" hidden="1" x14ac:dyDescent="0.25"/>
    <row r="69" ht="13.5" hidden="1" x14ac:dyDescent="0.25"/>
    <row r="70" ht="13.5" hidden="1" x14ac:dyDescent="0.25"/>
    <row r="71" ht="13.5" hidden="1" x14ac:dyDescent="0.25"/>
    <row r="72" ht="13.5" hidden="1" x14ac:dyDescent="0.25"/>
    <row r="73" ht="13.5" hidden="1" x14ac:dyDescent="0.25"/>
    <row r="74" ht="13.5" hidden="1" x14ac:dyDescent="0.25"/>
    <row r="75" ht="13.5" hidden="1" x14ac:dyDescent="0.25"/>
    <row r="76" ht="13.5" hidden="1" x14ac:dyDescent="0.25"/>
    <row r="77" ht="13.5" hidden="1" x14ac:dyDescent="0.25"/>
    <row r="78" ht="13.5" hidden="1" x14ac:dyDescent="0.25"/>
    <row r="79" ht="13.5" hidden="1" x14ac:dyDescent="0.25"/>
    <row r="80" ht="13.5" hidden="1" x14ac:dyDescent="0.25"/>
    <row r="81" ht="13.5" hidden="1" x14ac:dyDescent="0.25"/>
    <row r="82" ht="13.5" hidden="1" x14ac:dyDescent="0.25"/>
    <row r="83" ht="13.5" hidden="1" x14ac:dyDescent="0.25"/>
    <row r="84" ht="13.5" hidden="1" x14ac:dyDescent="0.25"/>
    <row r="85" ht="13.5" hidden="1" x14ac:dyDescent="0.25"/>
    <row r="86" ht="13.5" hidden="1" x14ac:dyDescent="0.25"/>
    <row r="87" ht="13.5" hidden="1" x14ac:dyDescent="0.25"/>
    <row r="88" ht="13.5" hidden="1" x14ac:dyDescent="0.25"/>
    <row r="89" ht="13.5" hidden="1" x14ac:dyDescent="0.25"/>
    <row r="90" ht="13.5" hidden="1" x14ac:dyDescent="0.25"/>
    <row r="91" ht="13.5" hidden="1" x14ac:dyDescent="0.25"/>
    <row r="92" ht="13.5" hidden="1" x14ac:dyDescent="0.25"/>
    <row r="93" ht="13.5" hidden="1" x14ac:dyDescent="0.25"/>
    <row r="94" ht="13.5" hidden="1" customHeight="1" x14ac:dyDescent="0.25"/>
  </sheetData>
  <sheetProtection password="E218" sheet="1" objects="1" scenarios="1" selectLockedCells="1"/>
  <mergeCells count="50">
    <mergeCell ref="N22:R22"/>
    <mergeCell ref="N23:R23"/>
    <mergeCell ref="D24:R24"/>
    <mergeCell ref="D25:R25"/>
    <mergeCell ref="D22:H22"/>
    <mergeCell ref="D23:H23"/>
    <mergeCell ref="I22:M22"/>
    <mergeCell ref="I23:M23"/>
    <mergeCell ref="D20:H20"/>
    <mergeCell ref="D21:H21"/>
    <mergeCell ref="N20:R20"/>
    <mergeCell ref="N21:R21"/>
    <mergeCell ref="I20:M20"/>
    <mergeCell ref="I21:M21"/>
    <mergeCell ref="C19:R19"/>
    <mergeCell ref="D11:F11"/>
    <mergeCell ref="G11:I11"/>
    <mergeCell ref="J11:L11"/>
    <mergeCell ref="M11:O11"/>
    <mergeCell ref="P11:R11"/>
    <mergeCell ref="C17:R17"/>
    <mergeCell ref="C12:R12"/>
    <mergeCell ref="D5:R5"/>
    <mergeCell ref="D6:F6"/>
    <mergeCell ref="D7:F7"/>
    <mergeCell ref="D8:F8"/>
    <mergeCell ref="G6:I6"/>
    <mergeCell ref="P6:R6"/>
    <mergeCell ref="G7:I7"/>
    <mergeCell ref="P8:R8"/>
    <mergeCell ref="P10:R10"/>
    <mergeCell ref="D9:F9"/>
    <mergeCell ref="G9:I9"/>
    <mergeCell ref="J9:L9"/>
    <mergeCell ref="M9:O9"/>
    <mergeCell ref="P9:R9"/>
    <mergeCell ref="D10:F10"/>
    <mergeCell ref="G10:I10"/>
    <mergeCell ref="J10:L10"/>
    <mergeCell ref="M10:O10"/>
    <mergeCell ref="C2:O2"/>
    <mergeCell ref="G8:I8"/>
    <mergeCell ref="J8:L8"/>
    <mergeCell ref="M8:O8"/>
    <mergeCell ref="C4:R4"/>
    <mergeCell ref="J7:L7"/>
    <mergeCell ref="M7:O7"/>
    <mergeCell ref="P7:R7"/>
    <mergeCell ref="J6:L6"/>
    <mergeCell ref="M6:O6"/>
  </mergeCells>
  <phoneticPr fontId="0" type="noConversion"/>
  <conditionalFormatting sqref="C12:R13">
    <cfRule type="expression" dxfId="97" priority="1" stopIfTrue="1">
      <formula>OR(E16=1,H16=1)</formula>
    </cfRule>
  </conditionalFormatting>
  <conditionalFormatting sqref="P6:R11">
    <cfRule type="expression" dxfId="96" priority="2" stopIfTrue="1">
      <formula>$Q$16=1</formula>
    </cfRule>
  </conditionalFormatting>
  <conditionalFormatting sqref="M6:O11">
    <cfRule type="expression" dxfId="95" priority="3" stopIfTrue="1">
      <formula>$N$16=1</formula>
    </cfRule>
  </conditionalFormatting>
  <conditionalFormatting sqref="J6:L11">
    <cfRule type="expression" dxfId="94" priority="4" stopIfTrue="1">
      <formula>$K$16=1</formula>
    </cfRule>
  </conditionalFormatting>
  <conditionalFormatting sqref="G6:I9">
    <cfRule type="expression" dxfId="93" priority="5" stopIfTrue="1">
      <formula>$H$16=1</formula>
    </cfRule>
  </conditionalFormatting>
  <conditionalFormatting sqref="D6:F8">
    <cfRule type="expression" dxfId="92" priority="6" stopIfTrue="1">
      <formula>$E$16=1</formula>
    </cfRule>
  </conditionalFormatting>
  <conditionalFormatting sqref="C22:R22">
    <cfRule type="expression" dxfId="91" priority="7" stopIfTrue="1">
      <formula>$S$22=1</formula>
    </cfRule>
  </conditionalFormatting>
  <conditionalFormatting sqref="C23:R23">
    <cfRule type="expression" dxfId="90" priority="8" stopIfTrue="1">
      <formula>$S$23=1</formula>
    </cfRule>
  </conditionalFormatting>
  <conditionalFormatting sqref="C24:R24">
    <cfRule type="expression" dxfId="89" priority="9" stopIfTrue="1">
      <formula>$S$24=1</formula>
    </cfRule>
  </conditionalFormatting>
  <conditionalFormatting sqref="C25:R25">
    <cfRule type="expression" dxfId="88" priority="10" stopIfTrue="1">
      <formula>$S$25=1</formula>
    </cfRule>
  </conditionalFormatting>
  <conditionalFormatting sqref="C21">
    <cfRule type="expression" dxfId="87" priority="11" stopIfTrue="1">
      <formula>$S$21=1</formula>
    </cfRule>
  </conditionalFormatting>
  <conditionalFormatting sqref="D21:H21">
    <cfRule type="expression" dxfId="86" priority="12" stopIfTrue="1">
      <formula>S21=1</formula>
    </cfRule>
  </conditionalFormatting>
  <conditionalFormatting sqref="I21:M21">
    <cfRule type="expression" dxfId="85" priority="13" stopIfTrue="1">
      <formula>S21=1</formula>
    </cfRule>
  </conditionalFormatting>
  <conditionalFormatting sqref="N21:R21">
    <cfRule type="expression" dxfId="84" priority="14" stopIfTrue="1">
      <formula>S21=1</formula>
    </cfRule>
  </conditionalFormatting>
  <printOptions horizontalCentered="1" verticalCentered="1"/>
  <pageMargins left="0.75" right="0.75" top="0.67" bottom="0.76" header="0.5" footer="0.5"/>
  <pageSetup scale="78" orientation="landscape" horizontalDpi="1200" r:id="rId1"/>
  <headerFooter alignWithMargins="0">
    <oddFooter>&amp;CAWWA Water Loss Control Committee&amp;R&amp;A     &amp;P</oddFooter>
  </headerFooter>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A8221-AE74-4D49-BC3B-A33C626772B7}">
  <sheetPr codeName="Sheet12">
    <tabColor indexed="43"/>
    <pageSetUpPr fitToPage="1"/>
  </sheetPr>
  <dimension ref="A1:Q152"/>
  <sheetViews>
    <sheetView showGridLines="0" workbookViewId="0">
      <pane ySplit="6" topLeftCell="A22" activePane="bottomLeft" state="frozen"/>
      <selection activeCell="K26" sqref="K26"/>
      <selection pane="bottomLeft" activeCell="B2" sqref="B2:J2"/>
    </sheetView>
  </sheetViews>
  <sheetFormatPr defaultColWidth="0" defaultRowHeight="13.5" zeroHeight="1" x14ac:dyDescent="0.25"/>
  <cols>
    <col min="1" max="1" width="0.7109375" style="39" customWidth="1"/>
    <col min="2" max="2" width="1.85546875" style="39" customWidth="1"/>
    <col min="3" max="3" width="57.85546875" style="39" customWidth="1"/>
    <col min="4" max="4" width="6.28515625" style="39" customWidth="1"/>
    <col min="5" max="5" width="3.5703125" style="307" customWidth="1"/>
    <col min="6" max="6" width="0.7109375" style="39" customWidth="1"/>
    <col min="7" max="7" width="17.85546875" style="39" customWidth="1"/>
    <col min="8" max="8" width="1" style="39" customWidth="1"/>
    <col min="9" max="9" width="21" style="39" customWidth="1"/>
    <col min="10" max="10" width="6.42578125" style="39" customWidth="1"/>
    <col min="11" max="11" width="9" style="39" customWidth="1"/>
    <col min="12" max="12" width="8" style="39" customWidth="1"/>
    <col min="13" max="13" width="10.85546875" style="39" customWidth="1"/>
    <col min="14" max="14" width="2.85546875" style="39" customWidth="1"/>
    <col min="15" max="15" width="2.140625" style="39" customWidth="1"/>
    <col min="16" max="16" width="3.85546875" style="39" hidden="1" customWidth="1"/>
    <col min="17" max="16384" width="0" style="39" hidden="1"/>
  </cols>
  <sheetData>
    <row r="1" spans="1:16" s="133" customFormat="1" ht="6.75" customHeight="1" thickBot="1" x14ac:dyDescent="0.3">
      <c r="A1" s="133">
        <v>0</v>
      </c>
      <c r="E1" s="294"/>
    </row>
    <row r="2" spans="1:16" s="104" customFormat="1" ht="37.5" customHeight="1" thickTop="1" thickBot="1" x14ac:dyDescent="0.3">
      <c r="A2" s="133"/>
      <c r="B2" s="499" t="s">
        <v>41</v>
      </c>
      <c r="C2" s="500"/>
      <c r="D2" s="500"/>
      <c r="E2" s="500"/>
      <c r="F2" s="500"/>
      <c r="G2" s="500"/>
      <c r="H2" s="500"/>
      <c r="I2" s="500"/>
      <c r="J2" s="500"/>
      <c r="K2" s="163"/>
      <c r="L2" s="163"/>
      <c r="M2" s="163"/>
      <c r="N2" s="164"/>
    </row>
    <row r="3" spans="1:16" s="104" customFormat="1" ht="8.25" customHeight="1" thickTop="1" x14ac:dyDescent="0.35">
      <c r="A3" s="133"/>
      <c r="B3" s="136"/>
      <c r="C3" s="165"/>
      <c r="D3" s="3"/>
      <c r="E3" s="295"/>
      <c r="F3" s="3"/>
      <c r="G3" s="4"/>
      <c r="H3" s="4"/>
      <c r="I3" s="4"/>
      <c r="J3" s="4"/>
      <c r="K3" s="4"/>
      <c r="L3" s="4"/>
      <c r="M3" s="4"/>
      <c r="N3" s="137"/>
    </row>
    <row r="4" spans="1:16" s="104" customFormat="1" x14ac:dyDescent="0.25">
      <c r="A4" s="133"/>
      <c r="B4" s="136"/>
      <c r="C4" s="166" t="s">
        <v>403</v>
      </c>
      <c r="D4" s="167" t="s">
        <v>46</v>
      </c>
      <c r="E4" s="296"/>
      <c r="F4" s="168"/>
      <c r="G4" s="146"/>
      <c r="H4" s="146"/>
      <c r="I4" s="146"/>
      <c r="J4" s="146"/>
      <c r="K4" s="169"/>
      <c r="L4" s="4"/>
      <c r="M4" s="4"/>
      <c r="N4" s="137"/>
    </row>
    <row r="5" spans="1:16" s="104" customFormat="1" x14ac:dyDescent="0.25">
      <c r="A5" s="133"/>
      <c r="B5" s="136"/>
      <c r="C5" s="170" t="s">
        <v>404</v>
      </c>
      <c r="D5" s="726">
        <v>2008</v>
      </c>
      <c r="E5" s="727"/>
      <c r="F5" s="171"/>
      <c r="G5" s="730" t="s">
        <v>557</v>
      </c>
      <c r="H5" s="731"/>
      <c r="I5" s="172"/>
      <c r="J5" s="172"/>
      <c r="K5" s="172"/>
      <c r="L5" s="4"/>
      <c r="M5" s="4"/>
      <c r="N5" s="137"/>
    </row>
    <row r="6" spans="1:16" s="104" customFormat="1" ht="3.75" customHeight="1" x14ac:dyDescent="0.25">
      <c r="A6" s="133"/>
      <c r="B6" s="136"/>
      <c r="C6" s="170"/>
      <c r="D6" s="3"/>
      <c r="E6" s="295"/>
      <c r="F6" s="3"/>
      <c r="G6" s="4"/>
      <c r="H6" s="4"/>
      <c r="I6" s="4"/>
      <c r="J6" s="4"/>
      <c r="K6" s="4"/>
      <c r="L6" s="4"/>
      <c r="M6" s="4"/>
      <c r="N6" s="137"/>
    </row>
    <row r="7" spans="1:16" s="104" customFormat="1" ht="18" customHeight="1" x14ac:dyDescent="0.25">
      <c r="A7" s="133"/>
      <c r="B7" s="136"/>
      <c r="C7" s="543"/>
      <c r="D7" s="506"/>
      <c r="E7" s="506"/>
      <c r="F7" s="506"/>
      <c r="G7" s="506"/>
      <c r="H7" s="506"/>
      <c r="I7" s="506"/>
      <c r="J7" s="506"/>
      <c r="K7" s="506"/>
      <c r="L7" s="506"/>
      <c r="M7" s="506"/>
      <c r="N7" s="137"/>
    </row>
    <row r="8" spans="1:16" s="104" customFormat="1" ht="13.5" customHeight="1" x14ac:dyDescent="0.25">
      <c r="A8" s="133"/>
      <c r="B8" s="136"/>
      <c r="C8" s="506"/>
      <c r="D8" s="506"/>
      <c r="E8" s="506"/>
      <c r="F8" s="506"/>
      <c r="G8" s="506"/>
      <c r="H8" s="506"/>
      <c r="I8" s="506"/>
      <c r="J8" s="506"/>
      <c r="K8" s="506"/>
      <c r="L8" s="506"/>
      <c r="M8" s="506"/>
      <c r="N8" s="137"/>
    </row>
    <row r="9" spans="1:16" s="104" customFormat="1" ht="15" customHeight="1" x14ac:dyDescent="0.25">
      <c r="A9" s="133"/>
      <c r="B9" s="136"/>
      <c r="C9" s="173"/>
      <c r="D9" s="173"/>
      <c r="E9" s="297"/>
      <c r="F9" s="173"/>
      <c r="G9" s="174" t="s">
        <v>135</v>
      </c>
      <c r="H9" s="173"/>
      <c r="I9" s="173"/>
      <c r="J9" s="173"/>
      <c r="K9" s="173"/>
      <c r="L9" s="173"/>
      <c r="M9" s="173"/>
      <c r="N9" s="137"/>
    </row>
    <row r="10" spans="1:16" s="104" customFormat="1" ht="3" customHeight="1" x14ac:dyDescent="0.25">
      <c r="A10" s="133"/>
      <c r="B10" s="136"/>
      <c r="C10" s="7"/>
      <c r="D10" s="6"/>
      <c r="E10" s="298"/>
      <c r="F10" s="6"/>
      <c r="G10" s="7"/>
      <c r="H10" s="7"/>
      <c r="I10" s="7"/>
      <c r="J10" s="7"/>
      <c r="K10" s="7"/>
      <c r="L10" s="7"/>
      <c r="M10" s="7"/>
      <c r="N10" s="137"/>
    </row>
    <row r="11" spans="1:16" s="104" customFormat="1" ht="6" customHeight="1" x14ac:dyDescent="0.25">
      <c r="A11" s="133"/>
      <c r="B11" s="136"/>
      <c r="C11" s="3"/>
      <c r="D11" s="3"/>
      <c r="E11" s="295"/>
      <c r="F11" s="3"/>
      <c r="G11" s="13"/>
      <c r="H11" s="13"/>
      <c r="I11" s="13"/>
      <c r="J11" s="13"/>
      <c r="K11" s="13"/>
      <c r="L11" s="13"/>
      <c r="M11" s="13"/>
      <c r="N11" s="137"/>
    </row>
    <row r="12" spans="1:16" s="104" customFormat="1" ht="14.25" customHeight="1" x14ac:dyDescent="0.25">
      <c r="A12" s="133"/>
      <c r="B12" s="136"/>
      <c r="C12" s="3" t="s">
        <v>570</v>
      </c>
      <c r="D12" s="538" t="s">
        <v>543</v>
      </c>
      <c r="E12" s="539"/>
      <c r="F12" s="539"/>
      <c r="G12" s="539"/>
      <c r="H12" s="539"/>
      <c r="I12" s="539"/>
      <c r="J12" s="13"/>
      <c r="K12" s="13"/>
      <c r="L12" s="13"/>
      <c r="M12" s="13"/>
      <c r="N12" s="137"/>
      <c r="P12" s="416"/>
    </row>
    <row r="13" spans="1:16" s="104" customFormat="1" ht="2.25" customHeight="1" x14ac:dyDescent="0.25">
      <c r="A13" s="133"/>
      <c r="B13" s="136"/>
      <c r="C13" s="3"/>
      <c r="D13" s="3"/>
      <c r="E13" s="3"/>
      <c r="F13" s="3"/>
      <c r="G13" s="3"/>
      <c r="H13" s="3"/>
      <c r="I13" s="3"/>
      <c r="J13" s="13"/>
      <c r="K13" s="13"/>
      <c r="L13" s="13"/>
      <c r="M13" s="13"/>
      <c r="N13" s="137"/>
      <c r="P13" s="416"/>
    </row>
    <row r="14" spans="1:16" s="104" customFormat="1" x14ac:dyDescent="0.25">
      <c r="A14" s="133"/>
      <c r="B14" s="136"/>
      <c r="C14" s="151" t="s">
        <v>446</v>
      </c>
      <c r="D14" s="131"/>
      <c r="E14" s="457">
        <v>7</v>
      </c>
      <c r="F14" s="12"/>
      <c r="G14" s="458">
        <v>94536.9</v>
      </c>
      <c r="H14" s="5"/>
      <c r="I14" s="459" t="s">
        <v>136</v>
      </c>
      <c r="J14" s="175"/>
      <c r="K14" s="176"/>
      <c r="L14" s="78"/>
      <c r="M14" s="78"/>
      <c r="N14" s="137"/>
    </row>
    <row r="15" spans="1:16" s="104" customFormat="1" x14ac:dyDescent="0.25">
      <c r="A15" s="133"/>
      <c r="B15" s="136"/>
      <c r="C15" s="151" t="s">
        <v>622</v>
      </c>
      <c r="D15" s="3"/>
      <c r="E15" s="457">
        <v>10</v>
      </c>
      <c r="F15" s="12"/>
      <c r="G15" s="458">
        <v>2779.3</v>
      </c>
      <c r="H15" s="5"/>
      <c r="I15" s="728" t="s">
        <v>108</v>
      </c>
      <c r="J15" s="729"/>
      <c r="K15" s="732" t="s">
        <v>137</v>
      </c>
      <c r="L15" s="733"/>
      <c r="M15" s="733"/>
      <c r="N15" s="137"/>
    </row>
    <row r="16" spans="1:16" s="104" customFormat="1" x14ac:dyDescent="0.25">
      <c r="A16" s="133"/>
      <c r="B16" s="136"/>
      <c r="C16" s="151" t="s">
        <v>17</v>
      </c>
      <c r="D16" s="3"/>
      <c r="E16" s="457" t="s">
        <v>162</v>
      </c>
      <c r="F16" s="12"/>
      <c r="G16" s="458"/>
      <c r="H16" s="5"/>
      <c r="I16" s="459" t="s">
        <v>137</v>
      </c>
      <c r="J16" s="251" t="s">
        <v>358</v>
      </c>
      <c r="K16" s="176"/>
      <c r="L16" s="78"/>
      <c r="M16" s="417"/>
      <c r="N16" s="137"/>
    </row>
    <row r="17" spans="1:17" s="104" customFormat="1" x14ac:dyDescent="0.25">
      <c r="A17" s="133"/>
      <c r="B17" s="136"/>
      <c r="C17" s="151" t="s">
        <v>18</v>
      </c>
      <c r="D17" s="3"/>
      <c r="E17" s="457">
        <v>10</v>
      </c>
      <c r="F17" s="12"/>
      <c r="G17" s="458">
        <v>7100.4</v>
      </c>
      <c r="H17" s="5"/>
      <c r="I17" s="459" t="s">
        <v>137</v>
      </c>
      <c r="J17" s="175"/>
      <c r="K17" s="176"/>
      <c r="L17" s="78"/>
      <c r="M17" s="78"/>
      <c r="N17" s="137"/>
    </row>
    <row r="18" spans="1:17" s="104" customFormat="1" ht="6" customHeight="1" x14ac:dyDescent="0.25">
      <c r="A18" s="133"/>
      <c r="B18" s="136"/>
      <c r="C18" s="9"/>
      <c r="D18" s="9"/>
      <c r="E18" s="384"/>
      <c r="F18" s="12"/>
      <c r="G18" s="177"/>
      <c r="H18" s="5"/>
      <c r="I18" s="13"/>
      <c r="J18" s="175"/>
      <c r="K18" s="176"/>
      <c r="L18" s="4"/>
      <c r="M18" s="4"/>
      <c r="N18" s="137"/>
    </row>
    <row r="19" spans="1:17" s="104" customFormat="1" x14ac:dyDescent="0.25">
      <c r="A19" s="133"/>
      <c r="B19" s="136"/>
      <c r="C19" s="178" t="s">
        <v>569</v>
      </c>
      <c r="D19" s="81"/>
      <c r="E19" s="384"/>
      <c r="F19" s="12"/>
      <c r="G19" s="249">
        <v>84657.2</v>
      </c>
      <c r="H19" s="5"/>
      <c r="I19" s="459" t="s">
        <v>137</v>
      </c>
      <c r="J19" s="179"/>
      <c r="K19" s="176"/>
      <c r="L19" s="13"/>
      <c r="M19" s="175"/>
      <c r="N19" s="137"/>
    </row>
    <row r="20" spans="1:17" s="104" customFormat="1" ht="5.25" customHeight="1" x14ac:dyDescent="0.25">
      <c r="A20" s="133"/>
      <c r="B20" s="136"/>
      <c r="C20" s="10"/>
      <c r="D20" s="10"/>
      <c r="E20" s="385"/>
      <c r="F20" s="10"/>
      <c r="G20" s="7"/>
      <c r="H20" s="7"/>
      <c r="I20" s="7"/>
      <c r="J20" s="8"/>
      <c r="K20" s="8"/>
      <c r="L20" s="8"/>
      <c r="M20" s="7"/>
      <c r="N20" s="137"/>
    </row>
    <row r="21" spans="1:17" s="104" customFormat="1" ht="6" customHeight="1" x14ac:dyDescent="0.25">
      <c r="A21" s="133"/>
      <c r="B21" s="136"/>
      <c r="C21" s="12"/>
      <c r="D21" s="12"/>
      <c r="E21" s="384" t="s">
        <v>51</v>
      </c>
      <c r="F21" s="12"/>
      <c r="G21" s="4"/>
      <c r="H21" s="4"/>
      <c r="I21" s="4"/>
      <c r="J21" s="13"/>
      <c r="K21" s="13"/>
      <c r="L21" s="13"/>
      <c r="M21" s="4"/>
      <c r="N21" s="137"/>
    </row>
    <row r="22" spans="1:17" s="104" customFormat="1" x14ac:dyDescent="0.25">
      <c r="A22" s="133"/>
      <c r="B22" s="136"/>
      <c r="C22" s="3" t="s">
        <v>571</v>
      </c>
      <c r="D22" s="3"/>
      <c r="E22" s="386"/>
      <c r="F22" s="3"/>
      <c r="G22" s="3"/>
      <c r="H22" s="3"/>
      <c r="I22" s="3"/>
      <c r="J22" s="3"/>
      <c r="K22" s="3"/>
      <c r="L22" s="3"/>
      <c r="M22" s="3"/>
      <c r="N22" s="137"/>
    </row>
    <row r="23" spans="1:17" s="104" customFormat="1" x14ac:dyDescent="0.25">
      <c r="A23" s="133"/>
      <c r="B23" s="136"/>
      <c r="C23" s="151" t="s">
        <v>447</v>
      </c>
      <c r="D23" s="9"/>
      <c r="E23" s="457">
        <v>7</v>
      </c>
      <c r="F23" s="12"/>
      <c r="G23" s="458">
        <v>57242.400000000001</v>
      </c>
      <c r="H23" s="5"/>
      <c r="I23" s="459" t="s">
        <v>137</v>
      </c>
      <c r="J23" s="175"/>
      <c r="K23" s="176"/>
      <c r="L23" s="4"/>
      <c r="M23" s="4"/>
      <c r="N23" s="137"/>
      <c r="P23" s="17"/>
      <c r="Q23" s="17"/>
    </row>
    <row r="24" spans="1:17" s="104" customFormat="1" x14ac:dyDescent="0.25">
      <c r="A24" s="133"/>
      <c r="B24" s="136"/>
      <c r="C24" s="151" t="s">
        <v>448</v>
      </c>
      <c r="D24" s="9"/>
      <c r="E24" s="457" t="s">
        <v>162</v>
      </c>
      <c r="F24" s="12"/>
      <c r="G24" s="458"/>
      <c r="H24" s="5"/>
      <c r="I24" s="459" t="s">
        <v>137</v>
      </c>
      <c r="J24" s="175"/>
      <c r="K24" s="176"/>
      <c r="L24" s="151"/>
      <c r="M24" s="151"/>
      <c r="N24" s="137"/>
      <c r="P24" s="17"/>
      <c r="Q24" s="17"/>
    </row>
    <row r="25" spans="1:17" s="104" customFormat="1" x14ac:dyDescent="0.25">
      <c r="A25" s="133"/>
      <c r="B25" s="136"/>
      <c r="C25" s="151" t="s">
        <v>449</v>
      </c>
      <c r="D25" s="9"/>
      <c r="E25" s="457" t="s">
        <v>162</v>
      </c>
      <c r="F25" s="12"/>
      <c r="G25" s="458"/>
      <c r="H25" s="5"/>
      <c r="I25" s="459" t="s">
        <v>137</v>
      </c>
      <c r="J25" s="241" t="s">
        <v>481</v>
      </c>
      <c r="K25" s="246"/>
      <c r="L25" s="4" t="s">
        <v>480</v>
      </c>
      <c r="M25" s="4"/>
      <c r="N25" s="137"/>
      <c r="P25" s="17"/>
      <c r="Q25" s="17"/>
    </row>
    <row r="26" spans="1:17" s="104" customFormat="1" ht="15" customHeight="1" x14ac:dyDescent="0.25">
      <c r="A26" s="133"/>
      <c r="B26" s="136"/>
      <c r="C26" s="151" t="s">
        <v>450</v>
      </c>
      <c r="D26" s="9"/>
      <c r="E26" s="457">
        <v>8</v>
      </c>
      <c r="F26" s="12"/>
      <c r="G26" s="249">
        <v>764.2</v>
      </c>
      <c r="H26" s="5"/>
      <c r="I26" s="459" t="s">
        <v>137</v>
      </c>
      <c r="J26" s="254">
        <v>1.2500000000000001E-2</v>
      </c>
      <c r="K26" s="133"/>
      <c r="L26" s="723">
        <v>764.2</v>
      </c>
      <c r="M26" s="725"/>
      <c r="N26" s="137"/>
      <c r="P26" s="39">
        <v>2</v>
      </c>
      <c r="Q26" s="17"/>
    </row>
    <row r="27" spans="1:17" s="104" customFormat="1" ht="2.25" customHeight="1" x14ac:dyDescent="0.25">
      <c r="A27" s="133"/>
      <c r="B27" s="136"/>
      <c r="C27" s="151"/>
      <c r="D27" s="151"/>
      <c r="E27" s="9"/>
      <c r="F27" s="9"/>
      <c r="G27" s="9"/>
      <c r="H27" s="9"/>
      <c r="I27" s="459"/>
      <c r="J27" s="459"/>
      <c r="K27" s="459"/>
      <c r="L27" s="459"/>
      <c r="M27" s="459"/>
      <c r="N27" s="137"/>
      <c r="P27" s="39"/>
      <c r="Q27" s="17"/>
    </row>
    <row r="28" spans="1:17" s="104" customFormat="1" ht="15" customHeight="1" x14ac:dyDescent="0.25">
      <c r="A28" s="133"/>
      <c r="B28" s="136"/>
      <c r="C28" s="539" t="s">
        <v>358</v>
      </c>
      <c r="D28" s="539"/>
      <c r="E28" s="539"/>
      <c r="F28" s="539"/>
      <c r="G28" s="539"/>
      <c r="H28" s="539"/>
      <c r="I28" s="539"/>
      <c r="J28" s="539"/>
      <c r="K28" s="459"/>
      <c r="L28" s="459"/>
      <c r="M28" s="459"/>
      <c r="N28" s="137"/>
      <c r="P28" s="39"/>
      <c r="Q28" s="17"/>
    </row>
    <row r="29" spans="1:17" s="104" customFormat="1" ht="2.25" customHeight="1" x14ac:dyDescent="0.25">
      <c r="A29" s="133"/>
      <c r="B29" s="136"/>
      <c r="C29" s="9"/>
      <c r="D29" s="9"/>
      <c r="E29" s="13"/>
      <c r="F29" s="367"/>
      <c r="G29" s="5"/>
      <c r="H29" s="5"/>
      <c r="I29" s="13"/>
      <c r="J29" s="176"/>
      <c r="K29" s="176"/>
      <c r="L29" s="180"/>
      <c r="M29" s="4"/>
      <c r="N29" s="137"/>
      <c r="P29" s="39"/>
      <c r="Q29" s="17"/>
    </row>
    <row r="30" spans="1:17" s="104" customFormat="1" ht="15" customHeight="1" x14ac:dyDescent="0.25">
      <c r="A30" s="133"/>
      <c r="B30" s="136"/>
      <c r="C30" s="178" t="s">
        <v>568</v>
      </c>
      <c r="D30" s="81"/>
      <c r="E30" s="300"/>
      <c r="F30" s="12"/>
      <c r="G30" s="249">
        <v>58006.6</v>
      </c>
      <c r="H30" s="5"/>
      <c r="I30" s="459" t="s">
        <v>137</v>
      </c>
      <c r="J30" s="176"/>
      <c r="K30" s="176"/>
      <c r="L30" s="175"/>
      <c r="M30" s="175"/>
      <c r="N30" s="137"/>
      <c r="P30" s="39"/>
      <c r="Q30" s="17"/>
    </row>
    <row r="31" spans="1:17" s="104" customFormat="1" ht="2.25" customHeight="1" x14ac:dyDescent="0.25">
      <c r="A31" s="133"/>
      <c r="B31" s="136"/>
      <c r="C31" s="9"/>
      <c r="D31" s="9"/>
      <c r="E31" s="460"/>
      <c r="F31" s="5"/>
      <c r="G31" s="176"/>
      <c r="H31" s="5"/>
      <c r="I31" s="176"/>
      <c r="J31" s="176"/>
      <c r="K31" s="176"/>
      <c r="L31" s="181"/>
      <c r="M31" s="175"/>
      <c r="N31" s="137"/>
      <c r="P31" s="39"/>
      <c r="Q31" s="17"/>
    </row>
    <row r="32" spans="1:17" s="104" customFormat="1" ht="15" customHeight="1" x14ac:dyDescent="0.25">
      <c r="A32" s="133"/>
      <c r="B32" s="136"/>
      <c r="C32" s="461" t="s">
        <v>358</v>
      </c>
      <c r="D32" s="462"/>
      <c r="E32" s="462"/>
      <c r="F32" s="462"/>
      <c r="G32" s="462"/>
      <c r="H32" s="462"/>
      <c r="I32" s="462"/>
      <c r="J32" s="462"/>
      <c r="K32" s="176"/>
      <c r="L32" s="181"/>
      <c r="M32" s="175"/>
      <c r="N32" s="137"/>
      <c r="P32" s="39"/>
      <c r="Q32" s="17"/>
    </row>
    <row r="33" spans="1:17" s="104" customFormat="1" ht="3" customHeight="1" x14ac:dyDescent="0.25">
      <c r="A33" s="133"/>
      <c r="B33" s="136"/>
      <c r="C33" s="10"/>
      <c r="D33" s="10"/>
      <c r="E33" s="301"/>
      <c r="F33" s="10"/>
      <c r="G33" s="7"/>
      <c r="H33" s="7"/>
      <c r="I33" s="7"/>
      <c r="J33" s="8"/>
      <c r="K33" s="8"/>
      <c r="L33" s="8"/>
      <c r="M33" s="7"/>
      <c r="N33" s="137"/>
      <c r="P33" s="39"/>
      <c r="Q33" s="17"/>
    </row>
    <row r="34" spans="1:17" s="104" customFormat="1" ht="6" customHeight="1" x14ac:dyDescent="0.25">
      <c r="A34" s="133"/>
      <c r="B34" s="136"/>
      <c r="C34" s="12"/>
      <c r="D34" s="12"/>
      <c r="E34" s="300"/>
      <c r="F34" s="12"/>
      <c r="G34" s="4"/>
      <c r="H34" s="4"/>
      <c r="I34" s="4"/>
      <c r="J34" s="13"/>
      <c r="K34" s="13"/>
      <c r="L34" s="13"/>
      <c r="M34" s="4"/>
      <c r="N34" s="137"/>
      <c r="P34" s="39"/>
      <c r="Q34" s="17"/>
    </row>
    <row r="35" spans="1:17" s="104" customFormat="1" ht="15" customHeight="1" x14ac:dyDescent="0.25">
      <c r="A35" s="133"/>
      <c r="B35" s="136"/>
      <c r="C35" s="3" t="s">
        <v>572</v>
      </c>
      <c r="D35" s="3"/>
      <c r="E35" s="300"/>
      <c r="F35" s="3"/>
      <c r="G35" s="249">
        <v>26650.6</v>
      </c>
      <c r="H35" s="4"/>
      <c r="I35" s="459" t="s">
        <v>137</v>
      </c>
      <c r="J35" s="4"/>
      <c r="K35" s="541"/>
      <c r="L35" s="4"/>
      <c r="M35" s="4"/>
      <c r="N35" s="137"/>
      <c r="P35" s="39"/>
      <c r="Q35" s="17"/>
    </row>
    <row r="36" spans="1:17" s="104" customFormat="1" ht="5.25" customHeight="1" x14ac:dyDescent="0.25">
      <c r="A36" s="133"/>
      <c r="B36" s="136"/>
      <c r="C36" s="3"/>
      <c r="D36" s="3"/>
      <c r="E36" s="300"/>
      <c r="F36" s="3"/>
      <c r="G36" s="4"/>
      <c r="H36" s="4"/>
      <c r="I36" s="4"/>
      <c r="J36" s="4"/>
      <c r="K36" s="541"/>
      <c r="L36" s="4"/>
      <c r="M36" s="4"/>
      <c r="N36" s="137"/>
      <c r="P36" s="39"/>
      <c r="Q36" s="17"/>
    </row>
    <row r="37" spans="1:17" s="104" customFormat="1" x14ac:dyDescent="0.25">
      <c r="A37" s="133"/>
      <c r="B37" s="136"/>
      <c r="C37" s="182" t="s">
        <v>290</v>
      </c>
      <c r="D37" s="9"/>
      <c r="E37" s="300"/>
      <c r="F37" s="9"/>
      <c r="G37" s="4"/>
      <c r="H37" s="4"/>
      <c r="I37" s="4"/>
      <c r="J37" s="241" t="s">
        <v>481</v>
      </c>
      <c r="K37" s="246"/>
      <c r="L37" s="4" t="s">
        <v>480</v>
      </c>
      <c r="M37" s="4"/>
      <c r="N37" s="137"/>
      <c r="P37" s="39"/>
      <c r="Q37" s="17"/>
    </row>
    <row r="38" spans="1:17" s="104" customFormat="1" ht="15" customHeight="1" x14ac:dyDescent="0.25">
      <c r="A38" s="133"/>
      <c r="B38" s="136"/>
      <c r="C38" s="151" t="s">
        <v>451</v>
      </c>
      <c r="D38" s="9"/>
      <c r="E38" s="457">
        <v>8</v>
      </c>
      <c r="F38" s="9"/>
      <c r="G38" s="249">
        <v>2086.3000000000002</v>
      </c>
      <c r="H38" s="183"/>
      <c r="I38" s="459" t="s">
        <v>137</v>
      </c>
      <c r="J38" s="254">
        <v>2.5000000000000001E-3</v>
      </c>
      <c r="K38" s="229"/>
      <c r="L38" s="723">
        <v>2086.3000000000002</v>
      </c>
      <c r="M38" s="724"/>
      <c r="N38" s="137"/>
      <c r="P38" s="39">
        <v>2</v>
      </c>
      <c r="Q38" s="17"/>
    </row>
    <row r="39" spans="1:17" s="104" customFormat="1" ht="2.25" customHeight="1" x14ac:dyDescent="0.25">
      <c r="A39" s="133"/>
      <c r="B39" s="136"/>
      <c r="C39" s="176"/>
      <c r="D39" s="176"/>
      <c r="E39" s="176"/>
      <c r="F39" s="176"/>
      <c r="G39" s="176"/>
      <c r="H39" s="176"/>
      <c r="I39" s="176"/>
      <c r="J39" s="176"/>
      <c r="K39" s="5"/>
      <c r="L39" s="5"/>
      <c r="M39" s="4"/>
      <c r="N39" s="137"/>
      <c r="P39" s="39"/>
      <c r="Q39" s="17"/>
    </row>
    <row r="40" spans="1:17" s="104" customFormat="1" ht="15" customHeight="1" x14ac:dyDescent="0.25">
      <c r="A40" s="133"/>
      <c r="B40" s="136"/>
      <c r="C40" s="538" t="s">
        <v>358</v>
      </c>
      <c r="D40" s="539"/>
      <c r="E40" s="539"/>
      <c r="F40" s="539"/>
      <c r="G40" s="539"/>
      <c r="H40" s="539"/>
      <c r="I40" s="539"/>
      <c r="J40" s="539"/>
      <c r="K40" s="5"/>
      <c r="L40" s="5"/>
      <c r="M40" s="4"/>
      <c r="N40" s="137"/>
      <c r="P40" s="39"/>
      <c r="Q40" s="17"/>
    </row>
    <row r="41" spans="1:17" s="104" customFormat="1" ht="2.25" customHeight="1" x14ac:dyDescent="0.25">
      <c r="A41" s="133"/>
      <c r="B41" s="136"/>
      <c r="C41" s="151"/>
      <c r="D41" s="9"/>
      <c r="E41" s="9"/>
      <c r="F41" s="9"/>
      <c r="G41" s="368"/>
      <c r="H41" s="9"/>
      <c r="I41" s="459"/>
      <c r="J41" s="4"/>
      <c r="K41" s="5"/>
      <c r="L41" s="5"/>
      <c r="M41" s="4"/>
      <c r="N41" s="137"/>
      <c r="P41" s="39"/>
      <c r="Q41" s="17"/>
    </row>
    <row r="42" spans="1:17" s="104" customFormat="1" ht="15" customHeight="1" x14ac:dyDescent="0.25">
      <c r="A42" s="133"/>
      <c r="B42" s="136"/>
      <c r="C42" s="151" t="s">
        <v>452</v>
      </c>
      <c r="D42" s="9"/>
      <c r="E42" s="457">
        <v>8</v>
      </c>
      <c r="F42" s="9"/>
      <c r="G42" s="249">
        <v>190.3</v>
      </c>
      <c r="H42" s="183"/>
      <c r="I42" s="459" t="s">
        <v>137</v>
      </c>
      <c r="J42" s="463"/>
      <c r="K42" s="229"/>
      <c r="L42" s="723">
        <v>190.3</v>
      </c>
      <c r="M42" s="724"/>
      <c r="N42" s="137"/>
      <c r="P42" s="39">
        <v>2</v>
      </c>
      <c r="Q42" s="17"/>
    </row>
    <row r="43" spans="1:17" s="104" customFormat="1" x14ac:dyDescent="0.25">
      <c r="A43" s="133"/>
      <c r="B43" s="136"/>
      <c r="C43" s="151" t="s">
        <v>16</v>
      </c>
      <c r="D43" s="9"/>
      <c r="E43" s="457">
        <v>5</v>
      </c>
      <c r="F43" s="9"/>
      <c r="G43" s="464">
        <v>4676.3999999999996</v>
      </c>
      <c r="H43" s="183"/>
      <c r="I43" s="459" t="s">
        <v>137</v>
      </c>
      <c r="J43" s="4"/>
      <c r="K43" s="5"/>
      <c r="L43" s="5"/>
      <c r="M43" s="4"/>
      <c r="N43" s="137"/>
      <c r="P43" s="39"/>
      <c r="Q43" s="17"/>
    </row>
    <row r="44" spans="1:17" s="104" customFormat="1" ht="2.25" customHeight="1" x14ac:dyDescent="0.25">
      <c r="A44" s="133"/>
      <c r="B44" s="136"/>
      <c r="C44" s="151"/>
      <c r="D44" s="9"/>
      <c r="E44" s="9"/>
      <c r="F44" s="9"/>
      <c r="G44" s="9"/>
      <c r="H44" s="9"/>
      <c r="I44" s="9"/>
      <c r="J44" s="4"/>
      <c r="K44" s="5"/>
      <c r="L44" s="529" t="s">
        <v>282</v>
      </c>
      <c r="M44" s="529"/>
      <c r="N44" s="137"/>
      <c r="P44" s="39"/>
      <c r="Q44" s="17"/>
    </row>
    <row r="45" spans="1:17" s="104" customFormat="1" x14ac:dyDescent="0.25">
      <c r="A45" s="133"/>
      <c r="B45" s="136"/>
      <c r="C45" s="518" t="s">
        <v>358</v>
      </c>
      <c r="D45" s="518"/>
      <c r="E45" s="518"/>
      <c r="F45" s="518"/>
      <c r="G45" s="518"/>
      <c r="H45" s="518"/>
      <c r="I45" s="518"/>
      <c r="J45" s="518"/>
      <c r="K45" s="5"/>
      <c r="L45" s="529"/>
      <c r="M45" s="529"/>
      <c r="N45" s="137"/>
      <c r="P45" s="39"/>
      <c r="Q45" s="17"/>
    </row>
    <row r="46" spans="1:17" s="104" customFormat="1" ht="2.25" customHeight="1" x14ac:dyDescent="0.25">
      <c r="A46" s="133"/>
      <c r="B46" s="136"/>
      <c r="C46" s="151"/>
      <c r="D46" s="9"/>
      <c r="E46" s="9"/>
      <c r="F46" s="9"/>
      <c r="G46" s="9"/>
      <c r="H46" s="9"/>
      <c r="I46" s="9"/>
      <c r="J46" s="4"/>
      <c r="K46" s="5"/>
      <c r="L46" s="529"/>
      <c r="M46" s="529"/>
      <c r="N46" s="137"/>
      <c r="P46" s="39"/>
      <c r="Q46" s="17"/>
    </row>
    <row r="47" spans="1:17" s="104" customFormat="1" x14ac:dyDescent="0.25">
      <c r="A47" s="133"/>
      <c r="B47" s="136"/>
      <c r="C47" s="151" t="s">
        <v>257</v>
      </c>
      <c r="D47" s="9"/>
      <c r="E47" s="303"/>
      <c r="F47" s="9"/>
      <c r="G47" s="249">
        <v>6953</v>
      </c>
      <c r="H47" s="9"/>
      <c r="I47" s="459" t="s">
        <v>491</v>
      </c>
      <c r="J47" s="4"/>
      <c r="K47" s="176"/>
      <c r="L47" s="529"/>
      <c r="M47" s="529"/>
      <c r="N47" s="137"/>
    </row>
    <row r="48" spans="1:17" s="104" customFormat="1" ht="2.25" customHeight="1" x14ac:dyDescent="0.25">
      <c r="A48" s="133"/>
      <c r="B48" s="136"/>
      <c r="C48" s="9"/>
      <c r="D48" s="14"/>
      <c r="E48" s="14"/>
      <c r="F48" s="14"/>
      <c r="G48" s="176"/>
      <c r="H48" s="14"/>
      <c r="I48" s="5"/>
      <c r="J48" s="5"/>
      <c r="K48" s="176"/>
      <c r="L48" s="529"/>
      <c r="M48" s="529"/>
      <c r="N48" s="137"/>
    </row>
    <row r="49" spans="1:14" s="104" customFormat="1" ht="15" customHeight="1" x14ac:dyDescent="0.25">
      <c r="A49" s="133"/>
      <c r="B49" s="136"/>
      <c r="C49" s="734" t="s">
        <v>358</v>
      </c>
      <c r="D49" s="734"/>
      <c r="E49" s="734"/>
      <c r="F49" s="734"/>
      <c r="G49" s="734"/>
      <c r="H49" s="734"/>
      <c r="I49" s="734"/>
      <c r="J49" s="734"/>
      <c r="K49" s="176"/>
      <c r="L49" s="529"/>
      <c r="M49" s="529"/>
      <c r="N49" s="137"/>
    </row>
    <row r="50" spans="1:14" s="104" customFormat="1" ht="2.25" customHeight="1" x14ac:dyDescent="0.25">
      <c r="A50" s="133"/>
      <c r="B50" s="136"/>
      <c r="C50" s="9"/>
      <c r="D50" s="14"/>
      <c r="E50" s="465"/>
      <c r="F50" s="14"/>
      <c r="G50" s="176"/>
      <c r="H50" s="14"/>
      <c r="I50" s="5"/>
      <c r="J50" s="5"/>
      <c r="K50" s="176"/>
      <c r="L50" s="529"/>
      <c r="M50" s="529"/>
      <c r="N50" s="137"/>
    </row>
    <row r="51" spans="1:14" s="104" customFormat="1" ht="10.5" customHeight="1" x14ac:dyDescent="0.25">
      <c r="A51" s="133"/>
      <c r="B51" s="136"/>
      <c r="C51" s="182" t="s">
        <v>164</v>
      </c>
      <c r="D51" s="14"/>
      <c r="E51" s="303"/>
      <c r="F51" s="14"/>
      <c r="G51" s="176"/>
      <c r="H51" s="176"/>
      <c r="I51" s="176"/>
      <c r="J51" s="176"/>
      <c r="K51" s="176"/>
      <c r="L51" s="529"/>
      <c r="M51" s="529"/>
      <c r="N51" s="137"/>
    </row>
    <row r="52" spans="1:14" s="104" customFormat="1" x14ac:dyDescent="0.25">
      <c r="A52" s="133"/>
      <c r="B52" s="136"/>
      <c r="C52" s="151" t="s">
        <v>315</v>
      </c>
      <c r="D52" s="14"/>
      <c r="E52" s="303"/>
      <c r="F52" s="14"/>
      <c r="G52" s="249">
        <v>19697.599999999999</v>
      </c>
      <c r="H52" s="14"/>
      <c r="I52" s="459" t="s">
        <v>137</v>
      </c>
      <c r="J52" s="176"/>
      <c r="K52" s="176"/>
      <c r="L52" s="5"/>
      <c r="M52" s="4"/>
      <c r="N52" s="137"/>
    </row>
    <row r="53" spans="1:14" s="104" customFormat="1" ht="6.75" customHeight="1" x14ac:dyDescent="0.25">
      <c r="A53" s="133"/>
      <c r="B53" s="136"/>
      <c r="C53" s="9"/>
      <c r="D53" s="14"/>
      <c r="E53" s="303"/>
      <c r="F53" s="14"/>
      <c r="G53" s="466"/>
      <c r="H53" s="14"/>
      <c r="I53" s="13"/>
      <c r="J53" s="176"/>
      <c r="K53" s="176"/>
      <c r="L53" s="5"/>
      <c r="M53" s="4"/>
      <c r="N53" s="137"/>
    </row>
    <row r="54" spans="1:14" s="104" customFormat="1" x14ac:dyDescent="0.25">
      <c r="A54" s="133"/>
      <c r="B54" s="136"/>
      <c r="C54" s="178" t="s">
        <v>565</v>
      </c>
      <c r="D54" s="82"/>
      <c r="E54" s="303"/>
      <c r="F54" s="16"/>
      <c r="G54" s="249">
        <v>26650.6</v>
      </c>
      <c r="H54" s="5"/>
      <c r="I54" s="459" t="s">
        <v>137</v>
      </c>
      <c r="J54" s="4"/>
      <c r="K54" s="176"/>
      <c r="L54" s="13"/>
      <c r="M54" s="184"/>
      <c r="N54" s="137"/>
    </row>
    <row r="55" spans="1:14" s="104" customFormat="1" ht="5.25" customHeight="1" x14ac:dyDescent="0.25">
      <c r="A55" s="133"/>
      <c r="B55" s="136"/>
      <c r="C55" s="185"/>
      <c r="D55" s="15"/>
      <c r="E55" s="304"/>
      <c r="F55" s="15"/>
      <c r="G55" s="11"/>
      <c r="H55" s="11"/>
      <c r="I55" s="11"/>
      <c r="J55" s="8"/>
      <c r="K55" s="8"/>
      <c r="L55" s="8"/>
      <c r="M55" s="7"/>
      <c r="N55" s="137"/>
    </row>
    <row r="56" spans="1:14" s="104" customFormat="1" ht="6" customHeight="1" x14ac:dyDescent="0.25">
      <c r="A56" s="133"/>
      <c r="B56" s="136"/>
      <c r="C56" s="9"/>
      <c r="D56" s="16"/>
      <c r="E56" s="302"/>
      <c r="F56" s="16"/>
      <c r="G56" s="5"/>
      <c r="H56" s="5"/>
      <c r="I56" s="5"/>
      <c r="J56" s="13"/>
      <c r="K56" s="13"/>
      <c r="L56" s="13"/>
      <c r="M56" s="4"/>
      <c r="N56" s="137"/>
    </row>
    <row r="57" spans="1:14" s="104" customFormat="1" ht="13.5" customHeight="1" x14ac:dyDescent="0.25">
      <c r="A57" s="133"/>
      <c r="B57" s="136"/>
      <c r="C57" s="182" t="s">
        <v>36</v>
      </c>
      <c r="D57" s="14"/>
      <c r="E57" s="303"/>
      <c r="F57" s="14"/>
      <c r="G57" s="466"/>
      <c r="H57" s="14"/>
      <c r="I57" s="13"/>
      <c r="J57" s="176"/>
      <c r="K57" s="176"/>
      <c r="L57" s="5"/>
      <c r="M57" s="4"/>
      <c r="N57" s="137"/>
    </row>
    <row r="58" spans="1:14" s="104" customFormat="1" ht="13.5" customHeight="1" x14ac:dyDescent="0.25">
      <c r="A58" s="133"/>
      <c r="B58" s="136"/>
      <c r="C58" s="9" t="s">
        <v>458</v>
      </c>
      <c r="D58" s="14"/>
      <c r="E58" s="303"/>
      <c r="F58" s="14"/>
      <c r="G58" s="249">
        <v>27414.799999999999</v>
      </c>
      <c r="H58" s="14"/>
      <c r="I58" s="459" t="s">
        <v>137</v>
      </c>
      <c r="J58" s="176"/>
      <c r="K58" s="176"/>
      <c r="L58" s="5"/>
      <c r="M58" s="4"/>
      <c r="N58" s="137"/>
    </row>
    <row r="59" spans="1:14" s="104" customFormat="1" ht="13.5" customHeight="1" x14ac:dyDescent="0.25">
      <c r="A59" s="133"/>
      <c r="B59" s="136"/>
      <c r="C59" s="404" t="s">
        <v>603</v>
      </c>
      <c r="D59" s="405"/>
      <c r="E59" s="405"/>
      <c r="F59" s="405"/>
      <c r="G59" s="405"/>
      <c r="H59" s="405"/>
      <c r="I59" s="405"/>
      <c r="J59" s="405"/>
      <c r="K59" s="405"/>
      <c r="L59" s="405"/>
      <c r="M59" s="405"/>
      <c r="N59" s="137"/>
    </row>
    <row r="60" spans="1:14" s="104" customFormat="1" ht="16.5" customHeight="1" x14ac:dyDescent="0.25">
      <c r="A60" s="133"/>
      <c r="B60" s="136"/>
      <c r="C60" s="3" t="s">
        <v>406</v>
      </c>
      <c r="D60" s="3"/>
      <c r="E60" s="302"/>
      <c r="F60" s="3"/>
      <c r="G60" s="4"/>
      <c r="H60" s="4"/>
      <c r="I60" s="4"/>
      <c r="J60" s="4"/>
      <c r="K60" s="4"/>
      <c r="L60" s="4"/>
      <c r="M60" s="4"/>
      <c r="N60" s="137"/>
    </row>
    <row r="61" spans="1:14" s="104" customFormat="1" ht="5.25" customHeight="1" x14ac:dyDescent="0.25">
      <c r="A61" s="133"/>
      <c r="B61" s="136"/>
      <c r="C61" s="3"/>
      <c r="D61" s="3"/>
      <c r="E61" s="302"/>
      <c r="F61" s="3"/>
      <c r="G61" s="4"/>
      <c r="H61" s="4"/>
      <c r="I61" s="4"/>
      <c r="J61" s="4"/>
      <c r="K61" s="4"/>
      <c r="L61" s="4"/>
      <c r="M61" s="4"/>
      <c r="N61" s="137"/>
    </row>
    <row r="62" spans="1:14" s="104" customFormat="1" x14ac:dyDescent="0.25">
      <c r="A62" s="133"/>
      <c r="B62" s="136"/>
      <c r="C62" s="151" t="s">
        <v>453</v>
      </c>
      <c r="D62" s="3"/>
      <c r="E62" s="457">
        <v>9</v>
      </c>
      <c r="F62" s="3"/>
      <c r="G62" s="467">
        <v>3137</v>
      </c>
      <c r="H62" s="186"/>
      <c r="I62" s="390" t="s">
        <v>138</v>
      </c>
      <c r="J62" s="4"/>
      <c r="K62" s="4"/>
      <c r="L62" s="4"/>
      <c r="M62" s="4"/>
      <c r="N62" s="137"/>
    </row>
    <row r="63" spans="1:14" s="104" customFormat="1" x14ac:dyDescent="0.25">
      <c r="A63" s="133"/>
      <c r="B63" s="136"/>
      <c r="C63" s="151" t="s">
        <v>443</v>
      </c>
      <c r="D63" s="3"/>
      <c r="E63" s="457">
        <v>7</v>
      </c>
      <c r="F63" s="3"/>
      <c r="G63" s="468">
        <v>547932</v>
      </c>
      <c r="H63" s="186"/>
      <c r="I63" s="4"/>
      <c r="J63" s="4"/>
      <c r="K63" s="4"/>
      <c r="L63" s="4"/>
      <c r="M63" s="4"/>
      <c r="N63" s="137"/>
    </row>
    <row r="64" spans="1:14" s="104" customFormat="1" x14ac:dyDescent="0.25">
      <c r="A64" s="133"/>
      <c r="B64" s="136"/>
      <c r="C64" s="151" t="s">
        <v>407</v>
      </c>
      <c r="D64" s="3"/>
      <c r="E64" s="386"/>
      <c r="F64" s="3"/>
      <c r="G64" s="117">
        <v>174.66751673573478</v>
      </c>
      <c r="H64" s="4"/>
      <c r="I64" s="390" t="s">
        <v>139</v>
      </c>
      <c r="J64" s="176"/>
      <c r="K64" s="176"/>
      <c r="L64" s="4"/>
      <c r="M64" s="4"/>
      <c r="N64" s="137"/>
    </row>
    <row r="65" spans="1:16" s="104" customFormat="1" ht="13.5" customHeight="1" x14ac:dyDescent="0.25">
      <c r="A65" s="133"/>
      <c r="B65" s="136"/>
      <c r="C65" s="407" t="s">
        <v>316</v>
      </c>
      <c r="D65" s="3"/>
      <c r="E65" s="457">
        <v>7</v>
      </c>
      <c r="F65" s="3"/>
      <c r="G65" s="467">
        <v>12</v>
      </c>
      <c r="H65" s="3"/>
      <c r="I65" s="390" t="s">
        <v>140</v>
      </c>
      <c r="J65" s="516"/>
      <c r="K65" s="517"/>
      <c r="L65" s="517"/>
      <c r="M65" s="517"/>
      <c r="N65" s="137"/>
    </row>
    <row r="66" spans="1:16" s="104" customFormat="1" x14ac:dyDescent="0.25">
      <c r="A66" s="133"/>
      <c r="B66" s="136"/>
      <c r="C66" s="4"/>
      <c r="D66" s="3"/>
      <c r="E66" s="386"/>
      <c r="F66" s="3"/>
      <c r="G66" s="38"/>
      <c r="H66" s="3"/>
      <c r="I66" s="4"/>
      <c r="J66" s="517"/>
      <c r="K66" s="517"/>
      <c r="L66" s="517"/>
      <c r="M66" s="517"/>
      <c r="N66" s="137"/>
    </row>
    <row r="67" spans="1:16" s="104" customFormat="1" x14ac:dyDescent="0.25">
      <c r="A67" s="133"/>
      <c r="B67" s="136"/>
      <c r="C67" s="151" t="s">
        <v>454</v>
      </c>
      <c r="D67" s="3"/>
      <c r="E67" s="457">
        <v>10</v>
      </c>
      <c r="F67" s="3"/>
      <c r="G67" s="467">
        <v>55</v>
      </c>
      <c r="H67" s="187"/>
      <c r="I67" s="390" t="s">
        <v>141</v>
      </c>
      <c r="J67" s="4"/>
      <c r="K67" s="180"/>
      <c r="L67" s="4"/>
      <c r="M67" s="4"/>
      <c r="N67" s="137"/>
    </row>
    <row r="68" spans="1:16" s="104" customFormat="1" ht="3" customHeight="1" x14ac:dyDescent="0.25">
      <c r="A68" s="133"/>
      <c r="B68" s="136"/>
      <c r="C68" s="151"/>
      <c r="D68" s="3"/>
      <c r="E68" s="3"/>
      <c r="F68" s="3"/>
      <c r="G68" s="3"/>
      <c r="H68" s="3"/>
      <c r="I68" s="390"/>
      <c r="J68" s="4"/>
      <c r="K68" s="180"/>
      <c r="L68" s="4"/>
      <c r="M68" s="4"/>
      <c r="N68" s="137"/>
    </row>
    <row r="69" spans="1:16" s="104" customFormat="1" x14ac:dyDescent="0.25">
      <c r="A69" s="133"/>
      <c r="B69" s="136"/>
      <c r="C69" s="539" t="s">
        <v>358</v>
      </c>
      <c r="D69" s="539"/>
      <c r="E69" s="539"/>
      <c r="F69" s="539"/>
      <c r="G69" s="539"/>
      <c r="H69" s="539"/>
      <c r="I69" s="539"/>
      <c r="J69" s="539"/>
      <c r="K69" s="327"/>
      <c r="L69" s="4"/>
      <c r="M69" s="4"/>
      <c r="N69" s="137"/>
      <c r="P69" s="104">
        <v>0</v>
      </c>
    </row>
    <row r="70" spans="1:16" s="104" customFormat="1" ht="2.25" customHeight="1" x14ac:dyDescent="0.25">
      <c r="A70" s="133"/>
      <c r="B70" s="136"/>
      <c r="C70" s="6"/>
      <c r="D70" s="7"/>
      <c r="E70" s="7"/>
      <c r="F70" s="7"/>
      <c r="G70" s="7"/>
      <c r="H70" s="7"/>
      <c r="I70" s="7"/>
      <c r="J70" s="7"/>
      <c r="K70" s="7"/>
      <c r="L70" s="7"/>
      <c r="M70" s="7"/>
      <c r="N70" s="137"/>
    </row>
    <row r="71" spans="1:16" s="104" customFormat="1" ht="6" customHeight="1" x14ac:dyDescent="0.25">
      <c r="A71" s="133"/>
      <c r="B71" s="136"/>
      <c r="C71" s="3"/>
      <c r="D71" s="3"/>
      <c r="E71" s="302"/>
      <c r="F71" s="3"/>
      <c r="G71" s="4"/>
      <c r="H71" s="4"/>
      <c r="I71" s="4"/>
      <c r="J71" s="4"/>
      <c r="K71" s="4"/>
      <c r="L71" s="4"/>
      <c r="M71" s="4"/>
      <c r="N71" s="137"/>
    </row>
    <row r="72" spans="1:16" s="104" customFormat="1" ht="13.5" customHeight="1" x14ac:dyDescent="0.25">
      <c r="A72" s="133"/>
      <c r="B72" s="136"/>
      <c r="C72" s="3" t="s">
        <v>192</v>
      </c>
      <c r="D72" s="3"/>
      <c r="E72" s="302"/>
      <c r="F72" s="3"/>
      <c r="G72" s="118"/>
      <c r="H72" s="4"/>
      <c r="I72" s="4"/>
      <c r="J72" s="4"/>
      <c r="K72" s="4"/>
      <c r="L72" s="4"/>
      <c r="M72" s="4"/>
      <c r="N72" s="137"/>
    </row>
    <row r="73" spans="1:16" s="104" customFormat="1" ht="5.25" customHeight="1" x14ac:dyDescent="0.25">
      <c r="A73" s="133"/>
      <c r="B73" s="136"/>
      <c r="C73" s="3"/>
      <c r="D73" s="3"/>
      <c r="E73" s="302"/>
      <c r="F73" s="3"/>
      <c r="G73" s="4"/>
      <c r="H73" s="4"/>
      <c r="I73" s="4"/>
      <c r="J73" s="4"/>
      <c r="K73" s="4"/>
      <c r="L73" s="4"/>
      <c r="M73" s="4"/>
      <c r="N73" s="137"/>
    </row>
    <row r="74" spans="1:16" s="104" customFormat="1" ht="14.25" customHeight="1" x14ac:dyDescent="0.25">
      <c r="A74" s="133"/>
      <c r="B74" s="136"/>
      <c r="C74" s="151" t="s">
        <v>455</v>
      </c>
      <c r="D74" s="9"/>
      <c r="E74" s="457">
        <v>10</v>
      </c>
      <c r="F74" s="4"/>
      <c r="G74" s="469">
        <v>219182339</v>
      </c>
      <c r="H74" s="4"/>
      <c r="I74" s="390" t="s">
        <v>200</v>
      </c>
      <c r="J74" s="4"/>
      <c r="K74" s="4"/>
      <c r="L74" s="4"/>
      <c r="M74" s="4"/>
      <c r="N74" s="137"/>
    </row>
    <row r="75" spans="1:16" s="104" customFormat="1" ht="14.25" customHeight="1" x14ac:dyDescent="0.25">
      <c r="A75" s="133"/>
      <c r="B75" s="136"/>
      <c r="C75" s="188" t="s">
        <v>602</v>
      </c>
      <c r="D75" s="9"/>
      <c r="E75" s="457">
        <v>9</v>
      </c>
      <c r="F75" s="4"/>
      <c r="G75" s="470">
        <v>4.97</v>
      </c>
      <c r="H75" s="4"/>
      <c r="I75" s="737" t="s">
        <v>457</v>
      </c>
      <c r="J75" s="738"/>
      <c r="K75" s="739"/>
      <c r="L75" s="735" t="s">
        <v>358</v>
      </c>
      <c r="M75" s="736"/>
      <c r="N75" s="137"/>
    </row>
    <row r="76" spans="1:16" s="104" customFormat="1" ht="13.5" customHeight="1" x14ac:dyDescent="0.25">
      <c r="A76" s="133"/>
      <c r="B76" s="136"/>
      <c r="C76" s="188" t="s">
        <v>411</v>
      </c>
      <c r="D76" s="9"/>
      <c r="E76" s="457">
        <v>9</v>
      </c>
      <c r="F76" s="4"/>
      <c r="G76" s="470">
        <v>215.5</v>
      </c>
      <c r="H76" s="4"/>
      <c r="I76" s="459" t="s">
        <v>142</v>
      </c>
      <c r="J76" s="4"/>
      <c r="K76" s="4"/>
      <c r="L76" s="118"/>
      <c r="M76" s="4"/>
      <c r="N76" s="137"/>
    </row>
    <row r="77" spans="1:16" s="104" customFormat="1" ht="2.25" customHeight="1" x14ac:dyDescent="0.25">
      <c r="A77" s="133"/>
      <c r="B77" s="136"/>
      <c r="C77" s="3"/>
      <c r="D77" s="3"/>
      <c r="E77" s="299"/>
      <c r="F77" s="3"/>
      <c r="G77" s="4"/>
      <c r="H77" s="4"/>
      <c r="I77" s="4"/>
      <c r="J77" s="4"/>
      <c r="K77" s="4"/>
      <c r="L77" s="4"/>
      <c r="M77" s="4"/>
      <c r="N77" s="137"/>
    </row>
    <row r="78" spans="1:16" s="104" customFormat="1" ht="13.5" customHeight="1" x14ac:dyDescent="0.25">
      <c r="A78" s="133"/>
      <c r="B78" s="136"/>
      <c r="C78" s="515" t="s">
        <v>358</v>
      </c>
      <c r="D78" s="515"/>
      <c r="E78" s="515"/>
      <c r="F78" s="515"/>
      <c r="G78" s="515"/>
      <c r="H78" s="515"/>
      <c r="I78" s="515"/>
      <c r="J78" s="515"/>
      <c r="K78" s="515"/>
      <c r="L78" s="515"/>
      <c r="M78" s="4"/>
      <c r="N78" s="137"/>
      <c r="P78" s="104">
        <v>0</v>
      </c>
    </row>
    <row r="79" spans="1:16" s="104" customFormat="1" ht="2.25" customHeight="1" x14ac:dyDescent="0.25">
      <c r="A79" s="133"/>
      <c r="B79" s="136"/>
      <c r="C79" s="6"/>
      <c r="D79" s="6"/>
      <c r="E79" s="298"/>
      <c r="F79" s="6"/>
      <c r="G79" s="7"/>
      <c r="H79" s="7"/>
      <c r="I79" s="7"/>
      <c r="J79" s="7"/>
      <c r="K79" s="7"/>
      <c r="L79" s="7"/>
      <c r="M79" s="7"/>
      <c r="N79" s="137"/>
    </row>
    <row r="80" spans="1:16" s="104" customFormat="1" ht="6" customHeight="1" x14ac:dyDescent="0.25">
      <c r="A80" s="133"/>
      <c r="B80" s="136"/>
      <c r="C80" s="190"/>
      <c r="D80" s="3"/>
      <c r="E80" s="295"/>
      <c r="F80" s="3"/>
      <c r="G80" s="4"/>
      <c r="H80" s="4"/>
      <c r="I80" s="4"/>
      <c r="J80" s="4"/>
      <c r="K80" s="4"/>
      <c r="L80" s="4"/>
      <c r="M80" s="4"/>
      <c r="N80" s="137"/>
    </row>
    <row r="81" spans="1:14" s="104" customFormat="1" ht="13.5" customHeight="1" x14ac:dyDescent="0.25">
      <c r="A81" s="133"/>
      <c r="B81" s="136"/>
      <c r="C81" s="3" t="s">
        <v>196</v>
      </c>
      <c r="D81" s="3"/>
      <c r="E81" s="295"/>
      <c r="F81" s="3"/>
      <c r="G81" s="4"/>
      <c r="H81" s="4"/>
      <c r="I81" s="120"/>
      <c r="J81" s="4"/>
      <c r="K81" s="4"/>
      <c r="L81" s="4"/>
      <c r="M81" s="4"/>
      <c r="N81" s="137"/>
    </row>
    <row r="82" spans="1:14" s="104" customFormat="1" ht="5.25" customHeight="1" x14ac:dyDescent="0.25">
      <c r="A82" s="133"/>
      <c r="B82" s="136"/>
      <c r="C82" s="3"/>
      <c r="D82" s="3"/>
      <c r="E82" s="295"/>
      <c r="F82" s="3"/>
      <c r="G82" s="4"/>
      <c r="H82" s="4"/>
      <c r="I82" s="4"/>
      <c r="J82" s="4"/>
      <c r="K82" s="4"/>
      <c r="L82" s="4"/>
      <c r="M82" s="4"/>
      <c r="N82" s="137"/>
    </row>
    <row r="83" spans="1:14" s="104" customFormat="1" ht="13.5" customHeight="1" x14ac:dyDescent="0.25">
      <c r="A83" s="133"/>
      <c r="B83" s="136"/>
      <c r="C83" s="191" t="s">
        <v>197</v>
      </c>
      <c r="D83" s="3"/>
      <c r="E83" s="295"/>
      <c r="F83" s="3"/>
      <c r="G83" s="4"/>
      <c r="H83" s="4"/>
      <c r="I83" s="4"/>
      <c r="J83" s="4"/>
      <c r="K83" s="4"/>
      <c r="L83" s="4"/>
      <c r="M83" s="4"/>
      <c r="N83" s="137"/>
    </row>
    <row r="84" spans="1:14" s="104" customFormat="1" ht="13.5" customHeight="1" x14ac:dyDescent="0.25">
      <c r="A84" s="133"/>
      <c r="B84" s="136"/>
      <c r="C84" s="176"/>
      <c r="D84" s="3"/>
      <c r="E84" s="295"/>
      <c r="F84" s="3"/>
      <c r="G84" s="151" t="s">
        <v>148</v>
      </c>
      <c r="H84" s="4"/>
      <c r="I84" s="79">
        <v>0.32383305849945426</v>
      </c>
      <c r="J84" s="4"/>
      <c r="K84" s="4"/>
      <c r="L84" s="4"/>
      <c r="M84" s="4"/>
      <c r="N84" s="137"/>
    </row>
    <row r="85" spans="1:14" s="104" customFormat="1" ht="13.5" customHeight="1" x14ac:dyDescent="0.25">
      <c r="A85" s="133"/>
      <c r="B85" s="136"/>
      <c r="C85" s="176"/>
      <c r="D85" s="3"/>
      <c r="E85" s="295"/>
      <c r="F85" s="3"/>
      <c r="G85" s="151" t="s">
        <v>147</v>
      </c>
      <c r="H85" s="4"/>
      <c r="I85" s="79">
        <v>0.17777859328346701</v>
      </c>
      <c r="J85" s="4"/>
      <c r="K85" s="4"/>
      <c r="L85" s="4"/>
      <c r="M85" s="4"/>
      <c r="N85" s="137"/>
    </row>
    <row r="86" spans="1:14" s="104" customFormat="1" ht="13.5" customHeight="1" x14ac:dyDescent="0.25">
      <c r="A86" s="133"/>
      <c r="B86" s="136"/>
      <c r="C86" s="176"/>
      <c r="D86" s="3"/>
      <c r="E86" s="295"/>
      <c r="F86" s="3"/>
      <c r="G86" s="151" t="s">
        <v>412</v>
      </c>
      <c r="H86" s="4"/>
      <c r="I86" s="119">
        <v>34556409.999999993</v>
      </c>
      <c r="J86" s="4"/>
      <c r="K86" s="4"/>
      <c r="L86" s="4"/>
      <c r="M86" s="4"/>
      <c r="N86" s="137"/>
    </row>
    <row r="87" spans="1:14" s="104" customFormat="1" ht="13.5" customHeight="1" x14ac:dyDescent="0.25">
      <c r="A87" s="133"/>
      <c r="B87" s="136"/>
      <c r="C87" s="176"/>
      <c r="D87" s="3"/>
      <c r="E87" s="295"/>
      <c r="F87" s="3"/>
      <c r="G87" s="151" t="s">
        <v>573</v>
      </c>
      <c r="H87" s="4"/>
      <c r="I87" s="119">
        <v>4244832.8</v>
      </c>
      <c r="J87" s="4"/>
      <c r="K87" s="4"/>
      <c r="L87" s="4"/>
      <c r="M87" s="4"/>
      <c r="N87" s="137"/>
    </row>
    <row r="88" spans="1:14" s="104" customFormat="1" ht="5.25" customHeight="1" x14ac:dyDescent="0.25">
      <c r="A88" s="133"/>
      <c r="B88" s="136"/>
      <c r="C88" s="3"/>
      <c r="D88" s="3"/>
      <c r="E88" s="295"/>
      <c r="F88" s="3"/>
      <c r="G88" s="4"/>
      <c r="H88" s="4"/>
      <c r="I88" s="4"/>
      <c r="J88" s="4"/>
      <c r="K88" s="4"/>
      <c r="L88" s="4"/>
      <c r="M88" s="4"/>
      <c r="N88" s="137"/>
    </row>
    <row r="89" spans="1:14" s="104" customFormat="1" ht="13.5" customHeight="1" x14ac:dyDescent="0.25">
      <c r="A89" s="133"/>
      <c r="B89" s="136"/>
      <c r="C89" s="191" t="s">
        <v>198</v>
      </c>
      <c r="D89" s="3"/>
      <c r="E89" s="295"/>
      <c r="F89" s="3"/>
      <c r="G89" s="3"/>
      <c r="H89" s="4"/>
      <c r="I89" s="4"/>
      <c r="J89" s="4"/>
      <c r="K89" s="4"/>
      <c r="L89" s="4"/>
      <c r="M89" s="4"/>
      <c r="N89" s="137"/>
    </row>
    <row r="90" spans="1:14" s="104" customFormat="1" ht="5.25" customHeight="1" x14ac:dyDescent="0.25">
      <c r="A90" s="133"/>
      <c r="B90" s="136"/>
      <c r="C90" s="191"/>
      <c r="D90" s="3"/>
      <c r="E90" s="295"/>
      <c r="F90" s="3"/>
      <c r="G90" s="4"/>
      <c r="H90" s="4"/>
      <c r="I90" s="4"/>
      <c r="J90" s="4"/>
      <c r="K90" s="4"/>
      <c r="L90" s="4"/>
      <c r="M90" s="4"/>
      <c r="N90" s="137"/>
    </row>
    <row r="91" spans="1:14" s="104" customFormat="1" ht="13.5" customHeight="1" x14ac:dyDescent="0.25">
      <c r="A91" s="133"/>
      <c r="B91" s="136"/>
      <c r="C91" s="12"/>
      <c r="D91" s="12"/>
      <c r="E91" s="305"/>
      <c r="F91" s="12"/>
      <c r="G91" s="151" t="s">
        <v>254</v>
      </c>
      <c r="H91" s="4"/>
      <c r="I91" s="37">
        <v>34.765837856692343</v>
      </c>
      <c r="J91" s="390" t="s">
        <v>143</v>
      </c>
      <c r="K91" s="4"/>
      <c r="L91" s="4"/>
      <c r="M91" s="4"/>
      <c r="N91" s="137"/>
    </row>
    <row r="92" spans="1:14" s="104" customFormat="1" ht="8.25" customHeight="1" x14ac:dyDescent="0.25">
      <c r="A92" s="133"/>
      <c r="B92" s="136"/>
      <c r="C92" s="191"/>
      <c r="D92" s="3"/>
      <c r="E92" s="295"/>
      <c r="F92" s="3"/>
      <c r="G92" s="4"/>
      <c r="H92" s="4"/>
      <c r="I92" s="4"/>
      <c r="J92" s="4"/>
      <c r="K92" s="4"/>
      <c r="L92" s="4"/>
      <c r="M92" s="4"/>
      <c r="N92" s="137"/>
    </row>
    <row r="93" spans="1:14" s="104" customFormat="1" x14ac:dyDescent="0.25">
      <c r="A93" s="133"/>
      <c r="B93" s="136"/>
      <c r="C93" s="3"/>
      <c r="D93" s="3"/>
      <c r="E93" s="295"/>
      <c r="F93" s="3"/>
      <c r="G93" s="151" t="s">
        <v>255</v>
      </c>
      <c r="H93" s="4"/>
      <c r="I93" s="406">
        <v>98.490373618004185</v>
      </c>
      <c r="J93" s="390" t="s">
        <v>143</v>
      </c>
      <c r="K93" s="4"/>
      <c r="L93" s="4"/>
      <c r="M93" s="4"/>
      <c r="N93" s="137"/>
    </row>
    <row r="94" spans="1:14" s="104" customFormat="1" ht="8.25" customHeight="1" x14ac:dyDescent="0.25">
      <c r="A94" s="133"/>
      <c r="B94" s="136"/>
      <c r="C94" s="3"/>
      <c r="D94" s="3"/>
      <c r="E94" s="295"/>
      <c r="F94" s="3"/>
      <c r="G94" s="4"/>
      <c r="H94" s="4"/>
      <c r="I94" s="35"/>
      <c r="J94" s="4"/>
      <c r="K94" s="4"/>
      <c r="L94" s="4"/>
      <c r="M94" s="4"/>
      <c r="N94" s="137"/>
    </row>
    <row r="95" spans="1:14" s="104" customFormat="1" x14ac:dyDescent="0.25">
      <c r="A95" s="133"/>
      <c r="B95" s="136"/>
      <c r="C95" s="3"/>
      <c r="D95" s="3"/>
      <c r="E95" s="295"/>
      <c r="F95" s="3"/>
      <c r="G95" s="151" t="s">
        <v>256</v>
      </c>
      <c r="H95" s="4"/>
      <c r="I95" s="406" t="s">
        <v>131</v>
      </c>
      <c r="J95" s="390" t="s">
        <v>358</v>
      </c>
      <c r="K95" s="4"/>
      <c r="L95" s="4"/>
      <c r="M95" s="4"/>
      <c r="N95" s="137"/>
    </row>
    <row r="96" spans="1:14" s="104" customFormat="1" ht="8.25" customHeight="1" x14ac:dyDescent="0.25">
      <c r="A96" s="133"/>
      <c r="B96" s="136"/>
      <c r="C96" s="3"/>
      <c r="D96" s="3"/>
      <c r="E96" s="295"/>
      <c r="F96" s="3"/>
      <c r="G96" s="4"/>
      <c r="H96" s="4"/>
      <c r="I96" s="35"/>
      <c r="J96" s="4"/>
      <c r="K96" s="4"/>
      <c r="L96" s="4"/>
      <c r="M96" s="4"/>
      <c r="N96" s="137"/>
    </row>
    <row r="97" spans="1:16" s="104" customFormat="1" x14ac:dyDescent="0.25">
      <c r="A97" s="133"/>
      <c r="B97" s="136"/>
      <c r="C97" s="3"/>
      <c r="D97" s="3"/>
      <c r="E97" s="295"/>
      <c r="F97" s="3"/>
      <c r="G97" s="151" t="s">
        <v>144</v>
      </c>
      <c r="H97" s="4"/>
      <c r="I97" s="116">
        <v>1.7907340657818942</v>
      </c>
      <c r="J97" s="390" t="s">
        <v>145</v>
      </c>
      <c r="K97" s="4"/>
      <c r="L97" s="4"/>
      <c r="M97" s="4"/>
      <c r="N97" s="137"/>
    </row>
    <row r="98" spans="1:16" s="104" customFormat="1" ht="8.25" customHeight="1" x14ac:dyDescent="0.25">
      <c r="A98" s="133"/>
      <c r="B98" s="136"/>
      <c r="C98" s="3"/>
      <c r="D98" s="3"/>
      <c r="E98" s="295"/>
      <c r="F98" s="3"/>
      <c r="G98" s="132"/>
      <c r="H98" s="4"/>
      <c r="I98" s="36"/>
      <c r="J98" s="4"/>
      <c r="K98" s="4"/>
      <c r="L98" s="4"/>
      <c r="M98" s="4"/>
      <c r="N98" s="137"/>
    </row>
    <row r="99" spans="1:16" s="104" customFormat="1" x14ac:dyDescent="0.25">
      <c r="A99" s="133"/>
      <c r="B99" s="136"/>
      <c r="C99" s="3"/>
      <c r="D99" s="3"/>
      <c r="E99" s="295"/>
      <c r="F99" s="3"/>
      <c r="G99" s="151" t="s">
        <v>199</v>
      </c>
      <c r="H99" s="4"/>
      <c r="I99" s="116">
        <v>2178.1519539999999</v>
      </c>
      <c r="J99" s="390" t="s">
        <v>146</v>
      </c>
      <c r="K99" s="4"/>
      <c r="L99" s="4"/>
      <c r="M99" s="236"/>
      <c r="N99" s="137"/>
    </row>
    <row r="100" spans="1:16" s="104" customFormat="1" ht="2.25" customHeight="1" x14ac:dyDescent="0.25">
      <c r="A100" s="133"/>
      <c r="B100" s="136"/>
      <c r="C100" s="3"/>
      <c r="D100" s="3"/>
      <c r="E100" s="3"/>
      <c r="F100" s="3"/>
      <c r="G100" s="3"/>
      <c r="H100" s="3"/>
      <c r="I100" s="3"/>
      <c r="J100" s="3"/>
      <c r="K100" s="3"/>
      <c r="L100" s="3"/>
      <c r="M100" s="3"/>
      <c r="N100" s="137"/>
    </row>
    <row r="101" spans="1:16" s="104" customFormat="1" ht="13.5" customHeight="1" x14ac:dyDescent="0.25">
      <c r="A101" s="133"/>
      <c r="B101" s="136"/>
      <c r="C101" s="740" t="s">
        <v>358</v>
      </c>
      <c r="D101" s="741"/>
      <c r="E101" s="741"/>
      <c r="F101" s="741"/>
      <c r="G101" s="741"/>
      <c r="H101" s="741"/>
      <c r="I101" s="741"/>
      <c r="J101" s="741"/>
      <c r="K101" s="741"/>
      <c r="L101" s="741"/>
      <c r="M101" s="741"/>
      <c r="N101" s="137"/>
    </row>
    <row r="102" spans="1:16" s="104" customFormat="1" ht="2.25" customHeight="1" x14ac:dyDescent="0.25">
      <c r="A102" s="133"/>
      <c r="B102" s="136"/>
      <c r="C102" s="471"/>
      <c r="D102" s="471"/>
      <c r="E102" s="471"/>
      <c r="F102" s="471"/>
      <c r="G102" s="471"/>
      <c r="H102" s="471"/>
      <c r="I102" s="471"/>
      <c r="J102" s="471"/>
      <c r="K102" s="471"/>
      <c r="L102" s="471"/>
      <c r="M102" s="471"/>
      <c r="N102" s="137"/>
    </row>
    <row r="103" spans="1:16" s="104" customFormat="1" ht="13.5" customHeight="1" x14ac:dyDescent="0.25">
      <c r="A103" s="133"/>
      <c r="B103" s="136"/>
      <c r="C103" s="472"/>
      <c r="D103" s="472"/>
      <c r="E103" s="472"/>
      <c r="F103" s="472"/>
      <c r="G103" s="473" t="s">
        <v>166</v>
      </c>
      <c r="H103" s="474"/>
      <c r="I103" s="116">
        <v>19697.599999999999</v>
      </c>
      <c r="J103" s="472" t="s">
        <v>146</v>
      </c>
      <c r="K103" s="474"/>
      <c r="L103" s="474"/>
      <c r="M103" s="474"/>
      <c r="N103" s="137"/>
    </row>
    <row r="104" spans="1:16" s="104" customFormat="1" ht="8.25" customHeight="1" x14ac:dyDescent="0.25">
      <c r="A104" s="133"/>
      <c r="B104" s="136"/>
      <c r="C104" s="471"/>
      <c r="D104" s="471"/>
      <c r="E104" s="471"/>
      <c r="F104" s="471"/>
      <c r="G104" s="471"/>
      <c r="H104" s="471"/>
      <c r="I104" s="471"/>
      <c r="J104" s="471"/>
      <c r="K104" s="471"/>
      <c r="L104" s="471"/>
      <c r="M104" s="471"/>
      <c r="N104" s="137"/>
    </row>
    <row r="105" spans="1:16" s="104" customFormat="1" ht="13.5" customHeight="1" x14ac:dyDescent="0.25">
      <c r="A105" s="133"/>
      <c r="B105" s="136"/>
      <c r="C105" s="537" t="s">
        <v>165</v>
      </c>
      <c r="D105" s="537"/>
      <c r="E105" s="537"/>
      <c r="F105" s="537"/>
      <c r="G105" s="537"/>
      <c r="H105" s="80"/>
      <c r="I105" s="247">
        <v>9.0432625528384047</v>
      </c>
      <c r="J105" s="4"/>
      <c r="K105" s="192"/>
      <c r="L105" s="4"/>
      <c r="M105" s="4"/>
      <c r="N105" s="137"/>
    </row>
    <row r="106" spans="1:16" s="104" customFormat="1" ht="8.25" customHeight="1" x14ac:dyDescent="0.25">
      <c r="A106" s="133"/>
      <c r="B106" s="136"/>
      <c r="C106" s="206"/>
      <c r="D106" s="206"/>
      <c r="E106" s="306"/>
      <c r="F106" s="206"/>
      <c r="G106" s="206"/>
      <c r="H106" s="4"/>
      <c r="I106" s="4"/>
      <c r="J106" s="4"/>
      <c r="K106" s="192"/>
      <c r="L106" s="4"/>
      <c r="M106" s="4"/>
      <c r="N106" s="137"/>
    </row>
    <row r="107" spans="1:16" s="104" customFormat="1" ht="19.5" customHeight="1" x14ac:dyDescent="0.25">
      <c r="A107" s="133"/>
      <c r="B107" s="136"/>
      <c r="C107" s="323" t="s">
        <v>441</v>
      </c>
      <c r="D107" s="206"/>
      <c r="E107" s="306"/>
      <c r="F107" s="206"/>
      <c r="G107" s="206"/>
      <c r="H107" s="4"/>
      <c r="I107" s="4"/>
      <c r="J107" s="4"/>
      <c r="K107" s="192"/>
      <c r="L107" s="4"/>
      <c r="M107" s="4"/>
      <c r="N107" s="137"/>
    </row>
    <row r="108" spans="1:16" s="338" customFormat="1" ht="21" customHeight="1" x14ac:dyDescent="0.25">
      <c r="A108" s="334"/>
      <c r="B108" s="136"/>
      <c r="C108" s="335" t="s">
        <v>539</v>
      </c>
      <c r="D108" s="206"/>
      <c r="E108" s="306"/>
      <c r="F108" s="206"/>
      <c r="G108" s="206"/>
      <c r="H108" s="244"/>
      <c r="I108" s="244"/>
      <c r="J108" s="244"/>
      <c r="K108" s="336"/>
      <c r="L108" s="244"/>
      <c r="M108" s="244"/>
      <c r="N108" s="337"/>
    </row>
    <row r="109" spans="1:16" s="338" customFormat="1" ht="2.25" customHeight="1" x14ac:dyDescent="0.25">
      <c r="A109" s="334"/>
      <c r="B109" s="136"/>
      <c r="C109" s="335"/>
      <c r="D109" s="206"/>
      <c r="E109" s="306"/>
      <c r="F109" s="206"/>
      <c r="G109" s="206"/>
      <c r="H109" s="244"/>
      <c r="I109" s="244"/>
      <c r="J109" s="244"/>
      <c r="K109" s="336"/>
      <c r="L109" s="244"/>
      <c r="M109" s="244"/>
      <c r="N109" s="337"/>
    </row>
    <row r="110" spans="1:16" s="329" customFormat="1" ht="22.5" customHeight="1" x14ac:dyDescent="0.25">
      <c r="A110" s="324"/>
      <c r="B110" s="136"/>
      <c r="C110" s="534" t="s">
        <v>558</v>
      </c>
      <c r="D110" s="535"/>
      <c r="E110" s="535"/>
      <c r="F110" s="535"/>
      <c r="G110" s="535"/>
      <c r="H110" s="535"/>
      <c r="I110" s="535"/>
      <c r="J110" s="535"/>
      <c r="K110" s="535"/>
      <c r="L110" s="535"/>
      <c r="M110" s="536"/>
      <c r="N110" s="328"/>
      <c r="P110" s="377">
        <v>0</v>
      </c>
    </row>
    <row r="111" spans="1:16" s="329" customFormat="1" ht="2.25" customHeight="1" x14ac:dyDescent="0.25">
      <c r="A111" s="324"/>
      <c r="B111" s="136"/>
      <c r="C111" s="325"/>
      <c r="D111" s="326"/>
      <c r="E111" s="306"/>
      <c r="F111" s="376"/>
      <c r="G111" s="326"/>
      <c r="H111" s="180"/>
      <c r="I111" s="180"/>
      <c r="J111" s="180"/>
      <c r="K111" s="327"/>
      <c r="L111" s="180"/>
      <c r="M111" s="180"/>
      <c r="N111" s="328"/>
      <c r="P111" s="377"/>
    </row>
    <row r="112" spans="1:16" s="329" customFormat="1" ht="19.5" customHeight="1" x14ac:dyDescent="0.25">
      <c r="A112" s="324"/>
      <c r="B112" s="136"/>
      <c r="C112" s="526" t="s">
        <v>416</v>
      </c>
      <c r="D112" s="526"/>
      <c r="E112" s="526"/>
      <c r="F112" s="526"/>
      <c r="G112" s="526"/>
      <c r="H112" s="526"/>
      <c r="I112" s="526"/>
      <c r="J112" s="526"/>
      <c r="K112" s="526"/>
      <c r="L112" s="526"/>
      <c r="M112" s="526"/>
      <c r="N112" s="328"/>
      <c r="P112" s="377"/>
    </row>
    <row r="113" spans="1:14" s="104" customFormat="1" ht="21.75" customHeight="1" x14ac:dyDescent="0.25">
      <c r="A113" s="133"/>
      <c r="B113" s="136"/>
      <c r="C113" s="475" t="s">
        <v>462</v>
      </c>
      <c r="D113" s="524"/>
      <c r="E113" s="525"/>
      <c r="F113" s="525"/>
      <c r="G113" s="525"/>
      <c r="H113" s="525"/>
      <c r="I113" s="525"/>
      <c r="J113" s="525"/>
      <c r="K113" s="525"/>
      <c r="L113" s="525"/>
      <c r="M113" s="525"/>
      <c r="N113" s="137"/>
    </row>
    <row r="114" spans="1:14" s="104" customFormat="1" ht="19.5" customHeight="1" x14ac:dyDescent="0.25">
      <c r="A114" s="133"/>
      <c r="B114" s="136"/>
      <c r="C114" s="742" t="s">
        <v>538</v>
      </c>
      <c r="D114" s="517"/>
      <c r="E114" s="517"/>
      <c r="F114" s="517"/>
      <c r="G114" s="517"/>
      <c r="H114" s="517"/>
      <c r="I114" s="517"/>
      <c r="J114" s="517"/>
      <c r="K114" s="517"/>
      <c r="L114" s="517"/>
      <c r="M114" s="517"/>
      <c r="N114" s="137"/>
    </row>
    <row r="115" spans="1:14" s="104" customFormat="1" ht="15" customHeight="1" x14ac:dyDescent="0.25">
      <c r="A115" s="133"/>
      <c r="B115" s="136"/>
      <c r="C115" s="476" t="s">
        <v>134</v>
      </c>
      <c r="D115" s="3"/>
      <c r="E115" s="295"/>
      <c r="F115" s="3"/>
      <c r="G115" s="4"/>
      <c r="H115" s="4"/>
      <c r="I115" s="4"/>
      <c r="J115" s="4"/>
      <c r="K115" s="4"/>
      <c r="L115" s="4"/>
      <c r="M115" s="4"/>
      <c r="N115" s="137"/>
    </row>
    <row r="116" spans="1:14" s="104" customFormat="1" ht="5.25" customHeight="1" x14ac:dyDescent="0.25">
      <c r="A116" s="133"/>
      <c r="B116" s="136"/>
      <c r="C116" s="189"/>
      <c r="D116" s="3"/>
      <c r="E116" s="295"/>
      <c r="F116" s="3"/>
      <c r="G116" s="4"/>
      <c r="H116" s="4"/>
      <c r="I116" s="4"/>
      <c r="J116" s="4"/>
      <c r="K116" s="4"/>
      <c r="L116" s="4"/>
      <c r="M116" s="4"/>
      <c r="N116" s="137"/>
    </row>
    <row r="117" spans="1:14" s="104" customFormat="1" ht="15" customHeight="1" x14ac:dyDescent="0.25">
      <c r="A117" s="133"/>
      <c r="B117" s="136"/>
      <c r="C117" s="476" t="s">
        <v>559</v>
      </c>
      <c r="D117" s="3"/>
      <c r="E117" s="295"/>
      <c r="F117" s="3"/>
      <c r="G117" s="4"/>
      <c r="H117" s="4"/>
      <c r="I117" s="4"/>
      <c r="J117" s="4"/>
      <c r="K117" s="4"/>
      <c r="L117" s="4"/>
      <c r="M117" s="4"/>
      <c r="N117" s="137"/>
    </row>
    <row r="118" spans="1:14" s="104" customFormat="1" ht="5.25" customHeight="1" x14ac:dyDescent="0.25">
      <c r="A118" s="133"/>
      <c r="B118" s="136"/>
      <c r="C118" s="189"/>
      <c r="D118" s="3"/>
      <c r="E118" s="295"/>
      <c r="F118" s="3"/>
      <c r="G118" s="4"/>
      <c r="H118" s="4"/>
      <c r="I118" s="4"/>
      <c r="J118" s="4"/>
      <c r="K118" s="4"/>
      <c r="L118" s="4"/>
      <c r="M118" s="4"/>
      <c r="N118" s="137"/>
    </row>
    <row r="119" spans="1:14" s="104" customFormat="1" ht="15" customHeight="1" x14ac:dyDescent="0.25">
      <c r="A119" s="133"/>
      <c r="B119" s="136"/>
      <c r="C119" s="476" t="s">
        <v>560</v>
      </c>
      <c r="D119" s="3"/>
      <c r="E119" s="295"/>
      <c r="F119" s="3"/>
      <c r="G119" s="4"/>
      <c r="H119" s="4"/>
      <c r="I119" s="4"/>
      <c r="J119" s="4"/>
      <c r="K119" s="4"/>
      <c r="L119" s="4"/>
      <c r="M119" s="4"/>
      <c r="N119" s="137"/>
    </row>
    <row r="120" spans="1:14" s="104" customFormat="1" ht="14.25" customHeight="1" thickBot="1" x14ac:dyDescent="0.3">
      <c r="A120" s="133"/>
      <c r="B120" s="159"/>
      <c r="C120" s="330"/>
      <c r="D120" s="331"/>
      <c r="E120" s="332"/>
      <c r="F120" s="331"/>
      <c r="G120" s="160"/>
      <c r="H120" s="160"/>
      <c r="I120" s="160"/>
      <c r="J120" s="160"/>
      <c r="K120" s="160"/>
      <c r="L120" s="160"/>
      <c r="M120" s="160"/>
      <c r="N120" s="161"/>
    </row>
    <row r="123" spans="1:14" hidden="1" x14ac:dyDescent="0.25">
      <c r="G123" s="193"/>
      <c r="H123" s="193"/>
      <c r="I123" s="193"/>
    </row>
    <row r="152" ht="7.5" customHeight="1" thickTop="1" x14ac:dyDescent="0.25"/>
  </sheetData>
  <sheetProtection password="E218" sheet="1" objects="1" scenarios="1" selectLockedCells="1" selectUnlockedCells="1"/>
  <mergeCells count="27">
    <mergeCell ref="I75:K75"/>
    <mergeCell ref="C101:M101"/>
    <mergeCell ref="D113:M113"/>
    <mergeCell ref="C112:M112"/>
    <mergeCell ref="C114:M114"/>
    <mergeCell ref="C110:M110"/>
    <mergeCell ref="C105:G105"/>
    <mergeCell ref="K15:M15"/>
    <mergeCell ref="C40:J40"/>
    <mergeCell ref="C49:J49"/>
    <mergeCell ref="C69:J69"/>
    <mergeCell ref="C78:L78"/>
    <mergeCell ref="J65:M66"/>
    <mergeCell ref="C45:J45"/>
    <mergeCell ref="L42:M42"/>
    <mergeCell ref="L44:M51"/>
    <mergeCell ref="L75:M75"/>
    <mergeCell ref="L38:M38"/>
    <mergeCell ref="C28:J28"/>
    <mergeCell ref="K35:K36"/>
    <mergeCell ref="L26:M26"/>
    <mergeCell ref="B2:J2"/>
    <mergeCell ref="C7:M8"/>
    <mergeCell ref="D5:E5"/>
    <mergeCell ref="I15:J15"/>
    <mergeCell ref="G5:H5"/>
    <mergeCell ref="D12:I12"/>
  </mergeCells>
  <phoneticPr fontId="0" type="noConversion"/>
  <conditionalFormatting sqref="C9:M9">
    <cfRule type="expression" dxfId="83" priority="1" stopIfTrue="1">
      <formula>E14=""=TRUE</formula>
    </cfRule>
  </conditionalFormatting>
  <conditionalFormatting sqref="C32">
    <cfRule type="expression" dxfId="82" priority="2" stopIfTrue="1">
      <formula>AND(G30&gt;=G19,(G30&lt;&gt;0))</formula>
    </cfRule>
  </conditionalFormatting>
  <conditionalFormatting sqref="D32">
    <cfRule type="expression" dxfId="81" priority="3" stopIfTrue="1">
      <formula>AND(G30&gt;=G19,(G30&lt;&gt;0))</formula>
    </cfRule>
  </conditionalFormatting>
  <conditionalFormatting sqref="F32">
    <cfRule type="expression" dxfId="80" priority="4" stopIfTrue="1">
      <formula>AND(G30&gt;=G19,(G30&lt;&gt;0))</formula>
    </cfRule>
  </conditionalFormatting>
  <conditionalFormatting sqref="G32">
    <cfRule type="expression" dxfId="79" priority="5" stopIfTrue="1">
      <formula>AND(G30&gt;=G19,(G30&lt;&gt;0))</formula>
    </cfRule>
  </conditionalFormatting>
  <conditionalFormatting sqref="H32">
    <cfRule type="expression" dxfId="78" priority="6" stopIfTrue="1">
      <formula>AND(G30&gt;=G19,(G30&lt;&gt;0))</formula>
    </cfRule>
  </conditionalFormatting>
  <conditionalFormatting sqref="J32">
    <cfRule type="expression" dxfId="77" priority="7" stopIfTrue="1">
      <formula>AND(G30&gt;=G19,(G30&lt;&gt;0))</formula>
    </cfRule>
  </conditionalFormatting>
  <conditionalFormatting sqref="I32">
    <cfRule type="expression" dxfId="76" priority="8" stopIfTrue="1">
      <formula>AND(G30&gt;=G19,(G30&lt;&gt;0))</formula>
    </cfRule>
  </conditionalFormatting>
  <conditionalFormatting sqref="E32">
    <cfRule type="expression" dxfId="75" priority="9" stopIfTrue="1">
      <formula>AND(G30&gt;=G19,(G30&lt;&gt;0))</formula>
    </cfRule>
  </conditionalFormatting>
  <conditionalFormatting sqref="F111">
    <cfRule type="expression" dxfId="74" priority="10" stopIfTrue="1">
      <formula>"B106=0"</formula>
    </cfRule>
  </conditionalFormatting>
  <conditionalFormatting sqref="A110:A112 N110:IV112 D111 G111:M111">
    <cfRule type="expression" dxfId="73" priority="11" stopIfTrue="1">
      <formula>"M22=0"</formula>
    </cfRule>
  </conditionalFormatting>
  <conditionalFormatting sqref="G35 G42 G38 G30 G23:G26">
    <cfRule type="cellIs" dxfId="72" priority="12" stopIfTrue="1" operator="greaterThan">
      <formula>$G$19</formula>
    </cfRule>
  </conditionalFormatting>
  <conditionalFormatting sqref="G47">
    <cfRule type="cellIs" dxfId="71" priority="13" stopIfTrue="1" operator="greaterThan">
      <formula>$G$35</formula>
    </cfRule>
  </conditionalFormatting>
  <conditionalFormatting sqref="L38">
    <cfRule type="expression" dxfId="70" priority="14" stopIfTrue="1">
      <formula>$P$38=1</formula>
    </cfRule>
  </conditionalFormatting>
  <conditionalFormatting sqref="L42:M42">
    <cfRule type="expression" dxfId="69" priority="15" stopIfTrue="1">
      <formula>$P$42=1</formula>
    </cfRule>
  </conditionalFormatting>
  <conditionalFormatting sqref="J38">
    <cfRule type="expression" dxfId="68" priority="16" stopIfTrue="1">
      <formula>$P$38=2</formula>
    </cfRule>
  </conditionalFormatting>
  <conditionalFormatting sqref="G41">
    <cfRule type="expression" dxfId="67" priority="17" stopIfTrue="1">
      <formula>$P$38=2</formula>
    </cfRule>
  </conditionalFormatting>
  <conditionalFormatting sqref="F29">
    <cfRule type="expression" dxfId="66" priority="18" stopIfTrue="1">
      <formula>$P$26=2</formula>
    </cfRule>
  </conditionalFormatting>
  <conditionalFormatting sqref="L26">
    <cfRule type="expression" dxfId="65" priority="19" stopIfTrue="1">
      <formula>$P$26=1</formula>
    </cfRule>
  </conditionalFormatting>
  <conditionalFormatting sqref="J26">
    <cfRule type="expression" dxfId="64" priority="20" stopIfTrue="1">
      <formula>$P$26=2</formula>
    </cfRule>
  </conditionalFormatting>
  <conditionalFormatting sqref="C49:J49">
    <cfRule type="expression" dxfId="63" priority="21" stopIfTrue="1">
      <formula>AND($G$47&gt;=$G$35,($G$47&lt;&gt;0))</formula>
    </cfRule>
  </conditionalFormatting>
  <conditionalFormatting sqref="C69:J69">
    <cfRule type="expression" dxfId="62" priority="22" stopIfTrue="1">
      <formula>OR(AND(NOT(ISBLANK($G$67)),$P$69=1,$G$67&lt;=25),AND(NOT(ISBLANK($G$67)),$P$69&lt;&gt;1,$G$67&lt;=40))</formula>
    </cfRule>
  </conditionalFormatting>
  <conditionalFormatting sqref="C78:L78">
    <cfRule type="expression" dxfId="61" priority="23" stopIfTrue="1">
      <formula>$P$78=1</formula>
    </cfRule>
  </conditionalFormatting>
  <conditionalFormatting sqref="C28:J28">
    <cfRule type="expression" dxfId="60" priority="24" stopIfTrue="1">
      <formula>AND($P$26=2,$L$26&gt;0.125*$G$19)</formula>
    </cfRule>
    <cfRule type="expression" dxfId="59" priority="25" stopIfTrue="1">
      <formula>$P$26=1</formula>
    </cfRule>
    <cfRule type="expression" dxfId="58" priority="26" stopIfTrue="1">
      <formula>AND($P$26=2,$L$26=0)</formula>
    </cfRule>
  </conditionalFormatting>
  <conditionalFormatting sqref="C40:J40">
    <cfRule type="expression" dxfId="57" priority="27" stopIfTrue="1">
      <formula>AND($P$38=2,$L$38&gt;0.025*$G$19)</formula>
    </cfRule>
    <cfRule type="expression" dxfId="56" priority="28" stopIfTrue="1">
      <formula>$P$38=1</formula>
    </cfRule>
    <cfRule type="expression" dxfId="55" priority="29" stopIfTrue="1">
      <formula>AND($P$38=2,$L$38=0)</formula>
    </cfRule>
  </conditionalFormatting>
  <conditionalFormatting sqref="L75:M75">
    <cfRule type="expression" dxfId="54" priority="30" stopIfTrue="1">
      <formula>AND(NOT(ISBLANK($G$75)),ISBLANK($I$75))</formula>
    </cfRule>
  </conditionalFormatting>
  <conditionalFormatting sqref="C101:M101">
    <cfRule type="expression" dxfId="53" priority="31" stopIfTrue="1">
      <formula>$I$99="Not Valid"</formula>
    </cfRule>
  </conditionalFormatting>
  <conditionalFormatting sqref="E26">
    <cfRule type="expression" dxfId="52" priority="32" stopIfTrue="1">
      <formula>P26=1</formula>
    </cfRule>
    <cfRule type="expression" dxfId="51" priority="33" stopIfTrue="1">
      <formula>AND(P26=2,ISBLANK(L26))</formula>
    </cfRule>
  </conditionalFormatting>
  <conditionalFormatting sqref="J42">
    <cfRule type="expression" dxfId="50" priority="34" stopIfTrue="1">
      <formula>$P$42=2</formula>
    </cfRule>
    <cfRule type="expression" dxfId="49" priority="35" stopIfTrue="1">
      <formula>AND($P$42=1,ISBLANK(J42))</formula>
    </cfRule>
  </conditionalFormatting>
  <conditionalFormatting sqref="L44:M51">
    <cfRule type="expression" dxfId="48" priority="36" stopIfTrue="1">
      <formula>AND($P$42=1,ISBLANK($J$42))</formula>
    </cfRule>
  </conditionalFormatting>
  <conditionalFormatting sqref="K15:M15">
    <cfRule type="expression" dxfId="47" priority="37" stopIfTrue="1">
      <formula>AND(NOT(ISBLANK($G$15)),$G$15&gt;0,ISBLANK($I$15))</formula>
    </cfRule>
  </conditionalFormatting>
  <conditionalFormatting sqref="I15:J15">
    <cfRule type="expression" dxfId="46" priority="38" stopIfTrue="1">
      <formula>AND(NOT(ISBLANK(G15)),G15&gt;0,ISBLANK(I15))</formula>
    </cfRule>
  </conditionalFormatting>
  <conditionalFormatting sqref="E38">
    <cfRule type="expression" dxfId="45" priority="39" stopIfTrue="1">
      <formula>P38=1</formula>
    </cfRule>
    <cfRule type="expression" dxfId="44" priority="40" stopIfTrue="1">
      <formula>AND($P$38=2,$L$38=0)</formula>
    </cfRule>
  </conditionalFormatting>
  <conditionalFormatting sqref="E43">
    <cfRule type="expression" dxfId="43" priority="41" stopIfTrue="1">
      <formula>AND($G$43=0,$G$43&lt;&gt;"")</formula>
    </cfRule>
  </conditionalFormatting>
  <conditionalFormatting sqref="C45:J45">
    <cfRule type="expression" dxfId="42" priority="42" stopIfTrue="1">
      <formula>AND(NOT($E$43="n/a"),OR(ISBLANK($G$43),$G$43=0),$G$19&lt;&gt;0)</formula>
    </cfRule>
  </conditionalFormatting>
  <dataValidations xWindow="926" yWindow="772" count="14">
    <dataValidation type="decimal" operator="lessThanOrEqual" allowBlank="1" showInputMessage="1" showErrorMessage="1" errorTitle="WARNING: Please check this value" error="Unbilled unmetered consumption cannont be greater than Total System Input Volume. Please check the input value and try again." sqref="G29:H29" xr:uid="{88A6F1CF-3A0A-4FBD-8550-822ED93250E4}">
      <formula1>G25</formula1>
    </dataValidation>
    <dataValidation type="decimal" operator="lessThanOrEqual" allowBlank="1" showInputMessage="1" showErrorMessage="1" errorTitle="WARNING: Please check this value" error="Billed metered consumption cannont be greater than Total System Input Volume. Please check the input value and try again." sqref="G18" xr:uid="{3192B9C5-68E0-4373-961B-2BC38F6EB585}">
      <formula1>G11</formula1>
    </dataValidation>
    <dataValidation type="list" allowBlank="1" showInputMessage="1" showErrorMessage="1" errorTitle="Cost Data Units" error="You have not entered a valid option - please select from the drop down list" promptTitle="Cost Data Units" prompt="Please select the preferred reporting units from the drop down list" sqref="I75:K75" xr:uid="{85190B02-2BF0-47BA-A9EB-51148B393A1D}">
      <formula1>"$/1000 gallons (US),$/1000 litres,$/100 cubic feet (ccf)"</formula1>
    </dataValidation>
    <dataValidation type="decimal" errorStyle="warning" operator="greaterThan" allowBlank="1" showErrorMessage="1" errorTitle="Customer Metering Inaccuracies" error="You tried to enter a zero value - this is only a valid value if the entire customer base is unmetered." sqref="L42:M42 H65" xr:uid="{2F821889-D637-4288-B467-8D5766186A21}">
      <formula1>0</formula1>
    </dataValidation>
    <dataValidation type="decimal" operator="lessThan" allowBlank="1" showInputMessage="1" showErrorMessage="1" errorTitle="Customer Metering Inaccuracies" error="Only values less than 10% are accepted. If you want to use a value of 10% or greater, calculate the equivalent quantity and enter as using the &quot;value&quot; option." sqref="J42" xr:uid="{07EA58B8-6C7B-4504-BF0F-7A21ACAA1D14}">
      <formula1>0.1</formula1>
    </dataValidation>
    <dataValidation type="decimal" operator="greaterThan" allowBlank="1" showErrorMessage="1" errorTitle="Unauthorized Consumption" error="You cannot enter a zero or negative value. Use the default percentage if you are unsure of actual unauthorized consumption" promptTitle="Unbilled Unmetered Losses" prompt="Use the default percentage" sqref="L38:M38" xr:uid="{B2B4A631-F414-4666-BB10-BF7D22C33606}">
      <formula1>0</formula1>
    </dataValidation>
    <dataValidation type="list" allowBlank="1" showInputMessage="1" showErrorMessage="1" promptTitle="Master meter error adjustment" prompt="If a meter adjustment has been entered, please select if the meter has under-registered or over-registered by this amount." sqref="I15:J15" xr:uid="{E016709C-C4C8-45E2-A7C3-823935C35EBA}">
      <formula1>"under-registered,over-registered"</formula1>
    </dataValidation>
    <dataValidation type="decimal" operator="greaterThan" allowBlank="1" showErrorMessage="1" errorTitle="Unbilled Unmetered Consumption" error="You cannot enter a zero or negative value. Use the default percentage if you are unsure of actual unbilled unmetered consumption" promptTitle="Unbilled Unmetered Losses" prompt="Use the default percentage" sqref="L26:M26" xr:uid="{E6AC6BB9-3A5E-49AC-BC94-C7F6A189606A}">
      <formula1>0</formula1>
    </dataValidation>
    <dataValidation type="list" allowBlank="1" showInputMessage="1" showErrorMessage="1" errorTitle="Component Grading" error="Please restrict your entry to 0 - 10. See the comment box attached to this cell or Grading Matrix worksheet for more information" sqref="E14:E17 E23:E25 E42" xr:uid="{AB628E7F-61CD-45D6-AE04-4E06B4EC14C5}">
      <formula1>"n/a,1,2,3,4,5,6,7,8,9,10"</formula1>
    </dataValidation>
    <dataValidation type="list" allowBlank="1" showInputMessage="1" showErrorMessage="1" errorTitle="Component Grading" error="Please restrict your entry to 0 - 10. See the comment box attached to this cell or Grading Matrix worksheet for more information" sqref="E26 E38 E62:E63 E67 E43 E65 E74:E76" xr:uid="{4A78E417-F807-4D26-9E0C-C9212DADCC92}">
      <formula1>"1,2,3,4,5,6,7,8,9,10"</formula1>
    </dataValidation>
    <dataValidation type="decimal" operator="greaterThanOrEqual" allowBlank="1" showErrorMessage="1" errorTitle="Data Validation" error="Enter a numerical value greater than or equal to zero" promptTitle="Data Validation" prompt="Enter a numerical value greater than or equal to zero" sqref="G14:G17 G23:G25 G62:G63 G74:G76" xr:uid="{DBD545A0-976F-4067-A5BD-68F9B4CCF892}">
      <formula1>0</formula1>
    </dataValidation>
    <dataValidation type="decimal" operator="greaterThan" allowBlank="1" showErrorMessage="1" errorTitle="Data Validation" error="Enter a numerical value" promptTitle="Data Validation" prompt="Enter a numerical value greater than or equal to zero" sqref="G43" xr:uid="{1C903713-54AB-4E7B-B47D-8ED41F6C985C}">
      <formula1>-1E+25</formula1>
    </dataValidation>
    <dataValidation type="decimal" errorStyle="warning" operator="lessThanOrEqual" allowBlank="1" showErrorMessage="1" errorTitle="Customer Service Lines" error="The value you entered is greater than an assumed maximum reasonable value." sqref="G65" xr:uid="{4D03F641-C6A9-4718-972A-33CD8BFC17D5}">
      <formula1>100</formula1>
    </dataValidation>
    <dataValidation type="decimal" errorStyle="warning" operator="lessThanOrEqual" allowBlank="1" showErrorMessage="1" errorTitle="Average Operating Pressure" error="The value you entered is greater than an assumed maximum reasonable value." sqref="G67" xr:uid="{761BF416-8656-4A52-9147-A10ED195B884}">
      <formula1>200</formula1>
    </dataValidation>
  </dataValidations>
  <printOptions horizontalCentered="1" verticalCentered="1" gridLines="1"/>
  <pageMargins left="0.36" right="0.37" top="0.49" bottom="0.42" header="0.22" footer="0.22"/>
  <pageSetup scale="56" orientation="portrait" horizontalDpi="1200" r:id="rId1"/>
  <headerFooter alignWithMargins="0">
    <oddFooter>&amp;CAWWA Water Loss Control Committee&amp;R&amp;A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32803" r:id="rId4" name="Group Box 35">
              <controlPr defaultSize="0" autoFill="0" autoPict="0">
                <anchor moveWithCells="1" sizeWithCells="1">
                  <from>
                    <xdr:col>10</xdr:col>
                    <xdr:colOff>9525</xdr:colOff>
                    <xdr:row>25</xdr:row>
                    <xdr:rowOff>0</xdr:rowOff>
                  </from>
                  <to>
                    <xdr:col>10</xdr:col>
                    <xdr:colOff>590550</xdr:colOff>
                    <xdr:row>26</xdr:row>
                    <xdr:rowOff>0</xdr:rowOff>
                  </to>
                </anchor>
              </controlPr>
            </control>
          </mc:Choice>
        </mc:AlternateContent>
        <mc:AlternateContent xmlns:mc="http://schemas.openxmlformats.org/markup-compatibility/2006">
          <mc:Choice Requires="x14">
            <control shapeId="32804" r:id="rId5" name="Option Button 36">
              <controlPr defaultSize="0" autoFill="0" autoLine="0" autoPict="0">
                <anchor moveWithCells="1" sizeWithCells="1">
                  <from>
                    <xdr:col>10</xdr:col>
                    <xdr:colOff>57150</xdr:colOff>
                    <xdr:row>25</xdr:row>
                    <xdr:rowOff>28575</xdr:rowOff>
                  </from>
                  <to>
                    <xdr:col>10</xdr:col>
                    <xdr:colOff>342900</xdr:colOff>
                    <xdr:row>25</xdr:row>
                    <xdr:rowOff>180975</xdr:rowOff>
                  </to>
                </anchor>
              </controlPr>
            </control>
          </mc:Choice>
        </mc:AlternateContent>
        <mc:AlternateContent xmlns:mc="http://schemas.openxmlformats.org/markup-compatibility/2006">
          <mc:Choice Requires="x14">
            <control shapeId="32805" r:id="rId6" name="Option Button 37">
              <controlPr defaultSize="0" autoFill="0" autoLine="0" autoPict="0">
                <anchor moveWithCells="1" sizeWithCells="1">
                  <from>
                    <xdr:col>10</xdr:col>
                    <xdr:colOff>304800</xdr:colOff>
                    <xdr:row>25</xdr:row>
                    <xdr:rowOff>28575</xdr:rowOff>
                  </from>
                  <to>
                    <xdr:col>10</xdr:col>
                    <xdr:colOff>590550</xdr:colOff>
                    <xdr:row>25</xdr:row>
                    <xdr:rowOff>180975</xdr:rowOff>
                  </to>
                </anchor>
              </controlPr>
            </control>
          </mc:Choice>
        </mc:AlternateContent>
        <mc:AlternateContent xmlns:mc="http://schemas.openxmlformats.org/markup-compatibility/2006">
          <mc:Choice Requires="x14">
            <control shapeId="32799" r:id="rId7" name="Group Box 31">
              <controlPr defaultSize="0" autoFill="0" autoPict="0">
                <anchor moveWithCells="1" sizeWithCells="1">
                  <from>
                    <xdr:col>10</xdr:col>
                    <xdr:colOff>9525</xdr:colOff>
                    <xdr:row>41</xdr:row>
                    <xdr:rowOff>0</xdr:rowOff>
                  </from>
                  <to>
                    <xdr:col>10</xdr:col>
                    <xdr:colOff>590550</xdr:colOff>
                    <xdr:row>42</xdr:row>
                    <xdr:rowOff>0</xdr:rowOff>
                  </to>
                </anchor>
              </controlPr>
            </control>
          </mc:Choice>
        </mc:AlternateContent>
        <mc:AlternateContent xmlns:mc="http://schemas.openxmlformats.org/markup-compatibility/2006">
          <mc:Choice Requires="x14">
            <control shapeId="32800" r:id="rId8" name="Option Button 32">
              <controlPr defaultSize="0" autoFill="0" autoLine="0" autoPict="0">
                <anchor moveWithCells="1" sizeWithCells="1">
                  <from>
                    <xdr:col>10</xdr:col>
                    <xdr:colOff>57150</xdr:colOff>
                    <xdr:row>41</xdr:row>
                    <xdr:rowOff>28575</xdr:rowOff>
                  </from>
                  <to>
                    <xdr:col>10</xdr:col>
                    <xdr:colOff>342900</xdr:colOff>
                    <xdr:row>41</xdr:row>
                    <xdr:rowOff>180975</xdr:rowOff>
                  </to>
                </anchor>
              </controlPr>
            </control>
          </mc:Choice>
        </mc:AlternateContent>
        <mc:AlternateContent xmlns:mc="http://schemas.openxmlformats.org/markup-compatibility/2006">
          <mc:Choice Requires="x14">
            <control shapeId="32801" r:id="rId9" name="Option Button 33">
              <controlPr defaultSize="0" autoFill="0" autoLine="0" autoPict="0">
                <anchor moveWithCells="1" sizeWithCells="1">
                  <from>
                    <xdr:col>10</xdr:col>
                    <xdr:colOff>304800</xdr:colOff>
                    <xdr:row>41</xdr:row>
                    <xdr:rowOff>28575</xdr:rowOff>
                  </from>
                  <to>
                    <xdr:col>10</xdr:col>
                    <xdr:colOff>590550</xdr:colOff>
                    <xdr:row>41</xdr:row>
                    <xdr:rowOff>180975</xdr:rowOff>
                  </to>
                </anchor>
              </controlPr>
            </control>
          </mc:Choice>
        </mc:AlternateContent>
        <mc:AlternateContent xmlns:mc="http://schemas.openxmlformats.org/markup-compatibility/2006">
          <mc:Choice Requires="x14">
            <control shapeId="32795" r:id="rId10" name="Group Box 27">
              <controlPr defaultSize="0" autoFill="0" autoPict="0">
                <anchor moveWithCells="1" sizeWithCells="1">
                  <from>
                    <xdr:col>10</xdr:col>
                    <xdr:colOff>9525</xdr:colOff>
                    <xdr:row>37</xdr:row>
                    <xdr:rowOff>0</xdr:rowOff>
                  </from>
                  <to>
                    <xdr:col>10</xdr:col>
                    <xdr:colOff>590550</xdr:colOff>
                    <xdr:row>38</xdr:row>
                    <xdr:rowOff>0</xdr:rowOff>
                  </to>
                </anchor>
              </controlPr>
            </control>
          </mc:Choice>
        </mc:AlternateContent>
        <mc:AlternateContent xmlns:mc="http://schemas.openxmlformats.org/markup-compatibility/2006">
          <mc:Choice Requires="x14">
            <control shapeId="32796" r:id="rId11" name="Option Button 28">
              <controlPr defaultSize="0" autoFill="0" autoLine="0" autoPict="0">
                <anchor moveWithCells="1" sizeWithCells="1">
                  <from>
                    <xdr:col>10</xdr:col>
                    <xdr:colOff>57150</xdr:colOff>
                    <xdr:row>37</xdr:row>
                    <xdr:rowOff>28575</xdr:rowOff>
                  </from>
                  <to>
                    <xdr:col>10</xdr:col>
                    <xdr:colOff>342900</xdr:colOff>
                    <xdr:row>37</xdr:row>
                    <xdr:rowOff>180975</xdr:rowOff>
                  </to>
                </anchor>
              </controlPr>
            </control>
          </mc:Choice>
        </mc:AlternateContent>
        <mc:AlternateContent xmlns:mc="http://schemas.openxmlformats.org/markup-compatibility/2006">
          <mc:Choice Requires="x14">
            <control shapeId="32797" r:id="rId12" name="Option Button 29">
              <controlPr defaultSize="0" autoFill="0" autoLine="0" autoPict="0">
                <anchor moveWithCells="1" sizeWithCells="1">
                  <from>
                    <xdr:col>10</xdr:col>
                    <xdr:colOff>304800</xdr:colOff>
                    <xdr:row>37</xdr:row>
                    <xdr:rowOff>28575</xdr:rowOff>
                  </from>
                  <to>
                    <xdr:col>10</xdr:col>
                    <xdr:colOff>590550</xdr:colOff>
                    <xdr:row>37</xdr:row>
                    <xdr:rowOff>180975</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60B7A-E36F-444D-A8CF-A296B43ECEA2}">
  <sheetPr codeName="Sheet13">
    <tabColor indexed="43"/>
    <pageSetUpPr fitToPage="1"/>
  </sheetPr>
  <dimension ref="A1:Q152"/>
  <sheetViews>
    <sheetView showGridLines="0" workbookViewId="0">
      <pane ySplit="6" topLeftCell="A46" activePane="bottomLeft" state="frozen"/>
      <selection activeCell="K26" sqref="K26"/>
      <selection pane="bottomLeft" activeCell="B2" sqref="B2:J2"/>
    </sheetView>
  </sheetViews>
  <sheetFormatPr defaultColWidth="0" defaultRowHeight="13.5" zeroHeight="1" x14ac:dyDescent="0.25"/>
  <cols>
    <col min="1" max="1" width="0.7109375" style="39" customWidth="1"/>
    <col min="2" max="2" width="1.85546875" style="39" customWidth="1"/>
    <col min="3" max="3" width="57.85546875" style="39" customWidth="1"/>
    <col min="4" max="4" width="6.28515625" style="39" customWidth="1"/>
    <col min="5" max="5" width="3.5703125" style="307" customWidth="1"/>
    <col min="6" max="6" width="0.7109375" style="39" customWidth="1"/>
    <col min="7" max="7" width="17.85546875" style="39" customWidth="1"/>
    <col min="8" max="8" width="1" style="39" customWidth="1"/>
    <col min="9" max="9" width="21" style="39" customWidth="1"/>
    <col min="10" max="10" width="6.42578125" style="39" customWidth="1"/>
    <col min="11" max="11" width="9" style="39" customWidth="1"/>
    <col min="12" max="12" width="8" style="39" customWidth="1"/>
    <col min="13" max="13" width="10.85546875" style="39" customWidth="1"/>
    <col min="14" max="14" width="2.85546875" style="39" customWidth="1"/>
    <col min="15" max="15" width="2.140625" style="39" customWidth="1"/>
    <col min="16" max="16" width="3.85546875" style="39" hidden="1" customWidth="1"/>
    <col min="17" max="16384" width="0" style="39" hidden="1"/>
  </cols>
  <sheetData>
    <row r="1" spans="1:16" s="133" customFormat="1" ht="6.75" customHeight="1" thickBot="1" x14ac:dyDescent="0.3">
      <c r="A1" s="133">
        <v>0</v>
      </c>
      <c r="E1" s="294"/>
    </row>
    <row r="2" spans="1:16" s="104" customFormat="1" ht="37.5" customHeight="1" thickTop="1" thickBot="1" x14ac:dyDescent="0.3">
      <c r="A2" s="133"/>
      <c r="B2" s="499" t="s">
        <v>41</v>
      </c>
      <c r="C2" s="500"/>
      <c r="D2" s="500"/>
      <c r="E2" s="500"/>
      <c r="F2" s="500"/>
      <c r="G2" s="500"/>
      <c r="H2" s="500"/>
      <c r="I2" s="500"/>
      <c r="J2" s="500"/>
      <c r="K2" s="163"/>
      <c r="L2" s="163"/>
      <c r="M2" s="163"/>
      <c r="N2" s="164"/>
    </row>
    <row r="3" spans="1:16" s="104" customFormat="1" ht="8.25" customHeight="1" thickTop="1" x14ac:dyDescent="0.35">
      <c r="A3" s="133"/>
      <c r="B3" s="136"/>
      <c r="C3" s="165"/>
      <c r="D3" s="3"/>
      <c r="E3" s="295"/>
      <c r="F3" s="3"/>
      <c r="G3" s="4"/>
      <c r="H3" s="4"/>
      <c r="I3" s="4"/>
      <c r="J3" s="4"/>
      <c r="K3" s="4"/>
      <c r="L3" s="4"/>
      <c r="M3" s="4"/>
      <c r="N3" s="137"/>
    </row>
    <row r="4" spans="1:16" s="104" customFormat="1" x14ac:dyDescent="0.25">
      <c r="A4" s="133"/>
      <c r="B4" s="136"/>
      <c r="C4" s="166" t="s">
        <v>403</v>
      </c>
      <c r="D4" s="167" t="s">
        <v>15</v>
      </c>
      <c r="E4" s="296"/>
      <c r="F4" s="168"/>
      <c r="G4" s="146"/>
      <c r="H4" s="146"/>
      <c r="I4" s="146"/>
      <c r="J4" s="146"/>
      <c r="K4" s="169"/>
      <c r="L4" s="4"/>
      <c r="M4" s="4"/>
      <c r="N4" s="137"/>
    </row>
    <row r="5" spans="1:16" s="104" customFormat="1" x14ac:dyDescent="0.25">
      <c r="A5" s="133"/>
      <c r="B5" s="136"/>
      <c r="C5" s="170" t="s">
        <v>404</v>
      </c>
      <c r="D5" s="726">
        <v>2008</v>
      </c>
      <c r="E5" s="727"/>
      <c r="F5" s="171"/>
      <c r="G5" s="730" t="s">
        <v>430</v>
      </c>
      <c r="H5" s="731"/>
      <c r="I5" s="172"/>
      <c r="J5" s="172"/>
      <c r="K5" s="172"/>
      <c r="L5" s="4"/>
      <c r="M5" s="4"/>
      <c r="N5" s="137"/>
    </row>
    <row r="6" spans="1:16" s="104" customFormat="1" ht="3.75" customHeight="1" x14ac:dyDescent="0.25">
      <c r="A6" s="133"/>
      <c r="B6" s="136"/>
      <c r="C6" s="170"/>
      <c r="D6" s="3"/>
      <c r="E6" s="295"/>
      <c r="F6" s="3"/>
      <c r="G6" s="4"/>
      <c r="H6" s="4"/>
      <c r="I6" s="4"/>
      <c r="J6" s="4"/>
      <c r="K6" s="4"/>
      <c r="L6" s="4"/>
      <c r="M6" s="4"/>
      <c r="N6" s="137"/>
    </row>
    <row r="7" spans="1:16" s="104" customFormat="1" ht="18" customHeight="1" x14ac:dyDescent="0.25">
      <c r="A7" s="133"/>
      <c r="B7" s="136"/>
      <c r="C7" s="543"/>
      <c r="D7" s="506"/>
      <c r="E7" s="506"/>
      <c r="F7" s="506"/>
      <c r="G7" s="506"/>
      <c r="H7" s="506"/>
      <c r="I7" s="506"/>
      <c r="J7" s="506"/>
      <c r="K7" s="506"/>
      <c r="L7" s="506"/>
      <c r="M7" s="506"/>
      <c r="N7" s="137"/>
    </row>
    <row r="8" spans="1:16" s="104" customFormat="1" ht="13.5" customHeight="1" x14ac:dyDescent="0.25">
      <c r="A8" s="133"/>
      <c r="B8" s="136"/>
      <c r="C8" s="506"/>
      <c r="D8" s="506"/>
      <c r="E8" s="506"/>
      <c r="F8" s="506"/>
      <c r="G8" s="506"/>
      <c r="H8" s="506"/>
      <c r="I8" s="506"/>
      <c r="J8" s="506"/>
      <c r="K8" s="506"/>
      <c r="L8" s="506"/>
      <c r="M8" s="506"/>
      <c r="N8" s="137"/>
    </row>
    <row r="9" spans="1:16" s="104" customFormat="1" ht="15" customHeight="1" x14ac:dyDescent="0.25">
      <c r="A9" s="133"/>
      <c r="B9" s="136"/>
      <c r="C9" s="173"/>
      <c r="D9" s="173"/>
      <c r="E9" s="297"/>
      <c r="F9" s="173"/>
      <c r="G9" s="174" t="s">
        <v>359</v>
      </c>
      <c r="H9" s="173"/>
      <c r="I9" s="173"/>
      <c r="J9" s="173"/>
      <c r="K9" s="173"/>
      <c r="L9" s="173"/>
      <c r="M9" s="173"/>
      <c r="N9" s="137"/>
    </row>
    <row r="10" spans="1:16" s="104" customFormat="1" ht="3" customHeight="1" x14ac:dyDescent="0.25">
      <c r="A10" s="133"/>
      <c r="B10" s="136"/>
      <c r="C10" s="7"/>
      <c r="D10" s="6"/>
      <c r="E10" s="298"/>
      <c r="F10" s="6"/>
      <c r="G10" s="7"/>
      <c r="H10" s="7"/>
      <c r="I10" s="7"/>
      <c r="J10" s="7"/>
      <c r="K10" s="7"/>
      <c r="L10" s="7"/>
      <c r="M10" s="7"/>
      <c r="N10" s="137"/>
    </row>
    <row r="11" spans="1:16" s="104" customFormat="1" ht="6" customHeight="1" x14ac:dyDescent="0.25">
      <c r="A11" s="133"/>
      <c r="B11" s="136"/>
      <c r="C11" s="3"/>
      <c r="D11" s="3"/>
      <c r="E11" s="295"/>
      <c r="F11" s="3"/>
      <c r="G11" s="13"/>
      <c r="H11" s="13"/>
      <c r="I11" s="13"/>
      <c r="J11" s="13"/>
      <c r="K11" s="13"/>
      <c r="L11" s="13"/>
      <c r="M11" s="13"/>
      <c r="N11" s="137"/>
    </row>
    <row r="12" spans="1:16" s="104" customFormat="1" ht="14.25" customHeight="1" x14ac:dyDescent="0.25">
      <c r="A12" s="133"/>
      <c r="B12" s="136"/>
      <c r="C12" s="3" t="s">
        <v>570</v>
      </c>
      <c r="D12" s="538" t="s">
        <v>543</v>
      </c>
      <c r="E12" s="539"/>
      <c r="F12" s="539"/>
      <c r="G12" s="539"/>
      <c r="H12" s="539"/>
      <c r="I12" s="539"/>
      <c r="J12" s="13"/>
      <c r="K12" s="13"/>
      <c r="L12" s="13"/>
      <c r="M12" s="13"/>
      <c r="N12" s="137"/>
      <c r="P12" s="416"/>
    </row>
    <row r="13" spans="1:16" s="104" customFormat="1" ht="2.25" customHeight="1" x14ac:dyDescent="0.25">
      <c r="A13" s="133"/>
      <c r="B13" s="136"/>
      <c r="C13" s="3"/>
      <c r="D13" s="3"/>
      <c r="E13" s="3"/>
      <c r="F13" s="3"/>
      <c r="G13" s="3"/>
      <c r="H13" s="3"/>
      <c r="I13" s="3"/>
      <c r="J13" s="13"/>
      <c r="K13" s="13"/>
      <c r="L13" s="13"/>
      <c r="M13" s="13"/>
      <c r="N13" s="137"/>
      <c r="P13" s="416"/>
    </row>
    <row r="14" spans="1:16" s="104" customFormat="1" x14ac:dyDescent="0.25">
      <c r="A14" s="133"/>
      <c r="B14" s="136"/>
      <c r="C14" s="151" t="s">
        <v>446</v>
      </c>
      <c r="D14" s="131"/>
      <c r="E14" s="457">
        <v>7</v>
      </c>
      <c r="F14" s="12"/>
      <c r="G14" s="458">
        <v>213977</v>
      </c>
      <c r="H14" s="5"/>
      <c r="I14" s="459" t="s">
        <v>360</v>
      </c>
      <c r="J14" s="175"/>
      <c r="K14" s="176"/>
      <c r="L14" s="78"/>
      <c r="M14" s="78"/>
      <c r="N14" s="137"/>
    </row>
    <row r="15" spans="1:16" s="104" customFormat="1" x14ac:dyDescent="0.25">
      <c r="A15" s="133"/>
      <c r="B15" s="136"/>
      <c r="C15" s="151" t="s">
        <v>622</v>
      </c>
      <c r="D15" s="3"/>
      <c r="E15" s="457">
        <v>4</v>
      </c>
      <c r="F15" s="12"/>
      <c r="G15" s="458">
        <v>0</v>
      </c>
      <c r="H15" s="5"/>
      <c r="I15" s="728"/>
      <c r="J15" s="729"/>
      <c r="K15" s="732" t="s">
        <v>350</v>
      </c>
      <c r="L15" s="733"/>
      <c r="M15" s="733"/>
      <c r="N15" s="137"/>
    </row>
    <row r="16" spans="1:16" s="104" customFormat="1" x14ac:dyDescent="0.25">
      <c r="A16" s="133"/>
      <c r="B16" s="136"/>
      <c r="C16" s="151" t="s">
        <v>17</v>
      </c>
      <c r="D16" s="3"/>
      <c r="E16" s="457" t="s">
        <v>162</v>
      </c>
      <c r="F16" s="12"/>
      <c r="G16" s="458">
        <v>0</v>
      </c>
      <c r="H16" s="5"/>
      <c r="I16" s="459" t="s">
        <v>350</v>
      </c>
      <c r="J16" s="251" t="s">
        <v>358</v>
      </c>
      <c r="K16" s="176"/>
      <c r="L16" s="78"/>
      <c r="M16" s="417"/>
      <c r="N16" s="137"/>
    </row>
    <row r="17" spans="1:17" s="104" customFormat="1" x14ac:dyDescent="0.25">
      <c r="A17" s="133"/>
      <c r="B17" s="136"/>
      <c r="C17" s="151" t="s">
        <v>18</v>
      </c>
      <c r="D17" s="3"/>
      <c r="E17" s="457">
        <v>7</v>
      </c>
      <c r="F17" s="12"/>
      <c r="G17" s="458">
        <v>26457.5</v>
      </c>
      <c r="H17" s="5"/>
      <c r="I17" s="459" t="s">
        <v>350</v>
      </c>
      <c r="J17" s="175"/>
      <c r="K17" s="176"/>
      <c r="L17" s="78"/>
      <c r="M17" s="78"/>
      <c r="N17" s="137"/>
    </row>
    <row r="18" spans="1:17" s="104" customFormat="1" ht="6" customHeight="1" x14ac:dyDescent="0.25">
      <c r="A18" s="133"/>
      <c r="B18" s="136"/>
      <c r="C18" s="9"/>
      <c r="D18" s="9"/>
      <c r="E18" s="384"/>
      <c r="F18" s="12"/>
      <c r="G18" s="177"/>
      <c r="H18" s="5"/>
      <c r="I18" s="13"/>
      <c r="J18" s="175"/>
      <c r="K18" s="176"/>
      <c r="L18" s="4"/>
      <c r="M18" s="4"/>
      <c r="N18" s="137"/>
    </row>
    <row r="19" spans="1:17" s="104" customFormat="1" x14ac:dyDescent="0.25">
      <c r="A19" s="133"/>
      <c r="B19" s="136"/>
      <c r="C19" s="178" t="s">
        <v>569</v>
      </c>
      <c r="D19" s="81"/>
      <c r="E19" s="384"/>
      <c r="F19" s="12"/>
      <c r="G19" s="249">
        <v>187519.5</v>
      </c>
      <c r="H19" s="5"/>
      <c r="I19" s="459" t="s">
        <v>350</v>
      </c>
      <c r="J19" s="179"/>
      <c r="K19" s="176"/>
      <c r="L19" s="13"/>
      <c r="M19" s="175"/>
      <c r="N19" s="137"/>
    </row>
    <row r="20" spans="1:17" s="104" customFormat="1" ht="5.25" customHeight="1" x14ac:dyDescent="0.25">
      <c r="A20" s="133"/>
      <c r="B20" s="136"/>
      <c r="C20" s="10"/>
      <c r="D20" s="10"/>
      <c r="E20" s="385"/>
      <c r="F20" s="10"/>
      <c r="G20" s="7"/>
      <c r="H20" s="7"/>
      <c r="I20" s="7"/>
      <c r="J20" s="8"/>
      <c r="K20" s="8"/>
      <c r="L20" s="8"/>
      <c r="M20" s="7"/>
      <c r="N20" s="137"/>
    </row>
    <row r="21" spans="1:17" s="104" customFormat="1" ht="6" customHeight="1" x14ac:dyDescent="0.25">
      <c r="A21" s="133"/>
      <c r="B21" s="136"/>
      <c r="C21" s="12"/>
      <c r="D21" s="12"/>
      <c r="E21" s="384" t="s">
        <v>51</v>
      </c>
      <c r="F21" s="12"/>
      <c r="G21" s="4"/>
      <c r="H21" s="4"/>
      <c r="I21" s="4"/>
      <c r="J21" s="13"/>
      <c r="K21" s="13"/>
      <c r="L21" s="13"/>
      <c r="M21" s="4"/>
      <c r="N21" s="137"/>
    </row>
    <row r="22" spans="1:17" s="104" customFormat="1" x14ac:dyDescent="0.25">
      <c r="A22" s="133"/>
      <c r="B22" s="136"/>
      <c r="C22" s="3" t="s">
        <v>571</v>
      </c>
      <c r="D22" s="3"/>
      <c r="E22" s="386"/>
      <c r="F22" s="3"/>
      <c r="G22" s="3"/>
      <c r="H22" s="3"/>
      <c r="I22" s="3"/>
      <c r="J22" s="3"/>
      <c r="K22" s="3"/>
      <c r="L22" s="3"/>
      <c r="M22" s="3"/>
      <c r="N22" s="137"/>
    </row>
    <row r="23" spans="1:17" s="104" customFormat="1" x14ac:dyDescent="0.25">
      <c r="A23" s="133"/>
      <c r="B23" s="136"/>
      <c r="C23" s="151" t="s">
        <v>447</v>
      </c>
      <c r="D23" s="9"/>
      <c r="E23" s="457">
        <v>7</v>
      </c>
      <c r="F23" s="12"/>
      <c r="G23" s="458">
        <v>163665</v>
      </c>
      <c r="H23" s="5"/>
      <c r="I23" s="459" t="s">
        <v>350</v>
      </c>
      <c r="J23" s="175"/>
      <c r="K23" s="176"/>
      <c r="L23" s="4"/>
      <c r="M23" s="4"/>
      <c r="N23" s="137"/>
      <c r="P23" s="17"/>
      <c r="Q23" s="17"/>
    </row>
    <row r="24" spans="1:17" s="104" customFormat="1" x14ac:dyDescent="0.25">
      <c r="A24" s="133"/>
      <c r="B24" s="136"/>
      <c r="C24" s="151" t="s">
        <v>448</v>
      </c>
      <c r="D24" s="9"/>
      <c r="E24" s="457">
        <v>2</v>
      </c>
      <c r="F24" s="12"/>
      <c r="G24" s="458">
        <v>433.9</v>
      </c>
      <c r="H24" s="5"/>
      <c r="I24" s="459" t="s">
        <v>350</v>
      </c>
      <c r="J24" s="175"/>
      <c r="K24" s="176"/>
      <c r="L24" s="151"/>
      <c r="M24" s="151"/>
      <c r="N24" s="137"/>
      <c r="P24" s="17"/>
      <c r="Q24" s="17"/>
    </row>
    <row r="25" spans="1:17" s="104" customFormat="1" x14ac:dyDescent="0.25">
      <c r="A25" s="133"/>
      <c r="B25" s="136"/>
      <c r="C25" s="151" t="s">
        <v>449</v>
      </c>
      <c r="D25" s="9"/>
      <c r="E25" s="457">
        <v>8</v>
      </c>
      <c r="F25" s="12"/>
      <c r="G25" s="458">
        <v>1768.4</v>
      </c>
      <c r="H25" s="5"/>
      <c r="I25" s="459" t="s">
        <v>350</v>
      </c>
      <c r="J25" s="241" t="s">
        <v>481</v>
      </c>
      <c r="K25" s="246"/>
      <c r="L25" s="4" t="s">
        <v>480</v>
      </c>
      <c r="M25" s="4"/>
      <c r="N25" s="137"/>
      <c r="P25" s="17"/>
      <c r="Q25" s="17"/>
    </row>
    <row r="26" spans="1:17" s="104" customFormat="1" ht="15" customHeight="1" x14ac:dyDescent="0.25">
      <c r="A26" s="133"/>
      <c r="B26" s="136"/>
      <c r="C26" s="151" t="s">
        <v>450</v>
      </c>
      <c r="D26" s="9"/>
      <c r="E26" s="457">
        <v>5</v>
      </c>
      <c r="F26" s="12"/>
      <c r="G26" s="249">
        <v>230.1</v>
      </c>
      <c r="H26" s="5"/>
      <c r="I26" s="459" t="s">
        <v>350</v>
      </c>
      <c r="J26" s="254">
        <v>1.2500000000000001E-2</v>
      </c>
      <c r="K26" s="133"/>
      <c r="L26" s="723">
        <v>230.1</v>
      </c>
      <c r="M26" s="725"/>
      <c r="N26" s="137"/>
      <c r="P26" s="39">
        <v>2</v>
      </c>
      <c r="Q26" s="17"/>
    </row>
    <row r="27" spans="1:17" s="104" customFormat="1" ht="2.25" customHeight="1" x14ac:dyDescent="0.25">
      <c r="A27" s="133"/>
      <c r="B27" s="136"/>
      <c r="C27" s="151"/>
      <c r="D27" s="151"/>
      <c r="E27" s="9"/>
      <c r="F27" s="9"/>
      <c r="G27" s="9"/>
      <c r="H27" s="9"/>
      <c r="I27" s="459"/>
      <c r="J27" s="459"/>
      <c r="K27" s="459"/>
      <c r="L27" s="459"/>
      <c r="M27" s="459"/>
      <c r="N27" s="137"/>
      <c r="P27" s="39"/>
      <c r="Q27" s="17"/>
    </row>
    <row r="28" spans="1:17" s="104" customFormat="1" ht="15" customHeight="1" x14ac:dyDescent="0.25">
      <c r="A28" s="133"/>
      <c r="B28" s="136"/>
      <c r="C28" s="539" t="s">
        <v>358</v>
      </c>
      <c r="D28" s="539"/>
      <c r="E28" s="539"/>
      <c r="F28" s="539"/>
      <c r="G28" s="539"/>
      <c r="H28" s="539"/>
      <c r="I28" s="539"/>
      <c r="J28" s="539"/>
      <c r="K28" s="459"/>
      <c r="L28" s="459"/>
      <c r="M28" s="459"/>
      <c r="N28" s="137"/>
      <c r="P28" s="39"/>
      <c r="Q28" s="17"/>
    </row>
    <row r="29" spans="1:17" s="104" customFormat="1" ht="2.25" customHeight="1" x14ac:dyDescent="0.25">
      <c r="A29" s="133"/>
      <c r="B29" s="136"/>
      <c r="C29" s="9"/>
      <c r="D29" s="9"/>
      <c r="E29" s="13"/>
      <c r="F29" s="367"/>
      <c r="G29" s="5"/>
      <c r="H29" s="5"/>
      <c r="I29" s="13"/>
      <c r="J29" s="176"/>
      <c r="K29" s="176"/>
      <c r="L29" s="180"/>
      <c r="M29" s="4"/>
      <c r="N29" s="137"/>
      <c r="P29" s="39"/>
      <c r="Q29" s="17"/>
    </row>
    <row r="30" spans="1:17" s="104" customFormat="1" ht="15" customHeight="1" x14ac:dyDescent="0.25">
      <c r="A30" s="133"/>
      <c r="B30" s="136"/>
      <c r="C30" s="178" t="s">
        <v>568</v>
      </c>
      <c r="D30" s="81"/>
      <c r="E30" s="300"/>
      <c r="F30" s="12"/>
      <c r="G30" s="249">
        <v>166097.4</v>
      </c>
      <c r="H30" s="5"/>
      <c r="I30" s="459" t="s">
        <v>350</v>
      </c>
      <c r="J30" s="176"/>
      <c r="K30" s="176"/>
      <c r="L30" s="175"/>
      <c r="M30" s="175"/>
      <c r="N30" s="137"/>
      <c r="P30" s="39"/>
      <c r="Q30" s="17"/>
    </row>
    <row r="31" spans="1:17" s="104" customFormat="1" ht="2.25" customHeight="1" x14ac:dyDescent="0.25">
      <c r="A31" s="133"/>
      <c r="B31" s="136"/>
      <c r="C31" s="9"/>
      <c r="D31" s="9"/>
      <c r="E31" s="460"/>
      <c r="F31" s="5"/>
      <c r="G31" s="176"/>
      <c r="H31" s="5"/>
      <c r="I31" s="176"/>
      <c r="J31" s="176"/>
      <c r="K31" s="176"/>
      <c r="L31" s="181"/>
      <c r="M31" s="175"/>
      <c r="N31" s="137"/>
      <c r="P31" s="39"/>
      <c r="Q31" s="17"/>
    </row>
    <row r="32" spans="1:17" s="104" customFormat="1" ht="15" customHeight="1" x14ac:dyDescent="0.25">
      <c r="A32" s="133"/>
      <c r="B32" s="136"/>
      <c r="C32" s="461" t="s">
        <v>358</v>
      </c>
      <c r="D32" s="462"/>
      <c r="E32" s="462"/>
      <c r="F32" s="462"/>
      <c r="G32" s="462"/>
      <c r="H32" s="462"/>
      <c r="I32" s="462"/>
      <c r="J32" s="462"/>
      <c r="K32" s="176"/>
      <c r="L32" s="181"/>
      <c r="M32" s="175"/>
      <c r="N32" s="137"/>
      <c r="P32" s="39"/>
      <c r="Q32" s="17"/>
    </row>
    <row r="33" spans="1:17" s="104" customFormat="1" ht="3" customHeight="1" x14ac:dyDescent="0.25">
      <c r="A33" s="133"/>
      <c r="B33" s="136"/>
      <c r="C33" s="10"/>
      <c r="D33" s="10"/>
      <c r="E33" s="301"/>
      <c r="F33" s="10"/>
      <c r="G33" s="7"/>
      <c r="H33" s="7"/>
      <c r="I33" s="7"/>
      <c r="J33" s="8"/>
      <c r="K33" s="8"/>
      <c r="L33" s="8"/>
      <c r="M33" s="7"/>
      <c r="N33" s="137"/>
      <c r="P33" s="39"/>
      <c r="Q33" s="17"/>
    </row>
    <row r="34" spans="1:17" s="104" customFormat="1" ht="6" customHeight="1" x14ac:dyDescent="0.25">
      <c r="A34" s="133"/>
      <c r="B34" s="136"/>
      <c r="C34" s="12"/>
      <c r="D34" s="12"/>
      <c r="E34" s="300"/>
      <c r="F34" s="12"/>
      <c r="G34" s="4"/>
      <c r="H34" s="4"/>
      <c r="I34" s="4"/>
      <c r="J34" s="13"/>
      <c r="K34" s="13"/>
      <c r="L34" s="13"/>
      <c r="M34" s="4"/>
      <c r="N34" s="137"/>
      <c r="P34" s="39"/>
      <c r="Q34" s="17"/>
    </row>
    <row r="35" spans="1:17" s="104" customFormat="1" ht="15" customHeight="1" x14ac:dyDescent="0.25">
      <c r="A35" s="133"/>
      <c r="B35" s="136"/>
      <c r="C35" s="3" t="s">
        <v>572</v>
      </c>
      <c r="D35" s="3"/>
      <c r="E35" s="300"/>
      <c r="F35" s="3"/>
      <c r="G35" s="249">
        <v>21422.1</v>
      </c>
      <c r="H35" s="4"/>
      <c r="I35" s="459" t="s">
        <v>350</v>
      </c>
      <c r="J35" s="4"/>
      <c r="K35" s="541"/>
      <c r="L35" s="4"/>
      <c r="M35" s="4"/>
      <c r="N35" s="137"/>
      <c r="P35" s="39"/>
      <c r="Q35" s="17"/>
    </row>
    <row r="36" spans="1:17" s="104" customFormat="1" ht="5.25" customHeight="1" x14ac:dyDescent="0.25">
      <c r="A36" s="133"/>
      <c r="B36" s="136"/>
      <c r="C36" s="3"/>
      <c r="D36" s="3"/>
      <c r="E36" s="300"/>
      <c r="F36" s="3"/>
      <c r="G36" s="4"/>
      <c r="H36" s="4"/>
      <c r="I36" s="4"/>
      <c r="J36" s="4"/>
      <c r="K36" s="541"/>
      <c r="L36" s="4"/>
      <c r="M36" s="4"/>
      <c r="N36" s="137"/>
      <c r="P36" s="39"/>
      <c r="Q36" s="17"/>
    </row>
    <row r="37" spans="1:17" s="104" customFormat="1" x14ac:dyDescent="0.25">
      <c r="A37" s="133"/>
      <c r="B37" s="136"/>
      <c r="C37" s="182" t="s">
        <v>290</v>
      </c>
      <c r="D37" s="9"/>
      <c r="E37" s="300"/>
      <c r="F37" s="9"/>
      <c r="G37" s="4"/>
      <c r="H37" s="4"/>
      <c r="I37" s="4"/>
      <c r="J37" s="241" t="s">
        <v>481</v>
      </c>
      <c r="K37" s="246"/>
      <c r="L37" s="4" t="s">
        <v>480</v>
      </c>
      <c r="M37" s="4"/>
      <c r="N37" s="137"/>
      <c r="P37" s="39"/>
      <c r="Q37" s="17"/>
    </row>
    <row r="38" spans="1:17" s="104" customFormat="1" ht="15" customHeight="1" x14ac:dyDescent="0.25">
      <c r="A38" s="133"/>
      <c r="B38" s="136"/>
      <c r="C38" s="151" t="s">
        <v>451</v>
      </c>
      <c r="D38" s="9"/>
      <c r="E38" s="457">
        <v>5</v>
      </c>
      <c r="F38" s="9"/>
      <c r="G38" s="249">
        <v>886.8</v>
      </c>
      <c r="H38" s="183"/>
      <c r="I38" s="459" t="s">
        <v>350</v>
      </c>
      <c r="J38" s="254">
        <v>2.5000000000000001E-3</v>
      </c>
      <c r="K38" s="229"/>
      <c r="L38" s="723">
        <v>886.8</v>
      </c>
      <c r="M38" s="724"/>
      <c r="N38" s="137"/>
      <c r="P38" s="39">
        <v>2</v>
      </c>
      <c r="Q38" s="17"/>
    </row>
    <row r="39" spans="1:17" s="104" customFormat="1" ht="2.25" customHeight="1" x14ac:dyDescent="0.25">
      <c r="A39" s="133"/>
      <c r="B39" s="136"/>
      <c r="C39" s="176"/>
      <c r="D39" s="176"/>
      <c r="E39" s="176"/>
      <c r="F39" s="176"/>
      <c r="G39" s="176"/>
      <c r="H39" s="176"/>
      <c r="I39" s="176"/>
      <c r="J39" s="176"/>
      <c r="K39" s="5"/>
      <c r="L39" s="5"/>
      <c r="M39" s="4"/>
      <c r="N39" s="137"/>
      <c r="P39" s="39"/>
      <c r="Q39" s="17"/>
    </row>
    <row r="40" spans="1:17" s="104" customFormat="1" ht="15" customHeight="1" x14ac:dyDescent="0.25">
      <c r="A40" s="133"/>
      <c r="B40" s="136"/>
      <c r="C40" s="538" t="s">
        <v>358</v>
      </c>
      <c r="D40" s="539"/>
      <c r="E40" s="539"/>
      <c r="F40" s="539"/>
      <c r="G40" s="539"/>
      <c r="H40" s="539"/>
      <c r="I40" s="539"/>
      <c r="J40" s="539"/>
      <c r="K40" s="5"/>
      <c r="L40" s="5"/>
      <c r="M40" s="4"/>
      <c r="N40" s="137"/>
      <c r="P40" s="39"/>
      <c r="Q40" s="17"/>
    </row>
    <row r="41" spans="1:17" s="104" customFormat="1" ht="2.25" customHeight="1" x14ac:dyDescent="0.25">
      <c r="A41" s="133"/>
      <c r="B41" s="136"/>
      <c r="C41" s="151"/>
      <c r="D41" s="9"/>
      <c r="E41" s="9"/>
      <c r="F41" s="9"/>
      <c r="G41" s="368"/>
      <c r="H41" s="9"/>
      <c r="I41" s="459"/>
      <c r="J41" s="4"/>
      <c r="K41" s="5"/>
      <c r="L41" s="5"/>
      <c r="M41" s="4"/>
      <c r="N41" s="137"/>
      <c r="P41" s="39"/>
      <c r="Q41" s="17"/>
    </row>
    <row r="42" spans="1:17" s="104" customFormat="1" ht="15" customHeight="1" x14ac:dyDescent="0.25">
      <c r="A42" s="133"/>
      <c r="B42" s="136"/>
      <c r="C42" s="151" t="s">
        <v>452</v>
      </c>
      <c r="D42" s="9"/>
      <c r="E42" s="457">
        <v>7</v>
      </c>
      <c r="F42" s="9"/>
      <c r="G42" s="249">
        <v>2851</v>
      </c>
      <c r="H42" s="183"/>
      <c r="I42" s="459" t="s">
        <v>350</v>
      </c>
      <c r="J42" s="463"/>
      <c r="K42" s="229"/>
      <c r="L42" s="723">
        <v>2851</v>
      </c>
      <c r="M42" s="724"/>
      <c r="N42" s="137"/>
      <c r="P42" s="39">
        <v>2</v>
      </c>
      <c r="Q42" s="17"/>
    </row>
    <row r="43" spans="1:17" s="104" customFormat="1" x14ac:dyDescent="0.25">
      <c r="A43" s="133"/>
      <c r="B43" s="136"/>
      <c r="C43" s="151" t="s">
        <v>16</v>
      </c>
      <c r="D43" s="9"/>
      <c r="E43" s="457">
        <v>5</v>
      </c>
      <c r="F43" s="9"/>
      <c r="G43" s="464">
        <v>0</v>
      </c>
      <c r="H43" s="183"/>
      <c r="I43" s="459" t="s">
        <v>350</v>
      </c>
      <c r="J43" s="4"/>
      <c r="K43" s="5"/>
      <c r="L43" s="5"/>
      <c r="M43" s="4"/>
      <c r="N43" s="137"/>
      <c r="P43" s="39"/>
      <c r="Q43" s="17"/>
    </row>
    <row r="44" spans="1:17" s="104" customFormat="1" ht="2.25" customHeight="1" x14ac:dyDescent="0.25">
      <c r="A44" s="133"/>
      <c r="B44" s="136"/>
      <c r="C44" s="151"/>
      <c r="D44" s="9"/>
      <c r="E44" s="9"/>
      <c r="F44" s="9"/>
      <c r="G44" s="9"/>
      <c r="H44" s="9"/>
      <c r="I44" s="9"/>
      <c r="J44" s="4"/>
      <c r="K44" s="5"/>
      <c r="L44" s="529" t="s">
        <v>282</v>
      </c>
      <c r="M44" s="529"/>
      <c r="N44" s="137"/>
      <c r="P44" s="39"/>
      <c r="Q44" s="17"/>
    </row>
    <row r="45" spans="1:17" s="104" customFormat="1" x14ac:dyDescent="0.25">
      <c r="A45" s="133"/>
      <c r="B45" s="136"/>
      <c r="C45" s="518" t="s">
        <v>283</v>
      </c>
      <c r="D45" s="518"/>
      <c r="E45" s="518"/>
      <c r="F45" s="518"/>
      <c r="G45" s="518"/>
      <c r="H45" s="518"/>
      <c r="I45" s="518"/>
      <c r="J45" s="518"/>
      <c r="K45" s="5"/>
      <c r="L45" s="529"/>
      <c r="M45" s="529"/>
      <c r="N45" s="137"/>
      <c r="P45" s="39"/>
      <c r="Q45" s="17"/>
    </row>
    <row r="46" spans="1:17" s="104" customFormat="1" ht="2.25" customHeight="1" x14ac:dyDescent="0.25">
      <c r="A46" s="133"/>
      <c r="B46" s="136"/>
      <c r="C46" s="151"/>
      <c r="D46" s="9"/>
      <c r="E46" s="9"/>
      <c r="F46" s="9"/>
      <c r="G46" s="9"/>
      <c r="H46" s="9"/>
      <c r="I46" s="9"/>
      <c r="J46" s="4"/>
      <c r="K46" s="5"/>
      <c r="L46" s="529"/>
      <c r="M46" s="529"/>
      <c r="N46" s="137"/>
      <c r="P46" s="39"/>
      <c r="Q46" s="17"/>
    </row>
    <row r="47" spans="1:17" s="104" customFormat="1" x14ac:dyDescent="0.25">
      <c r="A47" s="133"/>
      <c r="B47" s="136"/>
      <c r="C47" s="151" t="s">
        <v>257</v>
      </c>
      <c r="D47" s="9"/>
      <c r="E47" s="303"/>
      <c r="F47" s="9"/>
      <c r="G47" s="249">
        <v>3737.8</v>
      </c>
      <c r="H47" s="9"/>
      <c r="I47" s="459" t="s">
        <v>491</v>
      </c>
      <c r="J47" s="4"/>
      <c r="K47" s="176"/>
      <c r="L47" s="529"/>
      <c r="M47" s="529"/>
      <c r="N47" s="137"/>
    </row>
    <row r="48" spans="1:17" s="104" customFormat="1" ht="2.25" customHeight="1" x14ac:dyDescent="0.25">
      <c r="A48" s="133"/>
      <c r="B48" s="136"/>
      <c r="C48" s="9"/>
      <c r="D48" s="14"/>
      <c r="E48" s="14"/>
      <c r="F48" s="14"/>
      <c r="G48" s="176"/>
      <c r="H48" s="14"/>
      <c r="I48" s="5"/>
      <c r="J48" s="5"/>
      <c r="K48" s="176"/>
      <c r="L48" s="529"/>
      <c r="M48" s="529"/>
      <c r="N48" s="137"/>
    </row>
    <row r="49" spans="1:14" s="104" customFormat="1" ht="15" customHeight="1" x14ac:dyDescent="0.25">
      <c r="A49" s="133"/>
      <c r="B49" s="136"/>
      <c r="C49" s="734" t="s">
        <v>358</v>
      </c>
      <c r="D49" s="734"/>
      <c r="E49" s="734"/>
      <c r="F49" s="734"/>
      <c r="G49" s="734"/>
      <c r="H49" s="734"/>
      <c r="I49" s="734"/>
      <c r="J49" s="734"/>
      <c r="K49" s="176"/>
      <c r="L49" s="529"/>
      <c r="M49" s="529"/>
      <c r="N49" s="137"/>
    </row>
    <row r="50" spans="1:14" s="104" customFormat="1" ht="2.25" customHeight="1" x14ac:dyDescent="0.25">
      <c r="A50" s="133"/>
      <c r="B50" s="136"/>
      <c r="C50" s="9"/>
      <c r="D50" s="14"/>
      <c r="E50" s="465"/>
      <c r="F50" s="14"/>
      <c r="G50" s="176"/>
      <c r="H50" s="14"/>
      <c r="I50" s="5"/>
      <c r="J50" s="5"/>
      <c r="K50" s="176"/>
      <c r="L50" s="529"/>
      <c r="M50" s="529"/>
      <c r="N50" s="137"/>
    </row>
    <row r="51" spans="1:14" s="104" customFormat="1" ht="10.5" customHeight="1" x14ac:dyDescent="0.25">
      <c r="A51" s="133"/>
      <c r="B51" s="136"/>
      <c r="C51" s="182" t="s">
        <v>164</v>
      </c>
      <c r="D51" s="14"/>
      <c r="E51" s="303"/>
      <c r="F51" s="14"/>
      <c r="G51" s="176"/>
      <c r="H51" s="176"/>
      <c r="I51" s="176"/>
      <c r="J51" s="176"/>
      <c r="K51" s="176"/>
      <c r="L51" s="529"/>
      <c r="M51" s="529"/>
      <c r="N51" s="137"/>
    </row>
    <row r="52" spans="1:14" s="104" customFormat="1" x14ac:dyDescent="0.25">
      <c r="A52" s="133"/>
      <c r="B52" s="136"/>
      <c r="C52" s="151" t="s">
        <v>315</v>
      </c>
      <c r="D52" s="14"/>
      <c r="E52" s="303"/>
      <c r="F52" s="14"/>
      <c r="G52" s="249">
        <v>17684.3</v>
      </c>
      <c r="H52" s="14"/>
      <c r="I52" s="459" t="s">
        <v>350</v>
      </c>
      <c r="J52" s="176"/>
      <c r="K52" s="176"/>
      <c r="L52" s="5"/>
      <c r="M52" s="4"/>
      <c r="N52" s="137"/>
    </row>
    <row r="53" spans="1:14" s="104" customFormat="1" ht="6.75" customHeight="1" x14ac:dyDescent="0.25">
      <c r="A53" s="133"/>
      <c r="B53" s="136"/>
      <c r="C53" s="9"/>
      <c r="D53" s="14"/>
      <c r="E53" s="303"/>
      <c r="F53" s="14"/>
      <c r="G53" s="466"/>
      <c r="H53" s="14"/>
      <c r="I53" s="13"/>
      <c r="J53" s="176"/>
      <c r="K53" s="176"/>
      <c r="L53" s="5"/>
      <c r="M53" s="4"/>
      <c r="N53" s="137"/>
    </row>
    <row r="54" spans="1:14" s="104" customFormat="1" x14ac:dyDescent="0.25">
      <c r="A54" s="133"/>
      <c r="B54" s="136"/>
      <c r="C54" s="178" t="s">
        <v>565</v>
      </c>
      <c r="D54" s="82"/>
      <c r="E54" s="303"/>
      <c r="F54" s="16"/>
      <c r="G54" s="249">
        <v>21422.1</v>
      </c>
      <c r="H54" s="5"/>
      <c r="I54" s="459" t="s">
        <v>350</v>
      </c>
      <c r="J54" s="4"/>
      <c r="K54" s="176"/>
      <c r="L54" s="13"/>
      <c r="M54" s="184"/>
      <c r="N54" s="137"/>
    </row>
    <row r="55" spans="1:14" s="104" customFormat="1" ht="5.25" customHeight="1" x14ac:dyDescent="0.25">
      <c r="A55" s="133"/>
      <c r="B55" s="136"/>
      <c r="C55" s="185"/>
      <c r="D55" s="15"/>
      <c r="E55" s="304"/>
      <c r="F55" s="15"/>
      <c r="G55" s="11"/>
      <c r="H55" s="11"/>
      <c r="I55" s="11"/>
      <c r="J55" s="8"/>
      <c r="K55" s="8"/>
      <c r="L55" s="8"/>
      <c r="M55" s="7"/>
      <c r="N55" s="137"/>
    </row>
    <row r="56" spans="1:14" s="104" customFormat="1" ht="6" customHeight="1" x14ac:dyDescent="0.25">
      <c r="A56" s="133"/>
      <c r="B56" s="136"/>
      <c r="C56" s="9"/>
      <c r="D56" s="16"/>
      <c r="E56" s="302"/>
      <c r="F56" s="16"/>
      <c r="G56" s="5"/>
      <c r="H56" s="5"/>
      <c r="I56" s="5"/>
      <c r="J56" s="13"/>
      <c r="K56" s="13"/>
      <c r="L56" s="13"/>
      <c r="M56" s="4"/>
      <c r="N56" s="137"/>
    </row>
    <row r="57" spans="1:14" s="104" customFormat="1" ht="13.5" customHeight="1" x14ac:dyDescent="0.25">
      <c r="A57" s="133"/>
      <c r="B57" s="136"/>
      <c r="C57" s="182" t="s">
        <v>36</v>
      </c>
      <c r="D57" s="14"/>
      <c r="E57" s="303"/>
      <c r="F57" s="14"/>
      <c r="G57" s="466"/>
      <c r="H57" s="14"/>
      <c r="I57" s="13"/>
      <c r="J57" s="176"/>
      <c r="K57" s="176"/>
      <c r="L57" s="5"/>
      <c r="M57" s="4"/>
      <c r="N57" s="137"/>
    </row>
    <row r="58" spans="1:14" s="104" customFormat="1" ht="13.5" customHeight="1" x14ac:dyDescent="0.25">
      <c r="A58" s="133"/>
      <c r="B58" s="136"/>
      <c r="C58" s="9" t="s">
        <v>458</v>
      </c>
      <c r="D58" s="14"/>
      <c r="E58" s="303"/>
      <c r="F58" s="14"/>
      <c r="G58" s="249">
        <v>23420.6</v>
      </c>
      <c r="H58" s="14"/>
      <c r="I58" s="459" t="s">
        <v>350</v>
      </c>
      <c r="J58" s="176"/>
      <c r="K58" s="176"/>
      <c r="L58" s="5"/>
      <c r="M58" s="4"/>
      <c r="N58" s="137"/>
    </row>
    <row r="59" spans="1:14" s="104" customFormat="1" ht="13.5" customHeight="1" x14ac:dyDescent="0.25">
      <c r="A59" s="133"/>
      <c r="B59" s="136"/>
      <c r="C59" s="404" t="s">
        <v>603</v>
      </c>
      <c r="D59" s="405"/>
      <c r="E59" s="405"/>
      <c r="F59" s="405"/>
      <c r="G59" s="405"/>
      <c r="H59" s="405"/>
      <c r="I59" s="405"/>
      <c r="J59" s="405"/>
      <c r="K59" s="405"/>
      <c r="L59" s="405"/>
      <c r="M59" s="405"/>
      <c r="N59" s="137"/>
    </row>
    <row r="60" spans="1:14" s="104" customFormat="1" ht="16.5" customHeight="1" x14ac:dyDescent="0.25">
      <c r="A60" s="133"/>
      <c r="B60" s="136"/>
      <c r="C60" s="3" t="s">
        <v>406</v>
      </c>
      <c r="D60" s="3"/>
      <c r="E60" s="302"/>
      <c r="F60" s="3"/>
      <c r="G60" s="4"/>
      <c r="H60" s="4"/>
      <c r="I60" s="4"/>
      <c r="J60" s="4"/>
      <c r="K60" s="4"/>
      <c r="L60" s="4"/>
      <c r="M60" s="4"/>
      <c r="N60" s="137"/>
    </row>
    <row r="61" spans="1:14" s="104" customFormat="1" ht="5.25" customHeight="1" x14ac:dyDescent="0.25">
      <c r="A61" s="133"/>
      <c r="B61" s="136"/>
      <c r="C61" s="3"/>
      <c r="D61" s="3"/>
      <c r="E61" s="302"/>
      <c r="F61" s="3"/>
      <c r="G61" s="4"/>
      <c r="H61" s="4"/>
      <c r="I61" s="4"/>
      <c r="J61" s="4"/>
      <c r="K61" s="4"/>
      <c r="L61" s="4"/>
      <c r="M61" s="4"/>
      <c r="N61" s="137"/>
    </row>
    <row r="62" spans="1:14" s="104" customFormat="1" x14ac:dyDescent="0.25">
      <c r="A62" s="133"/>
      <c r="B62" s="136"/>
      <c r="C62" s="151" t="s">
        <v>453</v>
      </c>
      <c r="D62" s="3"/>
      <c r="E62" s="457">
        <v>8</v>
      </c>
      <c r="F62" s="3"/>
      <c r="G62" s="467">
        <v>4161</v>
      </c>
      <c r="H62" s="186"/>
      <c r="I62" s="390" t="s">
        <v>351</v>
      </c>
      <c r="J62" s="4"/>
      <c r="K62" s="4"/>
      <c r="L62" s="4"/>
      <c r="M62" s="4"/>
      <c r="N62" s="137"/>
    </row>
    <row r="63" spans="1:14" s="104" customFormat="1" x14ac:dyDescent="0.25">
      <c r="A63" s="133"/>
      <c r="B63" s="136"/>
      <c r="C63" s="151" t="s">
        <v>443</v>
      </c>
      <c r="D63" s="3"/>
      <c r="E63" s="457">
        <v>9</v>
      </c>
      <c r="F63" s="3"/>
      <c r="G63" s="468">
        <v>287905</v>
      </c>
      <c r="H63" s="186"/>
      <c r="I63" s="4"/>
      <c r="J63" s="4"/>
      <c r="K63" s="4"/>
      <c r="L63" s="4"/>
      <c r="M63" s="4"/>
      <c r="N63" s="137"/>
    </row>
    <row r="64" spans="1:14" s="104" customFormat="1" x14ac:dyDescent="0.25">
      <c r="A64" s="133"/>
      <c r="B64" s="136"/>
      <c r="C64" s="151" t="s">
        <v>407</v>
      </c>
      <c r="D64" s="3"/>
      <c r="E64" s="386"/>
      <c r="F64" s="3"/>
      <c r="G64" s="117">
        <v>69.191300168228793</v>
      </c>
      <c r="H64" s="4"/>
      <c r="I64" s="390" t="s">
        <v>352</v>
      </c>
      <c r="J64" s="176"/>
      <c r="K64" s="176"/>
      <c r="L64" s="4"/>
      <c r="M64" s="4"/>
      <c r="N64" s="137"/>
    </row>
    <row r="65" spans="1:16" s="104" customFormat="1" ht="13.5" customHeight="1" x14ac:dyDescent="0.25">
      <c r="A65" s="133"/>
      <c r="B65" s="136"/>
      <c r="C65" s="407" t="s">
        <v>316</v>
      </c>
      <c r="D65" s="3"/>
      <c r="E65" s="457">
        <v>5</v>
      </c>
      <c r="F65" s="3"/>
      <c r="G65" s="467">
        <v>16</v>
      </c>
      <c r="H65" s="3"/>
      <c r="I65" s="390" t="s">
        <v>353</v>
      </c>
      <c r="J65" s="516"/>
      <c r="K65" s="517"/>
      <c r="L65" s="517"/>
      <c r="M65" s="517"/>
      <c r="N65" s="137"/>
    </row>
    <row r="66" spans="1:16" s="104" customFormat="1" x14ac:dyDescent="0.25">
      <c r="A66" s="133"/>
      <c r="B66" s="136"/>
      <c r="C66" s="4"/>
      <c r="D66" s="3"/>
      <c r="E66" s="386"/>
      <c r="F66" s="3"/>
      <c r="G66" s="38"/>
      <c r="H66" s="3"/>
      <c r="I66" s="4"/>
      <c r="J66" s="517"/>
      <c r="K66" s="517"/>
      <c r="L66" s="517"/>
      <c r="M66" s="517"/>
      <c r="N66" s="137"/>
    </row>
    <row r="67" spans="1:16" s="104" customFormat="1" x14ac:dyDescent="0.25">
      <c r="A67" s="133"/>
      <c r="B67" s="136"/>
      <c r="C67" s="151" t="s">
        <v>454</v>
      </c>
      <c r="D67" s="3"/>
      <c r="E67" s="457">
        <v>6</v>
      </c>
      <c r="F67" s="3"/>
      <c r="G67" s="467">
        <v>58.4</v>
      </c>
      <c r="H67" s="187"/>
      <c r="I67" s="390" t="s">
        <v>127</v>
      </c>
      <c r="J67" s="4"/>
      <c r="K67" s="180"/>
      <c r="L67" s="4"/>
      <c r="M67" s="4"/>
      <c r="N67" s="137"/>
    </row>
    <row r="68" spans="1:16" s="104" customFormat="1" ht="3" customHeight="1" x14ac:dyDescent="0.25">
      <c r="A68" s="133"/>
      <c r="B68" s="136"/>
      <c r="C68" s="151"/>
      <c r="D68" s="3"/>
      <c r="E68" s="3"/>
      <c r="F68" s="3"/>
      <c r="G68" s="3"/>
      <c r="H68" s="3"/>
      <c r="I68" s="390"/>
      <c r="J68" s="4"/>
      <c r="K68" s="180"/>
      <c r="L68" s="4"/>
      <c r="M68" s="4"/>
      <c r="N68" s="137"/>
    </row>
    <row r="69" spans="1:16" s="104" customFormat="1" x14ac:dyDescent="0.25">
      <c r="A69" s="133"/>
      <c r="B69" s="136"/>
      <c r="C69" s="539" t="s">
        <v>358</v>
      </c>
      <c r="D69" s="539"/>
      <c r="E69" s="539"/>
      <c r="F69" s="539"/>
      <c r="G69" s="539"/>
      <c r="H69" s="539"/>
      <c r="I69" s="539"/>
      <c r="J69" s="539"/>
      <c r="K69" s="327"/>
      <c r="L69" s="4"/>
      <c r="M69" s="4"/>
      <c r="N69" s="137"/>
      <c r="P69" s="104">
        <v>1</v>
      </c>
    </row>
    <row r="70" spans="1:16" s="104" customFormat="1" ht="2.25" customHeight="1" x14ac:dyDescent="0.25">
      <c r="A70" s="133"/>
      <c r="B70" s="136"/>
      <c r="C70" s="6"/>
      <c r="D70" s="7"/>
      <c r="E70" s="7"/>
      <c r="F70" s="7"/>
      <c r="G70" s="7"/>
      <c r="H70" s="7"/>
      <c r="I70" s="7"/>
      <c r="J70" s="7"/>
      <c r="K70" s="7"/>
      <c r="L70" s="7"/>
      <c r="M70" s="7"/>
      <c r="N70" s="137"/>
    </row>
    <row r="71" spans="1:16" s="104" customFormat="1" ht="6" customHeight="1" x14ac:dyDescent="0.25">
      <c r="A71" s="133"/>
      <c r="B71" s="136"/>
      <c r="C71" s="3"/>
      <c r="D71" s="3"/>
      <c r="E71" s="302"/>
      <c r="F71" s="3"/>
      <c r="G71" s="4"/>
      <c r="H71" s="4"/>
      <c r="I71" s="4"/>
      <c r="J71" s="4"/>
      <c r="K71" s="4"/>
      <c r="L71" s="4"/>
      <c r="M71" s="4"/>
      <c r="N71" s="137"/>
    </row>
    <row r="72" spans="1:16" s="104" customFormat="1" ht="13.5" customHeight="1" x14ac:dyDescent="0.25">
      <c r="A72" s="133"/>
      <c r="B72" s="136"/>
      <c r="C72" s="3" t="s">
        <v>192</v>
      </c>
      <c r="D72" s="3"/>
      <c r="E72" s="302"/>
      <c r="F72" s="3"/>
      <c r="G72" s="118"/>
      <c r="H72" s="4"/>
      <c r="I72" s="4"/>
      <c r="J72" s="4"/>
      <c r="K72" s="4"/>
      <c r="L72" s="4"/>
      <c r="M72" s="4"/>
      <c r="N72" s="137"/>
    </row>
    <row r="73" spans="1:16" s="104" customFormat="1" ht="5.25" customHeight="1" x14ac:dyDescent="0.25">
      <c r="A73" s="133"/>
      <c r="B73" s="136"/>
      <c r="C73" s="3"/>
      <c r="D73" s="3"/>
      <c r="E73" s="302"/>
      <c r="F73" s="3"/>
      <c r="G73" s="4"/>
      <c r="H73" s="4"/>
      <c r="I73" s="4"/>
      <c r="J73" s="4"/>
      <c r="K73" s="4"/>
      <c r="L73" s="4"/>
      <c r="M73" s="4"/>
      <c r="N73" s="137"/>
    </row>
    <row r="74" spans="1:16" s="104" customFormat="1" ht="14.25" customHeight="1" x14ac:dyDescent="0.25">
      <c r="A74" s="133"/>
      <c r="B74" s="136"/>
      <c r="C74" s="151" t="s">
        <v>455</v>
      </c>
      <c r="D74" s="9"/>
      <c r="E74" s="457">
        <v>3</v>
      </c>
      <c r="F74" s="4"/>
      <c r="G74" s="469">
        <v>100000000</v>
      </c>
      <c r="H74" s="4"/>
      <c r="I74" s="390" t="s">
        <v>200</v>
      </c>
      <c r="J74" s="4"/>
      <c r="K74" s="4"/>
      <c r="L74" s="4"/>
      <c r="M74" s="4"/>
      <c r="N74" s="137"/>
    </row>
    <row r="75" spans="1:16" s="104" customFormat="1" ht="14.25" customHeight="1" x14ac:dyDescent="0.25">
      <c r="A75" s="133"/>
      <c r="B75" s="136"/>
      <c r="C75" s="188" t="s">
        <v>602</v>
      </c>
      <c r="D75" s="9"/>
      <c r="E75" s="457">
        <v>10</v>
      </c>
      <c r="F75" s="4"/>
      <c r="G75" s="470">
        <v>0.64200000000000002</v>
      </c>
      <c r="H75" s="4"/>
      <c r="I75" s="737" t="s">
        <v>577</v>
      </c>
      <c r="J75" s="738"/>
      <c r="K75" s="739"/>
      <c r="L75" s="735" t="s">
        <v>358</v>
      </c>
      <c r="M75" s="736"/>
      <c r="N75" s="137"/>
    </row>
    <row r="76" spans="1:16" s="104" customFormat="1" ht="13.5" customHeight="1" x14ac:dyDescent="0.25">
      <c r="A76" s="133"/>
      <c r="B76" s="136"/>
      <c r="C76" s="188" t="s">
        <v>411</v>
      </c>
      <c r="D76" s="9"/>
      <c r="E76" s="457">
        <v>10</v>
      </c>
      <c r="F76" s="4"/>
      <c r="G76" s="470">
        <v>642</v>
      </c>
      <c r="H76" s="4"/>
      <c r="I76" s="459" t="s">
        <v>128</v>
      </c>
      <c r="J76" s="4"/>
      <c r="K76" s="4"/>
      <c r="L76" s="118"/>
      <c r="M76" s="4"/>
      <c r="N76" s="137"/>
    </row>
    <row r="77" spans="1:16" s="104" customFormat="1" ht="2.25" customHeight="1" x14ac:dyDescent="0.25">
      <c r="A77" s="133"/>
      <c r="B77" s="136"/>
      <c r="C77" s="3"/>
      <c r="D77" s="3"/>
      <c r="E77" s="299"/>
      <c r="F77" s="3"/>
      <c r="G77" s="4"/>
      <c r="H77" s="4"/>
      <c r="I77" s="4"/>
      <c r="J77" s="4"/>
      <c r="K77" s="4"/>
      <c r="L77" s="4"/>
      <c r="M77" s="4"/>
      <c r="N77" s="137"/>
    </row>
    <row r="78" spans="1:16" s="104" customFormat="1" ht="13.5" customHeight="1" x14ac:dyDescent="0.25">
      <c r="A78" s="133"/>
      <c r="B78" s="136"/>
      <c r="C78" s="515" t="s">
        <v>129</v>
      </c>
      <c r="D78" s="515"/>
      <c r="E78" s="515"/>
      <c r="F78" s="515"/>
      <c r="G78" s="515"/>
      <c r="H78" s="515"/>
      <c r="I78" s="515"/>
      <c r="J78" s="515"/>
      <c r="K78" s="515"/>
      <c r="L78" s="515"/>
      <c r="M78" s="4"/>
      <c r="N78" s="137"/>
      <c r="P78" s="104">
        <v>1</v>
      </c>
    </row>
    <row r="79" spans="1:16" s="104" customFormat="1" ht="2.25" customHeight="1" x14ac:dyDescent="0.25">
      <c r="A79" s="133"/>
      <c r="B79" s="136"/>
      <c r="C79" s="6"/>
      <c r="D79" s="6"/>
      <c r="E79" s="298"/>
      <c r="F79" s="6"/>
      <c r="G79" s="7"/>
      <c r="H79" s="7"/>
      <c r="I79" s="7"/>
      <c r="J79" s="7"/>
      <c r="K79" s="7"/>
      <c r="L79" s="7"/>
      <c r="M79" s="7"/>
      <c r="N79" s="137"/>
    </row>
    <row r="80" spans="1:16" s="104" customFormat="1" ht="6" customHeight="1" x14ac:dyDescent="0.25">
      <c r="A80" s="133"/>
      <c r="B80" s="136"/>
      <c r="C80" s="190"/>
      <c r="D80" s="3"/>
      <c r="E80" s="295"/>
      <c r="F80" s="3"/>
      <c r="G80" s="4"/>
      <c r="H80" s="4"/>
      <c r="I80" s="4"/>
      <c r="J80" s="4"/>
      <c r="K80" s="4"/>
      <c r="L80" s="4"/>
      <c r="M80" s="4"/>
      <c r="N80" s="137"/>
    </row>
    <row r="81" spans="1:14" s="104" customFormat="1" ht="13.5" customHeight="1" x14ac:dyDescent="0.25">
      <c r="A81" s="133"/>
      <c r="B81" s="136"/>
      <c r="C81" s="3" t="s">
        <v>196</v>
      </c>
      <c r="D81" s="3"/>
      <c r="E81" s="295"/>
      <c r="F81" s="3"/>
      <c r="G81" s="4"/>
      <c r="H81" s="4"/>
      <c r="I81" s="120"/>
      <c r="J81" s="4"/>
      <c r="K81" s="4"/>
      <c r="L81" s="4"/>
      <c r="M81" s="4"/>
      <c r="N81" s="137"/>
    </row>
    <row r="82" spans="1:14" s="104" customFormat="1" ht="5.25" customHeight="1" x14ac:dyDescent="0.25">
      <c r="A82" s="133"/>
      <c r="B82" s="136"/>
      <c r="C82" s="3"/>
      <c r="D82" s="3"/>
      <c r="E82" s="295"/>
      <c r="F82" s="3"/>
      <c r="G82" s="4"/>
      <c r="H82" s="4"/>
      <c r="I82" s="4"/>
      <c r="J82" s="4"/>
      <c r="K82" s="4"/>
      <c r="L82" s="4"/>
      <c r="M82" s="4"/>
      <c r="N82" s="137"/>
    </row>
    <row r="83" spans="1:14" s="104" customFormat="1" ht="13.5" customHeight="1" x14ac:dyDescent="0.25">
      <c r="A83" s="133"/>
      <c r="B83" s="136"/>
      <c r="C83" s="191" t="s">
        <v>197</v>
      </c>
      <c r="D83" s="3"/>
      <c r="E83" s="295"/>
      <c r="F83" s="3"/>
      <c r="G83" s="4"/>
      <c r="H83" s="4"/>
      <c r="I83" s="4"/>
      <c r="J83" s="4"/>
      <c r="K83" s="4"/>
      <c r="L83" s="4"/>
      <c r="M83" s="4"/>
      <c r="N83" s="137"/>
    </row>
    <row r="84" spans="1:14" s="104" customFormat="1" ht="13.5" customHeight="1" x14ac:dyDescent="0.25">
      <c r="A84" s="133"/>
      <c r="B84" s="136"/>
      <c r="C84" s="176"/>
      <c r="D84" s="3"/>
      <c r="E84" s="295"/>
      <c r="F84" s="3"/>
      <c r="G84" s="151" t="s">
        <v>148</v>
      </c>
      <c r="H84" s="4"/>
      <c r="I84" s="79">
        <v>0.12489687739141805</v>
      </c>
      <c r="J84" s="4"/>
      <c r="K84" s="4"/>
      <c r="L84" s="4"/>
      <c r="M84" s="4"/>
      <c r="N84" s="137"/>
    </row>
    <row r="85" spans="1:14" s="104" customFormat="1" ht="13.5" customHeight="1" x14ac:dyDescent="0.25">
      <c r="A85" s="133"/>
      <c r="B85" s="136"/>
      <c r="C85" s="176"/>
      <c r="D85" s="3"/>
      <c r="E85" s="295"/>
      <c r="F85" s="3"/>
      <c r="G85" s="151" t="s">
        <v>147</v>
      </c>
      <c r="H85" s="4"/>
      <c r="I85" s="79">
        <v>0.15036025200000011</v>
      </c>
      <c r="J85" s="4"/>
      <c r="K85" s="4"/>
      <c r="L85" s="4"/>
      <c r="M85" s="4"/>
      <c r="N85" s="137"/>
    </row>
    <row r="86" spans="1:14" s="104" customFormat="1" ht="13.5" customHeight="1" x14ac:dyDescent="0.25">
      <c r="A86" s="133"/>
      <c r="B86" s="136"/>
      <c r="C86" s="176"/>
      <c r="D86" s="3"/>
      <c r="E86" s="295"/>
      <c r="F86" s="3"/>
      <c r="G86" s="151" t="s">
        <v>412</v>
      </c>
      <c r="H86" s="4"/>
      <c r="I86" s="119">
        <v>2399667.6</v>
      </c>
      <c r="J86" s="4"/>
      <c r="K86" s="4"/>
      <c r="L86" s="4"/>
      <c r="M86" s="4"/>
      <c r="N86" s="137"/>
    </row>
    <row r="87" spans="1:14" s="104" customFormat="1" ht="13.5" customHeight="1" x14ac:dyDescent="0.25">
      <c r="A87" s="133"/>
      <c r="B87" s="136"/>
      <c r="C87" s="176"/>
      <c r="D87" s="3"/>
      <c r="E87" s="295"/>
      <c r="F87" s="3"/>
      <c r="G87" s="151" t="s">
        <v>573</v>
      </c>
      <c r="H87" s="4"/>
      <c r="I87" s="119">
        <v>11353320.600000011</v>
      </c>
      <c r="J87" s="4"/>
      <c r="K87" s="4"/>
      <c r="L87" s="4"/>
      <c r="M87" s="4"/>
      <c r="N87" s="137"/>
    </row>
    <row r="88" spans="1:14" s="104" customFormat="1" ht="5.25" customHeight="1" x14ac:dyDescent="0.25">
      <c r="A88" s="133"/>
      <c r="B88" s="136"/>
      <c r="C88" s="3"/>
      <c r="D88" s="3"/>
      <c r="E88" s="295"/>
      <c r="F88" s="3"/>
      <c r="G88" s="4"/>
      <c r="H88" s="4"/>
      <c r="I88" s="4"/>
      <c r="J88" s="4"/>
      <c r="K88" s="4"/>
      <c r="L88" s="4"/>
      <c r="M88" s="4"/>
      <c r="N88" s="137"/>
    </row>
    <row r="89" spans="1:14" s="104" customFormat="1" ht="13.5" customHeight="1" x14ac:dyDescent="0.25">
      <c r="A89" s="133"/>
      <c r="B89" s="136"/>
      <c r="C89" s="191" t="s">
        <v>198</v>
      </c>
      <c r="D89" s="3"/>
      <c r="E89" s="295"/>
      <c r="F89" s="3"/>
      <c r="G89" s="3"/>
      <c r="H89" s="4"/>
      <c r="I89" s="4"/>
      <c r="J89" s="4"/>
      <c r="K89" s="4"/>
      <c r="L89" s="4"/>
      <c r="M89" s="4"/>
      <c r="N89" s="137"/>
    </row>
    <row r="90" spans="1:14" s="104" customFormat="1" ht="5.25" customHeight="1" x14ac:dyDescent="0.25">
      <c r="A90" s="133"/>
      <c r="B90" s="136"/>
      <c r="C90" s="191"/>
      <c r="D90" s="3"/>
      <c r="E90" s="295"/>
      <c r="F90" s="3"/>
      <c r="G90" s="4"/>
      <c r="H90" s="4"/>
      <c r="I90" s="4"/>
      <c r="J90" s="4"/>
      <c r="K90" s="4"/>
      <c r="L90" s="4"/>
      <c r="M90" s="4"/>
      <c r="N90" s="137"/>
    </row>
    <row r="91" spans="1:14" s="104" customFormat="1" ht="13.5" customHeight="1" x14ac:dyDescent="0.25">
      <c r="A91" s="133"/>
      <c r="B91" s="136"/>
      <c r="C91" s="12"/>
      <c r="D91" s="12"/>
      <c r="E91" s="305"/>
      <c r="F91" s="12"/>
      <c r="G91" s="151" t="s">
        <v>254</v>
      </c>
      <c r="H91" s="4"/>
      <c r="I91" s="37">
        <v>35.569191035951022</v>
      </c>
      <c r="J91" s="390" t="s">
        <v>130</v>
      </c>
      <c r="K91" s="4"/>
      <c r="L91" s="4"/>
      <c r="M91" s="4"/>
      <c r="N91" s="137"/>
    </row>
    <row r="92" spans="1:14" s="104" customFormat="1" ht="8.25" customHeight="1" x14ac:dyDescent="0.25">
      <c r="A92" s="133"/>
      <c r="B92" s="136"/>
      <c r="C92" s="191"/>
      <c r="D92" s="3"/>
      <c r="E92" s="295"/>
      <c r="F92" s="3"/>
      <c r="G92" s="4"/>
      <c r="H92" s="4"/>
      <c r="I92" s="4"/>
      <c r="J92" s="4"/>
      <c r="K92" s="4"/>
      <c r="L92" s="4"/>
      <c r="M92" s="4"/>
      <c r="N92" s="137"/>
    </row>
    <row r="93" spans="1:14" s="104" customFormat="1" x14ac:dyDescent="0.25">
      <c r="A93" s="133"/>
      <c r="B93" s="136"/>
      <c r="C93" s="3"/>
      <c r="D93" s="3"/>
      <c r="E93" s="295"/>
      <c r="F93" s="3"/>
      <c r="G93" s="151" t="s">
        <v>255</v>
      </c>
      <c r="H93" s="4"/>
      <c r="I93" s="406">
        <v>168.28515304111224</v>
      </c>
      <c r="J93" s="390" t="s">
        <v>130</v>
      </c>
      <c r="K93" s="4"/>
      <c r="L93" s="4"/>
      <c r="M93" s="4"/>
      <c r="N93" s="137"/>
    </row>
    <row r="94" spans="1:14" s="104" customFormat="1" ht="8.25" customHeight="1" x14ac:dyDescent="0.25">
      <c r="A94" s="133"/>
      <c r="B94" s="136"/>
      <c r="C94" s="3"/>
      <c r="D94" s="3"/>
      <c r="E94" s="295"/>
      <c r="F94" s="3"/>
      <c r="G94" s="4"/>
      <c r="H94" s="4"/>
      <c r="I94" s="35"/>
      <c r="J94" s="4"/>
      <c r="K94" s="4"/>
      <c r="L94" s="4"/>
      <c r="M94" s="4"/>
      <c r="N94" s="137"/>
    </row>
    <row r="95" spans="1:14" s="104" customFormat="1" x14ac:dyDescent="0.25">
      <c r="A95" s="133"/>
      <c r="B95" s="136"/>
      <c r="C95" s="3"/>
      <c r="D95" s="3"/>
      <c r="E95" s="295"/>
      <c r="F95" s="3"/>
      <c r="G95" s="151" t="s">
        <v>256</v>
      </c>
      <c r="H95" s="4"/>
      <c r="I95" s="406" t="s">
        <v>131</v>
      </c>
      <c r="J95" s="390" t="s">
        <v>358</v>
      </c>
      <c r="K95" s="4"/>
      <c r="L95" s="4"/>
      <c r="M95" s="4"/>
      <c r="N95" s="137"/>
    </row>
    <row r="96" spans="1:14" s="104" customFormat="1" ht="8.25" customHeight="1" x14ac:dyDescent="0.25">
      <c r="A96" s="133"/>
      <c r="B96" s="136"/>
      <c r="C96" s="3"/>
      <c r="D96" s="3"/>
      <c r="E96" s="295"/>
      <c r="F96" s="3"/>
      <c r="G96" s="4"/>
      <c r="H96" s="4"/>
      <c r="I96" s="35"/>
      <c r="J96" s="4"/>
      <c r="K96" s="4"/>
      <c r="L96" s="4"/>
      <c r="M96" s="4"/>
      <c r="N96" s="137"/>
    </row>
    <row r="97" spans="1:16" s="104" customFormat="1" x14ac:dyDescent="0.25">
      <c r="A97" s="133"/>
      <c r="B97" s="136"/>
      <c r="C97" s="3"/>
      <c r="D97" s="3"/>
      <c r="E97" s="295"/>
      <c r="F97" s="3"/>
      <c r="G97" s="151" t="s">
        <v>132</v>
      </c>
      <c r="H97" s="4"/>
      <c r="I97" s="116">
        <v>2.8815950863204152</v>
      </c>
      <c r="J97" s="390" t="s">
        <v>133</v>
      </c>
      <c r="K97" s="4"/>
      <c r="L97" s="4"/>
      <c r="M97" s="4"/>
      <c r="N97" s="137"/>
    </row>
    <row r="98" spans="1:16" s="104" customFormat="1" ht="8.25" customHeight="1" x14ac:dyDescent="0.25">
      <c r="A98" s="133"/>
      <c r="B98" s="136"/>
      <c r="C98" s="3"/>
      <c r="D98" s="3"/>
      <c r="E98" s="295"/>
      <c r="F98" s="3"/>
      <c r="G98" s="132"/>
      <c r="H98" s="4"/>
      <c r="I98" s="36"/>
      <c r="J98" s="4"/>
      <c r="K98" s="4"/>
      <c r="L98" s="4"/>
      <c r="M98" s="4"/>
      <c r="N98" s="137"/>
    </row>
    <row r="99" spans="1:16" s="104" customFormat="1" x14ac:dyDescent="0.25">
      <c r="A99" s="133"/>
      <c r="B99" s="136"/>
      <c r="C99" s="3"/>
      <c r="D99" s="3"/>
      <c r="E99" s="295"/>
      <c r="F99" s="3"/>
      <c r="G99" s="151" t="s">
        <v>199</v>
      </c>
      <c r="H99" s="4"/>
      <c r="I99" s="116">
        <v>8960.9053439999989</v>
      </c>
      <c r="J99" s="390" t="s">
        <v>545</v>
      </c>
      <c r="K99" s="4"/>
      <c r="L99" s="4"/>
      <c r="M99" s="236"/>
      <c r="N99" s="137"/>
    </row>
    <row r="100" spans="1:16" s="104" customFormat="1" ht="2.25" customHeight="1" x14ac:dyDescent="0.25">
      <c r="A100" s="133"/>
      <c r="B100" s="136"/>
      <c r="C100" s="3"/>
      <c r="D100" s="3"/>
      <c r="E100" s="3"/>
      <c r="F100" s="3"/>
      <c r="G100" s="3"/>
      <c r="H100" s="3"/>
      <c r="I100" s="3"/>
      <c r="J100" s="3"/>
      <c r="K100" s="3"/>
      <c r="L100" s="3"/>
      <c r="M100" s="3"/>
      <c r="N100" s="137"/>
    </row>
    <row r="101" spans="1:16" s="104" customFormat="1" ht="13.5" customHeight="1" x14ac:dyDescent="0.25">
      <c r="A101" s="133"/>
      <c r="B101" s="136"/>
      <c r="C101" s="740" t="s">
        <v>358</v>
      </c>
      <c r="D101" s="741"/>
      <c r="E101" s="741"/>
      <c r="F101" s="741"/>
      <c r="G101" s="741"/>
      <c r="H101" s="741"/>
      <c r="I101" s="741"/>
      <c r="J101" s="741"/>
      <c r="K101" s="741"/>
      <c r="L101" s="741"/>
      <c r="M101" s="741"/>
      <c r="N101" s="137"/>
    </row>
    <row r="102" spans="1:16" s="104" customFormat="1" ht="2.25" customHeight="1" x14ac:dyDescent="0.25">
      <c r="A102" s="133"/>
      <c r="B102" s="136"/>
      <c r="C102" s="471"/>
      <c r="D102" s="471"/>
      <c r="E102" s="471"/>
      <c r="F102" s="471"/>
      <c r="G102" s="471"/>
      <c r="H102" s="471"/>
      <c r="I102" s="471"/>
      <c r="J102" s="471"/>
      <c r="K102" s="471"/>
      <c r="L102" s="471"/>
      <c r="M102" s="471"/>
      <c r="N102" s="137"/>
    </row>
    <row r="103" spans="1:16" s="104" customFormat="1" ht="13.5" customHeight="1" x14ac:dyDescent="0.25">
      <c r="A103" s="133"/>
      <c r="B103" s="136"/>
      <c r="C103" s="472"/>
      <c r="D103" s="472"/>
      <c r="E103" s="472"/>
      <c r="F103" s="472"/>
      <c r="G103" s="473" t="s">
        <v>166</v>
      </c>
      <c r="H103" s="474"/>
      <c r="I103" s="116">
        <v>17684.3</v>
      </c>
      <c r="J103" s="472" t="s">
        <v>545</v>
      </c>
      <c r="K103" s="474"/>
      <c r="L103" s="474"/>
      <c r="M103" s="474"/>
      <c r="N103" s="137"/>
    </row>
    <row r="104" spans="1:16" s="104" customFormat="1" ht="8.25" customHeight="1" x14ac:dyDescent="0.25">
      <c r="A104" s="133"/>
      <c r="B104" s="136"/>
      <c r="C104" s="471"/>
      <c r="D104" s="471"/>
      <c r="E104" s="471"/>
      <c r="F104" s="471"/>
      <c r="G104" s="471"/>
      <c r="H104" s="471"/>
      <c r="I104" s="471"/>
      <c r="J104" s="471"/>
      <c r="K104" s="471"/>
      <c r="L104" s="471"/>
      <c r="M104" s="471"/>
      <c r="N104" s="137"/>
    </row>
    <row r="105" spans="1:16" s="104" customFormat="1" ht="13.5" customHeight="1" x14ac:dyDescent="0.25">
      <c r="A105" s="133"/>
      <c r="B105" s="136"/>
      <c r="C105" s="537" t="s">
        <v>165</v>
      </c>
      <c r="D105" s="537"/>
      <c r="E105" s="537"/>
      <c r="F105" s="537"/>
      <c r="G105" s="537"/>
      <c r="H105" s="80"/>
      <c r="I105" s="247">
        <v>1.9734947888765491</v>
      </c>
      <c r="J105" s="4"/>
      <c r="K105" s="192"/>
      <c r="L105" s="4"/>
      <c r="M105" s="4"/>
      <c r="N105" s="137"/>
    </row>
    <row r="106" spans="1:16" s="104" customFormat="1" ht="8.25" customHeight="1" x14ac:dyDescent="0.25">
      <c r="A106" s="133"/>
      <c r="B106" s="136"/>
      <c r="C106" s="206"/>
      <c r="D106" s="206"/>
      <c r="E106" s="306"/>
      <c r="F106" s="206"/>
      <c r="G106" s="206"/>
      <c r="H106" s="4"/>
      <c r="I106" s="4"/>
      <c r="J106" s="4"/>
      <c r="K106" s="192"/>
      <c r="L106" s="4"/>
      <c r="M106" s="4"/>
      <c r="N106" s="137"/>
    </row>
    <row r="107" spans="1:16" s="104" customFormat="1" ht="19.5" customHeight="1" x14ac:dyDescent="0.25">
      <c r="A107" s="133"/>
      <c r="B107" s="136"/>
      <c r="C107" s="323" t="s">
        <v>441</v>
      </c>
      <c r="D107" s="206"/>
      <c r="E107" s="306"/>
      <c r="F107" s="206"/>
      <c r="G107" s="206"/>
      <c r="H107" s="4"/>
      <c r="I107" s="4"/>
      <c r="J107" s="4"/>
      <c r="K107" s="192"/>
      <c r="L107" s="4"/>
      <c r="M107" s="4"/>
      <c r="N107" s="137"/>
    </row>
    <row r="108" spans="1:16" s="338" customFormat="1" ht="21" customHeight="1" x14ac:dyDescent="0.25">
      <c r="A108" s="334"/>
      <c r="B108" s="136"/>
      <c r="C108" s="335" t="s">
        <v>539</v>
      </c>
      <c r="D108" s="206"/>
      <c r="E108" s="306"/>
      <c r="F108" s="206"/>
      <c r="G108" s="206"/>
      <c r="H108" s="244"/>
      <c r="I108" s="244"/>
      <c r="J108" s="244"/>
      <c r="K108" s="336"/>
      <c r="L108" s="244"/>
      <c r="M108" s="244"/>
      <c r="N108" s="337"/>
    </row>
    <row r="109" spans="1:16" s="338" customFormat="1" ht="2.25" customHeight="1" x14ac:dyDescent="0.25">
      <c r="A109" s="334"/>
      <c r="B109" s="136"/>
      <c r="C109" s="335"/>
      <c r="D109" s="206"/>
      <c r="E109" s="306"/>
      <c r="F109" s="206"/>
      <c r="G109" s="206"/>
      <c r="H109" s="244"/>
      <c r="I109" s="244"/>
      <c r="J109" s="244"/>
      <c r="K109" s="336"/>
      <c r="L109" s="244"/>
      <c r="M109" s="244"/>
      <c r="N109" s="337"/>
    </row>
    <row r="110" spans="1:16" s="329" customFormat="1" ht="22.5" customHeight="1" x14ac:dyDescent="0.25">
      <c r="A110" s="324"/>
      <c r="B110" s="136"/>
      <c r="C110" s="534" t="s">
        <v>242</v>
      </c>
      <c r="D110" s="535"/>
      <c r="E110" s="535"/>
      <c r="F110" s="535"/>
      <c r="G110" s="535"/>
      <c r="H110" s="535"/>
      <c r="I110" s="535"/>
      <c r="J110" s="535"/>
      <c r="K110" s="535"/>
      <c r="L110" s="535"/>
      <c r="M110" s="536"/>
      <c r="N110" s="328"/>
      <c r="P110" s="377">
        <v>0</v>
      </c>
    </row>
    <row r="111" spans="1:16" s="329" customFormat="1" ht="2.25" customHeight="1" x14ac:dyDescent="0.25">
      <c r="A111" s="324"/>
      <c r="B111" s="136"/>
      <c r="C111" s="325"/>
      <c r="D111" s="326"/>
      <c r="E111" s="306"/>
      <c r="F111" s="376"/>
      <c r="G111" s="326"/>
      <c r="H111" s="180"/>
      <c r="I111" s="180"/>
      <c r="J111" s="180"/>
      <c r="K111" s="327"/>
      <c r="L111" s="180"/>
      <c r="M111" s="180"/>
      <c r="N111" s="328"/>
      <c r="P111" s="377"/>
    </row>
    <row r="112" spans="1:16" s="329" customFormat="1" ht="19.5" customHeight="1" x14ac:dyDescent="0.25">
      <c r="A112" s="324"/>
      <c r="B112" s="136"/>
      <c r="C112" s="526" t="s">
        <v>416</v>
      </c>
      <c r="D112" s="526"/>
      <c r="E112" s="526"/>
      <c r="F112" s="526"/>
      <c r="G112" s="526"/>
      <c r="H112" s="526"/>
      <c r="I112" s="526"/>
      <c r="J112" s="526"/>
      <c r="K112" s="526"/>
      <c r="L112" s="526"/>
      <c r="M112" s="526"/>
      <c r="N112" s="328"/>
      <c r="P112" s="377"/>
    </row>
    <row r="113" spans="1:14" s="104" customFormat="1" ht="21.75" customHeight="1" x14ac:dyDescent="0.25">
      <c r="A113" s="133"/>
      <c r="B113" s="136"/>
      <c r="C113" s="475" t="s">
        <v>462</v>
      </c>
      <c r="D113" s="524"/>
      <c r="E113" s="525"/>
      <c r="F113" s="525"/>
      <c r="G113" s="525"/>
      <c r="H113" s="525"/>
      <c r="I113" s="525"/>
      <c r="J113" s="525"/>
      <c r="K113" s="525"/>
      <c r="L113" s="525"/>
      <c r="M113" s="525"/>
      <c r="N113" s="137"/>
    </row>
    <row r="114" spans="1:14" s="104" customFormat="1" ht="19.5" customHeight="1" x14ac:dyDescent="0.25">
      <c r="A114" s="133"/>
      <c r="B114" s="136"/>
      <c r="C114" s="742" t="s">
        <v>538</v>
      </c>
      <c r="D114" s="517"/>
      <c r="E114" s="517"/>
      <c r="F114" s="517"/>
      <c r="G114" s="517"/>
      <c r="H114" s="517"/>
      <c r="I114" s="517"/>
      <c r="J114" s="517"/>
      <c r="K114" s="517"/>
      <c r="L114" s="517"/>
      <c r="M114" s="517"/>
      <c r="N114" s="137"/>
    </row>
    <row r="115" spans="1:14" s="104" customFormat="1" ht="15" customHeight="1" x14ac:dyDescent="0.25">
      <c r="A115" s="133"/>
      <c r="B115" s="136"/>
      <c r="C115" s="476" t="s">
        <v>134</v>
      </c>
      <c r="D115" s="3"/>
      <c r="E115" s="295"/>
      <c r="F115" s="3"/>
      <c r="G115" s="4"/>
      <c r="H115" s="4"/>
      <c r="I115" s="4"/>
      <c r="J115" s="4"/>
      <c r="K115" s="4"/>
      <c r="L115" s="4"/>
      <c r="M115" s="4"/>
      <c r="N115" s="137"/>
    </row>
    <row r="116" spans="1:14" s="104" customFormat="1" ht="5.25" customHeight="1" x14ac:dyDescent="0.25">
      <c r="A116" s="133"/>
      <c r="B116" s="136"/>
      <c r="C116" s="189"/>
      <c r="D116" s="3"/>
      <c r="E116" s="295"/>
      <c r="F116" s="3"/>
      <c r="G116" s="4"/>
      <c r="H116" s="4"/>
      <c r="I116" s="4"/>
      <c r="J116" s="4"/>
      <c r="K116" s="4"/>
      <c r="L116" s="4"/>
      <c r="M116" s="4"/>
      <c r="N116" s="137"/>
    </row>
    <row r="117" spans="1:14" s="104" customFormat="1" ht="15" customHeight="1" x14ac:dyDescent="0.25">
      <c r="A117" s="133"/>
      <c r="B117" s="136"/>
      <c r="C117" s="476" t="s">
        <v>243</v>
      </c>
      <c r="D117" s="3"/>
      <c r="E117" s="295"/>
      <c r="F117" s="3"/>
      <c r="G117" s="4"/>
      <c r="H117" s="4"/>
      <c r="I117" s="4"/>
      <c r="J117" s="4"/>
      <c r="K117" s="4"/>
      <c r="L117" s="4"/>
      <c r="M117" s="4"/>
      <c r="N117" s="137"/>
    </row>
    <row r="118" spans="1:14" s="104" customFormat="1" ht="5.25" customHeight="1" x14ac:dyDescent="0.25">
      <c r="A118" s="133"/>
      <c r="B118" s="136"/>
      <c r="C118" s="189"/>
      <c r="D118" s="3"/>
      <c r="E118" s="295"/>
      <c r="F118" s="3"/>
      <c r="G118" s="4"/>
      <c r="H118" s="4"/>
      <c r="I118" s="4"/>
      <c r="J118" s="4"/>
      <c r="K118" s="4"/>
      <c r="L118" s="4"/>
      <c r="M118" s="4"/>
      <c r="N118" s="137"/>
    </row>
    <row r="119" spans="1:14" s="104" customFormat="1" ht="15" customHeight="1" x14ac:dyDescent="0.25">
      <c r="A119" s="133"/>
      <c r="B119" s="136"/>
      <c r="C119" s="476" t="s">
        <v>244</v>
      </c>
      <c r="D119" s="3"/>
      <c r="E119" s="295"/>
      <c r="F119" s="3"/>
      <c r="G119" s="4"/>
      <c r="H119" s="4"/>
      <c r="I119" s="4"/>
      <c r="J119" s="4"/>
      <c r="K119" s="4"/>
      <c r="L119" s="4"/>
      <c r="M119" s="4"/>
      <c r="N119" s="137"/>
    </row>
    <row r="120" spans="1:14" s="104" customFormat="1" ht="14.25" customHeight="1" thickBot="1" x14ac:dyDescent="0.3">
      <c r="A120" s="133"/>
      <c r="B120" s="159"/>
      <c r="C120" s="330"/>
      <c r="D120" s="331"/>
      <c r="E120" s="332"/>
      <c r="F120" s="331"/>
      <c r="G120" s="160"/>
      <c r="H120" s="160"/>
      <c r="I120" s="160"/>
      <c r="J120" s="160"/>
      <c r="K120" s="160"/>
      <c r="L120" s="160"/>
      <c r="M120" s="160"/>
      <c r="N120" s="161"/>
    </row>
    <row r="123" spans="1:14" hidden="1" x14ac:dyDescent="0.25">
      <c r="G123" s="193"/>
      <c r="H123" s="193"/>
      <c r="I123" s="193"/>
    </row>
    <row r="152" ht="7.5" customHeight="1" thickTop="1" x14ac:dyDescent="0.25"/>
  </sheetData>
  <sheetProtection password="E218" sheet="1" objects="1" scenarios="1" selectLockedCells="1" selectUnlockedCells="1"/>
  <mergeCells count="27">
    <mergeCell ref="I75:K75"/>
    <mergeCell ref="C101:M101"/>
    <mergeCell ref="D113:M113"/>
    <mergeCell ref="C112:M112"/>
    <mergeCell ref="C114:M114"/>
    <mergeCell ref="C110:M110"/>
    <mergeCell ref="C105:G105"/>
    <mergeCell ref="K15:M15"/>
    <mergeCell ref="C40:J40"/>
    <mergeCell ref="C49:J49"/>
    <mergeCell ref="C69:J69"/>
    <mergeCell ref="C78:L78"/>
    <mergeCell ref="J65:M66"/>
    <mergeCell ref="C45:J45"/>
    <mergeCell ref="L42:M42"/>
    <mergeCell ref="L44:M51"/>
    <mergeCell ref="L75:M75"/>
    <mergeCell ref="L38:M38"/>
    <mergeCell ref="C28:J28"/>
    <mergeCell ref="K35:K36"/>
    <mergeCell ref="L26:M26"/>
    <mergeCell ref="B2:J2"/>
    <mergeCell ref="C7:M8"/>
    <mergeCell ref="D5:E5"/>
    <mergeCell ref="I15:J15"/>
    <mergeCell ref="G5:H5"/>
    <mergeCell ref="D12:I12"/>
  </mergeCells>
  <phoneticPr fontId="0" type="noConversion"/>
  <conditionalFormatting sqref="C9:M9">
    <cfRule type="expression" dxfId="41" priority="1" stopIfTrue="1">
      <formula>E14=""=TRUE</formula>
    </cfRule>
  </conditionalFormatting>
  <conditionalFormatting sqref="C32">
    <cfRule type="expression" dxfId="40" priority="2" stopIfTrue="1">
      <formula>AND(G30&gt;=G19,(G30&lt;&gt;0))</formula>
    </cfRule>
  </conditionalFormatting>
  <conditionalFormatting sqref="D32">
    <cfRule type="expression" dxfId="39" priority="3" stopIfTrue="1">
      <formula>AND(G30&gt;=G19,(G30&lt;&gt;0))</formula>
    </cfRule>
  </conditionalFormatting>
  <conditionalFormatting sqref="F32">
    <cfRule type="expression" dxfId="38" priority="4" stopIfTrue="1">
      <formula>AND(G30&gt;=G19,(G30&lt;&gt;0))</formula>
    </cfRule>
  </conditionalFormatting>
  <conditionalFormatting sqref="G32">
    <cfRule type="expression" dxfId="37" priority="5" stopIfTrue="1">
      <formula>AND(G30&gt;=G19,(G30&lt;&gt;0))</formula>
    </cfRule>
  </conditionalFormatting>
  <conditionalFormatting sqref="H32">
    <cfRule type="expression" dxfId="36" priority="6" stopIfTrue="1">
      <formula>AND(G30&gt;=G19,(G30&lt;&gt;0))</formula>
    </cfRule>
  </conditionalFormatting>
  <conditionalFormatting sqref="J32">
    <cfRule type="expression" dxfId="35" priority="7" stopIfTrue="1">
      <formula>AND(G30&gt;=G19,(G30&lt;&gt;0))</formula>
    </cfRule>
  </conditionalFormatting>
  <conditionalFormatting sqref="I32">
    <cfRule type="expression" dxfId="34" priority="8" stopIfTrue="1">
      <formula>AND(G30&gt;=G19,(G30&lt;&gt;0))</formula>
    </cfRule>
  </conditionalFormatting>
  <conditionalFormatting sqref="E32">
    <cfRule type="expression" dxfId="33" priority="9" stopIfTrue="1">
      <formula>AND(G30&gt;=G19,(G30&lt;&gt;0))</formula>
    </cfRule>
  </conditionalFormatting>
  <conditionalFormatting sqref="F111">
    <cfRule type="expression" dxfId="32" priority="10" stopIfTrue="1">
      <formula>"B106=0"</formula>
    </cfRule>
  </conditionalFormatting>
  <conditionalFormatting sqref="A110:A112 N110:IV112 D111 G111:M111">
    <cfRule type="expression" dxfId="31" priority="11" stopIfTrue="1">
      <formula>"M22=0"</formula>
    </cfRule>
  </conditionalFormatting>
  <conditionalFormatting sqref="G35 G42 G38 G30 G23:G26">
    <cfRule type="cellIs" dxfId="30" priority="12" stopIfTrue="1" operator="greaterThan">
      <formula>$G$19</formula>
    </cfRule>
  </conditionalFormatting>
  <conditionalFormatting sqref="G47">
    <cfRule type="cellIs" dxfId="29" priority="13" stopIfTrue="1" operator="greaterThan">
      <formula>$G$35</formula>
    </cfRule>
  </conditionalFormatting>
  <conditionalFormatting sqref="L38">
    <cfRule type="expression" dxfId="28" priority="14" stopIfTrue="1">
      <formula>$P$38=1</formula>
    </cfRule>
  </conditionalFormatting>
  <conditionalFormatting sqref="L42:M42">
    <cfRule type="expression" dxfId="27" priority="15" stopIfTrue="1">
      <formula>$P$42=1</formula>
    </cfRule>
  </conditionalFormatting>
  <conditionalFormatting sqref="J38">
    <cfRule type="expression" dxfId="26" priority="16" stopIfTrue="1">
      <formula>$P$38=2</formula>
    </cfRule>
  </conditionalFormatting>
  <conditionalFormatting sqref="G41">
    <cfRule type="expression" dxfId="25" priority="17" stopIfTrue="1">
      <formula>$P$38=2</formula>
    </cfRule>
  </conditionalFormatting>
  <conditionalFormatting sqref="F29">
    <cfRule type="expression" dxfId="24" priority="18" stopIfTrue="1">
      <formula>$P$26=2</formula>
    </cfRule>
  </conditionalFormatting>
  <conditionalFormatting sqref="L26">
    <cfRule type="expression" dxfId="23" priority="19" stopIfTrue="1">
      <formula>$P$26=1</formula>
    </cfRule>
  </conditionalFormatting>
  <conditionalFormatting sqref="J26">
    <cfRule type="expression" dxfId="22" priority="20" stopIfTrue="1">
      <formula>$P$26=2</formula>
    </cfRule>
  </conditionalFormatting>
  <conditionalFormatting sqref="C49:J49">
    <cfRule type="expression" dxfId="21" priority="21" stopIfTrue="1">
      <formula>AND($G$47&gt;=$G$35,($G$47&lt;&gt;0))</formula>
    </cfRule>
  </conditionalFormatting>
  <conditionalFormatting sqref="C69:J69">
    <cfRule type="expression" dxfId="20" priority="22" stopIfTrue="1">
      <formula>OR(AND(NOT(ISBLANK($G$67)),$P$69=1,$G$67&lt;=25),AND(NOT(ISBLANK($G$67)),$P$69&lt;&gt;1,$G$67&lt;=40))</formula>
    </cfRule>
  </conditionalFormatting>
  <conditionalFormatting sqref="C78:L78">
    <cfRule type="expression" dxfId="19" priority="23" stopIfTrue="1">
      <formula>$P$78=1</formula>
    </cfRule>
  </conditionalFormatting>
  <conditionalFormatting sqref="C28:J28">
    <cfRule type="expression" dxfId="18" priority="24" stopIfTrue="1">
      <formula>AND($P$26=2,$L$26&gt;0.125*$G$19)</formula>
    </cfRule>
    <cfRule type="expression" dxfId="17" priority="25" stopIfTrue="1">
      <formula>$P$26=1</formula>
    </cfRule>
    <cfRule type="expression" dxfId="16" priority="26" stopIfTrue="1">
      <formula>AND($P$26=2,$L$26=0)</formula>
    </cfRule>
  </conditionalFormatting>
  <conditionalFormatting sqref="C40:J40">
    <cfRule type="expression" dxfId="15" priority="27" stopIfTrue="1">
      <formula>AND($P$38=2,$L$38&gt;0.025*$G$19)</formula>
    </cfRule>
    <cfRule type="expression" dxfId="14" priority="28" stopIfTrue="1">
      <formula>$P$38=1</formula>
    </cfRule>
    <cfRule type="expression" dxfId="13" priority="29" stopIfTrue="1">
      <formula>AND($P$38=2,$L$38=0)</formula>
    </cfRule>
  </conditionalFormatting>
  <conditionalFormatting sqref="L75:M75">
    <cfRule type="expression" dxfId="12" priority="30" stopIfTrue="1">
      <formula>AND(NOT(ISBLANK($G$75)),ISBLANK($I$75))</formula>
    </cfRule>
  </conditionalFormatting>
  <conditionalFormatting sqref="C101:M101">
    <cfRule type="expression" dxfId="11" priority="31" stopIfTrue="1">
      <formula>$I$99="Not Valid"</formula>
    </cfRule>
  </conditionalFormatting>
  <conditionalFormatting sqref="E26">
    <cfRule type="expression" dxfId="10" priority="32" stopIfTrue="1">
      <formula>P26=1</formula>
    </cfRule>
    <cfRule type="expression" dxfId="9" priority="33" stopIfTrue="1">
      <formula>AND(P26=2,ISBLANK(L26))</formula>
    </cfRule>
  </conditionalFormatting>
  <conditionalFormatting sqref="J42">
    <cfRule type="expression" dxfId="8" priority="34" stopIfTrue="1">
      <formula>$P$42=2</formula>
    </cfRule>
    <cfRule type="expression" dxfId="7" priority="35" stopIfTrue="1">
      <formula>AND($P$42=1,ISBLANK(J42))</formula>
    </cfRule>
  </conditionalFormatting>
  <conditionalFormatting sqref="L44:M51">
    <cfRule type="expression" dxfId="6" priority="36" stopIfTrue="1">
      <formula>AND($P$42=1,ISBLANK($J$42))</formula>
    </cfRule>
  </conditionalFormatting>
  <conditionalFormatting sqref="K15:M15">
    <cfRule type="expression" dxfId="5" priority="37" stopIfTrue="1">
      <formula>AND(NOT(ISBLANK($G$15)),$G$15&gt;0,ISBLANK($I$15))</formula>
    </cfRule>
  </conditionalFormatting>
  <conditionalFormatting sqref="I15:J15">
    <cfRule type="expression" dxfId="4" priority="38" stopIfTrue="1">
      <formula>AND(NOT(ISBLANK(G15)),G15&gt;0,ISBLANK(I15))</formula>
    </cfRule>
  </conditionalFormatting>
  <conditionalFormatting sqref="E38">
    <cfRule type="expression" dxfId="3" priority="39" stopIfTrue="1">
      <formula>P38=1</formula>
    </cfRule>
    <cfRule type="expression" dxfId="2" priority="40" stopIfTrue="1">
      <formula>AND($P$38=2,$L$38=0)</formula>
    </cfRule>
  </conditionalFormatting>
  <conditionalFormatting sqref="E43">
    <cfRule type="expression" dxfId="1" priority="41" stopIfTrue="1">
      <formula>AND($G$43=0,$G$43&lt;&gt;"")</formula>
    </cfRule>
  </conditionalFormatting>
  <conditionalFormatting sqref="C45:J45">
    <cfRule type="expression" dxfId="0" priority="42" stopIfTrue="1">
      <formula>AND(NOT($E$43="n/a"),OR(ISBLANK($G$43),$G$43=0),$G$19&lt;&gt;0)</formula>
    </cfRule>
  </conditionalFormatting>
  <dataValidations xWindow="926" yWindow="772" count="14">
    <dataValidation type="decimal" operator="lessThanOrEqual" allowBlank="1" showInputMessage="1" showErrorMessage="1" errorTitle="WARNING: Please check this value" error="Unbilled unmetered consumption cannont be greater than Total System Input Volume. Please check the input value and try again." sqref="G29:H29" xr:uid="{143FA0C8-E100-4F2F-9FB5-76F7A67B036E}">
      <formula1>G25</formula1>
    </dataValidation>
    <dataValidation type="decimal" operator="lessThanOrEqual" allowBlank="1" showInputMessage="1" showErrorMessage="1" errorTitle="WARNING: Please check this value" error="Billed metered consumption cannont be greater than Total System Input Volume. Please check the input value and try again." sqref="G18" xr:uid="{D3DBA2B4-01B4-4A0A-A731-26625EA4B00E}">
      <formula1>G11</formula1>
    </dataValidation>
    <dataValidation type="list" allowBlank="1" showInputMessage="1" showErrorMessage="1" errorTitle="Cost Data Units" error="You have not entered a valid option - please select from the drop down list" promptTitle="Cost Data Units" prompt="Please select the preferred reporting units from the drop down list" sqref="I75:K75" xr:uid="{6A59A378-D8D3-470C-B25C-C01FBD37D299}">
      <formula1>"$/1000 gallons (US),$/1000 litres,$/100 cubic feet (ccf)"</formula1>
    </dataValidation>
    <dataValidation type="decimal" errorStyle="warning" operator="greaterThan" allowBlank="1" showErrorMessage="1" errorTitle="Customer Metering Inaccuracies" error="You tried to enter a zero value - this is only a valid value if the entire customer base is unmetered." sqref="L42:M42 H65" xr:uid="{25C79ECF-C156-48F3-BCF0-B415BDE373B5}">
      <formula1>0</formula1>
    </dataValidation>
    <dataValidation type="decimal" operator="lessThan" allowBlank="1" showInputMessage="1" showErrorMessage="1" errorTitle="Customer Metering Inaccuracies" error="Only values less than 10% are accepted. If you want to use a value of 10% or greater, calculate the equivalent quantity and enter as using the &quot;value&quot; option." sqref="J42" xr:uid="{63694805-7CA0-4358-AFF4-CB2754C13664}">
      <formula1>0.1</formula1>
    </dataValidation>
    <dataValidation type="decimal" operator="greaterThan" allowBlank="1" showErrorMessage="1" errorTitle="Unauthorized Consumption" error="You cannot enter a zero or negative value. Use the default percentage if you are unsure of actual unauthorized consumption" promptTitle="Unbilled Unmetered Losses" prompt="Use the default percentage" sqref="L38:M38" xr:uid="{4D5FC579-58AE-41CF-AC82-C4C9A3FA56BD}">
      <formula1>0</formula1>
    </dataValidation>
    <dataValidation type="list" allowBlank="1" showInputMessage="1" showErrorMessage="1" promptTitle="Master meter error adjustment" prompt="If a meter adjustment has been entered, please select if the meter has under-registered or over-registered by this amount." sqref="I15:J15" xr:uid="{3D0FFABF-9168-4050-AF34-6F6D39F7D222}">
      <formula1>"under-registered,over-registered"</formula1>
    </dataValidation>
    <dataValidation type="decimal" operator="greaterThan" allowBlank="1" showErrorMessage="1" errorTitle="Unbilled Unmetered Consumption" error="You cannot enter a zero or negative value. Use the default percentage if you are unsure of actual unbilled unmetered consumption" promptTitle="Unbilled Unmetered Losses" prompt="Use the default percentage" sqref="L26:M26" xr:uid="{44B14EC0-6358-41A4-A30F-003A463DC696}">
      <formula1>0</formula1>
    </dataValidation>
    <dataValidation type="list" allowBlank="1" showInputMessage="1" showErrorMessage="1" errorTitle="Component Grading" error="Please restrict your entry to 0 - 10. See the comment box attached to this cell or Grading Matrix worksheet for more information" sqref="E14:E17 E23:E25 E42" xr:uid="{3513D71C-0CA1-4493-AF03-0BD2AC944F54}">
      <formula1>"n/a,1,2,3,4,5,6,7,8,9,10"</formula1>
    </dataValidation>
    <dataValidation type="list" allowBlank="1" showInputMessage="1" showErrorMessage="1" errorTitle="Component Grading" error="Please restrict your entry to 0 - 10. See the comment box attached to this cell or Grading Matrix worksheet for more information" sqref="E26 E38 E62:E63 E67 E43 E65 E74:E76" xr:uid="{05096FC1-4D83-4C18-B5BD-80A6F89E22CD}">
      <formula1>"1,2,3,4,5,6,7,8,9,10"</formula1>
    </dataValidation>
    <dataValidation type="decimal" operator="greaterThanOrEqual" allowBlank="1" showErrorMessage="1" errorTitle="Data Validation" error="Enter a numerical value greater than or equal to zero" promptTitle="Data Validation" prompt="Enter a numerical value greater than or equal to zero" sqref="G14:G17 G23:G25 G62:G63 G74:G76" xr:uid="{642F2E1D-6DB7-4A5C-A486-554760F80A3D}">
      <formula1>0</formula1>
    </dataValidation>
    <dataValidation type="decimal" operator="greaterThan" allowBlank="1" showErrorMessage="1" errorTitle="Data Validation" error="Enter a numerical value" promptTitle="Data Validation" prompt="Enter a numerical value greater than or equal to zero" sqref="G43" xr:uid="{B5435B0C-944A-4DE2-80AA-F84850A58A0F}">
      <formula1>-1E+25</formula1>
    </dataValidation>
    <dataValidation type="decimal" errorStyle="warning" operator="lessThanOrEqual" allowBlank="1" showErrorMessage="1" errorTitle="Customer Service Lines" error="The value you entered is greater than an assumed maximum reasonable value." sqref="G65" xr:uid="{B570E234-38EC-4DAF-BD12-5E8BB8F596DD}">
      <formula1>100</formula1>
    </dataValidation>
    <dataValidation type="decimal" errorStyle="warning" operator="lessThanOrEqual" allowBlank="1" showErrorMessage="1" errorTitle="Average Operating Pressure" error="The value you entered is greater than an assumed maximum reasonable value." sqref="G67" xr:uid="{11794D50-DB1F-4691-8A8F-C3F0A0258C5F}">
      <formula1>200</formula1>
    </dataValidation>
  </dataValidations>
  <printOptions horizontalCentered="1" verticalCentered="1" gridLines="1"/>
  <pageMargins left="0.36" right="0.37" top="0.49" bottom="0.42" header="0.22" footer="0.22"/>
  <pageSetup scale="56" orientation="portrait" horizontalDpi="1200" r:id="rId1"/>
  <headerFooter alignWithMargins="0">
    <oddFooter>&amp;CAWWA Water Loss Control Committee&amp;R&amp;A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33827" r:id="rId4" name="Group Box 35">
              <controlPr defaultSize="0" autoFill="0" autoPict="0">
                <anchor moveWithCells="1" sizeWithCells="1">
                  <from>
                    <xdr:col>10</xdr:col>
                    <xdr:colOff>9525</xdr:colOff>
                    <xdr:row>25</xdr:row>
                    <xdr:rowOff>0</xdr:rowOff>
                  </from>
                  <to>
                    <xdr:col>10</xdr:col>
                    <xdr:colOff>590550</xdr:colOff>
                    <xdr:row>26</xdr:row>
                    <xdr:rowOff>0</xdr:rowOff>
                  </to>
                </anchor>
              </controlPr>
            </control>
          </mc:Choice>
        </mc:AlternateContent>
        <mc:AlternateContent xmlns:mc="http://schemas.openxmlformats.org/markup-compatibility/2006">
          <mc:Choice Requires="x14">
            <control shapeId="33828" r:id="rId5" name="Option Button 36">
              <controlPr defaultSize="0" autoFill="0" autoLine="0" autoPict="0">
                <anchor moveWithCells="1" sizeWithCells="1">
                  <from>
                    <xdr:col>10</xdr:col>
                    <xdr:colOff>57150</xdr:colOff>
                    <xdr:row>25</xdr:row>
                    <xdr:rowOff>28575</xdr:rowOff>
                  </from>
                  <to>
                    <xdr:col>10</xdr:col>
                    <xdr:colOff>342900</xdr:colOff>
                    <xdr:row>25</xdr:row>
                    <xdr:rowOff>180975</xdr:rowOff>
                  </to>
                </anchor>
              </controlPr>
            </control>
          </mc:Choice>
        </mc:AlternateContent>
        <mc:AlternateContent xmlns:mc="http://schemas.openxmlformats.org/markup-compatibility/2006">
          <mc:Choice Requires="x14">
            <control shapeId="33829" r:id="rId6" name="Option Button 37">
              <controlPr defaultSize="0" autoFill="0" autoLine="0" autoPict="0">
                <anchor moveWithCells="1" sizeWithCells="1">
                  <from>
                    <xdr:col>10</xdr:col>
                    <xdr:colOff>304800</xdr:colOff>
                    <xdr:row>25</xdr:row>
                    <xdr:rowOff>28575</xdr:rowOff>
                  </from>
                  <to>
                    <xdr:col>10</xdr:col>
                    <xdr:colOff>590550</xdr:colOff>
                    <xdr:row>25</xdr:row>
                    <xdr:rowOff>180975</xdr:rowOff>
                  </to>
                </anchor>
              </controlPr>
            </control>
          </mc:Choice>
        </mc:AlternateContent>
        <mc:AlternateContent xmlns:mc="http://schemas.openxmlformats.org/markup-compatibility/2006">
          <mc:Choice Requires="x14">
            <control shapeId="33823" r:id="rId7" name="Group Box 31">
              <controlPr defaultSize="0" autoFill="0" autoPict="0">
                <anchor moveWithCells="1" sizeWithCells="1">
                  <from>
                    <xdr:col>10</xdr:col>
                    <xdr:colOff>9525</xdr:colOff>
                    <xdr:row>41</xdr:row>
                    <xdr:rowOff>0</xdr:rowOff>
                  </from>
                  <to>
                    <xdr:col>10</xdr:col>
                    <xdr:colOff>590550</xdr:colOff>
                    <xdr:row>42</xdr:row>
                    <xdr:rowOff>0</xdr:rowOff>
                  </to>
                </anchor>
              </controlPr>
            </control>
          </mc:Choice>
        </mc:AlternateContent>
        <mc:AlternateContent xmlns:mc="http://schemas.openxmlformats.org/markup-compatibility/2006">
          <mc:Choice Requires="x14">
            <control shapeId="33824" r:id="rId8" name="Option Button 32">
              <controlPr defaultSize="0" autoFill="0" autoLine="0" autoPict="0">
                <anchor moveWithCells="1" sizeWithCells="1">
                  <from>
                    <xdr:col>10</xdr:col>
                    <xdr:colOff>57150</xdr:colOff>
                    <xdr:row>41</xdr:row>
                    <xdr:rowOff>28575</xdr:rowOff>
                  </from>
                  <to>
                    <xdr:col>10</xdr:col>
                    <xdr:colOff>342900</xdr:colOff>
                    <xdr:row>41</xdr:row>
                    <xdr:rowOff>180975</xdr:rowOff>
                  </to>
                </anchor>
              </controlPr>
            </control>
          </mc:Choice>
        </mc:AlternateContent>
        <mc:AlternateContent xmlns:mc="http://schemas.openxmlformats.org/markup-compatibility/2006">
          <mc:Choice Requires="x14">
            <control shapeId="33825" r:id="rId9" name="Option Button 33">
              <controlPr defaultSize="0" autoFill="0" autoLine="0" autoPict="0">
                <anchor moveWithCells="1" sizeWithCells="1">
                  <from>
                    <xdr:col>10</xdr:col>
                    <xdr:colOff>304800</xdr:colOff>
                    <xdr:row>41</xdr:row>
                    <xdr:rowOff>28575</xdr:rowOff>
                  </from>
                  <to>
                    <xdr:col>10</xdr:col>
                    <xdr:colOff>590550</xdr:colOff>
                    <xdr:row>41</xdr:row>
                    <xdr:rowOff>180975</xdr:rowOff>
                  </to>
                </anchor>
              </controlPr>
            </control>
          </mc:Choice>
        </mc:AlternateContent>
        <mc:AlternateContent xmlns:mc="http://schemas.openxmlformats.org/markup-compatibility/2006">
          <mc:Choice Requires="x14">
            <control shapeId="33819" r:id="rId10" name="Group Box 27">
              <controlPr defaultSize="0" autoFill="0" autoPict="0">
                <anchor moveWithCells="1" sizeWithCells="1">
                  <from>
                    <xdr:col>10</xdr:col>
                    <xdr:colOff>9525</xdr:colOff>
                    <xdr:row>37</xdr:row>
                    <xdr:rowOff>0</xdr:rowOff>
                  </from>
                  <to>
                    <xdr:col>10</xdr:col>
                    <xdr:colOff>590550</xdr:colOff>
                    <xdr:row>38</xdr:row>
                    <xdr:rowOff>0</xdr:rowOff>
                  </to>
                </anchor>
              </controlPr>
            </control>
          </mc:Choice>
        </mc:AlternateContent>
        <mc:AlternateContent xmlns:mc="http://schemas.openxmlformats.org/markup-compatibility/2006">
          <mc:Choice Requires="x14">
            <control shapeId="33820" r:id="rId11" name="Option Button 28">
              <controlPr defaultSize="0" autoFill="0" autoLine="0" autoPict="0">
                <anchor moveWithCells="1" sizeWithCells="1">
                  <from>
                    <xdr:col>10</xdr:col>
                    <xdr:colOff>57150</xdr:colOff>
                    <xdr:row>37</xdr:row>
                    <xdr:rowOff>28575</xdr:rowOff>
                  </from>
                  <to>
                    <xdr:col>10</xdr:col>
                    <xdr:colOff>342900</xdr:colOff>
                    <xdr:row>37</xdr:row>
                    <xdr:rowOff>180975</xdr:rowOff>
                  </to>
                </anchor>
              </controlPr>
            </control>
          </mc:Choice>
        </mc:AlternateContent>
        <mc:AlternateContent xmlns:mc="http://schemas.openxmlformats.org/markup-compatibility/2006">
          <mc:Choice Requires="x14">
            <control shapeId="33821" r:id="rId12" name="Option Button 29">
              <controlPr defaultSize="0" autoFill="0" autoLine="0" autoPict="0">
                <anchor moveWithCells="1" sizeWithCells="1">
                  <from>
                    <xdr:col>10</xdr:col>
                    <xdr:colOff>304800</xdr:colOff>
                    <xdr:row>37</xdr:row>
                    <xdr:rowOff>28575</xdr:rowOff>
                  </from>
                  <to>
                    <xdr:col>10</xdr:col>
                    <xdr:colOff>590550</xdr:colOff>
                    <xdr:row>37</xdr:row>
                    <xdr:rowOff>180975</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B049A-14C7-4052-8452-970F7A45BDDA}">
  <sheetPr codeName="Sheet14">
    <tabColor indexed="48"/>
  </sheetPr>
  <dimension ref="A1:IU80"/>
  <sheetViews>
    <sheetView showGridLines="0" showRowColHeaders="0" zoomScaleNormal="100" workbookViewId="0">
      <selection activeCell="C2" sqref="C2:O2"/>
    </sheetView>
  </sheetViews>
  <sheetFormatPr defaultColWidth="0" defaultRowHeight="0" customHeight="1" zeroHeight="1" x14ac:dyDescent="0.25"/>
  <cols>
    <col min="1" max="1" width="1.42578125" style="26" customWidth="1"/>
    <col min="2" max="2" width="1.7109375" style="26" customWidth="1"/>
    <col min="3" max="3" width="19.140625" style="1" customWidth="1"/>
    <col min="4" max="17" width="8" style="1" customWidth="1"/>
    <col min="18" max="18" width="8.42578125" style="1" customWidth="1"/>
    <col min="19" max="19" width="3.42578125" style="361" customWidth="1"/>
    <col min="20" max="20" width="2.140625" style="224" customWidth="1"/>
    <col min="21" max="21" width="2.140625" style="322" hidden="1" customWidth="1"/>
    <col min="22" max="22" width="3" style="322" hidden="1" customWidth="1"/>
    <col min="23" max="255" width="0" style="1" hidden="1" customWidth="1"/>
    <col min="256" max="16384" width="3.140625" style="1" hidden="1"/>
  </cols>
  <sheetData>
    <row r="1" spans="1:22" s="18" customFormat="1" ht="8.25" customHeight="1" thickBot="1" x14ac:dyDescent="0.3">
      <c r="A1" s="26"/>
      <c r="B1" s="26"/>
      <c r="S1" s="356"/>
      <c r="T1" s="224"/>
      <c r="U1" s="322"/>
      <c r="V1" s="322"/>
    </row>
    <row r="2" spans="1:22" ht="36.75" customHeight="1" thickTop="1" thickBot="1" x14ac:dyDescent="0.3">
      <c r="B2" s="52"/>
      <c r="C2" s="661" t="s">
        <v>183</v>
      </c>
      <c r="D2" s="662"/>
      <c r="E2" s="662"/>
      <c r="F2" s="662"/>
      <c r="G2" s="663"/>
      <c r="H2" s="663"/>
      <c r="I2" s="663"/>
      <c r="J2" s="663"/>
      <c r="K2" s="664"/>
      <c r="L2" s="664"/>
      <c r="M2" s="664"/>
      <c r="N2" s="664"/>
      <c r="O2" s="664"/>
      <c r="P2" s="48"/>
      <c r="Q2" s="48"/>
      <c r="R2" s="48"/>
      <c r="S2" s="357"/>
      <c r="T2" s="353"/>
      <c r="U2" s="351"/>
    </row>
    <row r="3" spans="1:22" ht="8.25" customHeight="1" thickTop="1" thickBot="1" x14ac:dyDescent="0.3">
      <c r="B3" s="53"/>
      <c r="C3" s="32"/>
      <c r="D3" s="32"/>
      <c r="E3" s="32"/>
      <c r="F3" s="32"/>
      <c r="G3" s="2"/>
      <c r="H3" s="2"/>
      <c r="I3" s="2"/>
      <c r="J3" s="2"/>
      <c r="K3" s="2"/>
      <c r="L3" s="2"/>
      <c r="M3" s="2"/>
      <c r="N3" s="2"/>
      <c r="O3" s="2"/>
      <c r="P3" s="2"/>
      <c r="Q3" s="2"/>
      <c r="R3" s="2"/>
      <c r="S3" s="358"/>
      <c r="T3" s="354"/>
      <c r="U3" s="350"/>
    </row>
    <row r="4" spans="1:22" ht="46.5" customHeight="1" thickBot="1" x14ac:dyDescent="0.3">
      <c r="B4" s="53"/>
      <c r="C4" s="693" t="s">
        <v>86</v>
      </c>
      <c r="D4" s="694"/>
      <c r="E4" s="694"/>
      <c r="F4" s="694"/>
      <c r="G4" s="694"/>
      <c r="H4" s="694"/>
      <c r="I4" s="694"/>
      <c r="J4" s="694"/>
      <c r="K4" s="694"/>
      <c r="L4" s="694"/>
      <c r="M4" s="694"/>
      <c r="N4" s="694"/>
      <c r="O4" s="694"/>
      <c r="P4" s="694"/>
      <c r="Q4" s="694"/>
      <c r="R4" s="695"/>
      <c r="S4" s="359"/>
      <c r="T4" s="355"/>
      <c r="U4" s="352"/>
    </row>
    <row r="5" spans="1:22" ht="7.5" customHeight="1" thickBot="1" x14ac:dyDescent="0.4">
      <c r="B5" s="53"/>
      <c r="C5" s="99"/>
      <c r="D5" s="51"/>
      <c r="E5" s="51"/>
      <c r="F5" s="51"/>
      <c r="G5" s="51"/>
      <c r="H5" s="51"/>
      <c r="I5" s="51"/>
      <c r="J5" s="51"/>
      <c r="K5" s="51"/>
      <c r="L5" s="51"/>
      <c r="M5" s="51"/>
      <c r="N5" s="51"/>
      <c r="O5" s="51"/>
      <c r="P5" s="51"/>
      <c r="Q5" s="51"/>
      <c r="R5" s="51"/>
      <c r="S5" s="359"/>
      <c r="T5" s="355"/>
      <c r="U5" s="352"/>
    </row>
    <row r="6" spans="1:22" ht="84" customHeight="1" thickBot="1" x14ac:dyDescent="0.3">
      <c r="B6" s="53"/>
      <c r="C6" s="693" t="s">
        <v>232</v>
      </c>
      <c r="D6" s="694"/>
      <c r="E6" s="694"/>
      <c r="F6" s="694"/>
      <c r="G6" s="694"/>
      <c r="H6" s="694"/>
      <c r="I6" s="694"/>
      <c r="J6" s="694"/>
      <c r="K6" s="694"/>
      <c r="L6" s="694"/>
      <c r="M6" s="694"/>
      <c r="N6" s="694"/>
      <c r="O6" s="694"/>
      <c r="P6" s="694"/>
      <c r="Q6" s="694"/>
      <c r="R6" s="695"/>
      <c r="S6" s="359"/>
      <c r="T6" s="355"/>
      <c r="U6" s="352"/>
    </row>
    <row r="7" spans="1:22" ht="8.25" customHeight="1" thickBot="1" x14ac:dyDescent="0.3">
      <c r="B7" s="53"/>
      <c r="C7" s="32"/>
      <c r="D7" s="32"/>
      <c r="E7" s="32"/>
      <c r="F7" s="32"/>
      <c r="G7" s="2"/>
      <c r="H7" s="2"/>
      <c r="I7" s="2"/>
      <c r="J7" s="2"/>
      <c r="K7" s="2"/>
      <c r="L7" s="2"/>
      <c r="M7" s="2"/>
      <c r="N7" s="2"/>
      <c r="O7" s="2"/>
      <c r="P7" s="2"/>
      <c r="Q7" s="2"/>
      <c r="R7" s="2"/>
      <c r="S7" s="358"/>
      <c r="T7" s="354"/>
      <c r="U7" s="350"/>
    </row>
    <row r="8" spans="1:22" ht="16.5" x14ac:dyDescent="0.3">
      <c r="B8" s="53"/>
      <c r="C8" s="86" t="s">
        <v>195</v>
      </c>
      <c r="D8" s="87" t="s">
        <v>180</v>
      </c>
      <c r="E8" s="87"/>
      <c r="F8" s="87"/>
      <c r="G8" s="88"/>
      <c r="H8" s="88"/>
      <c r="I8" s="88"/>
      <c r="J8" s="89"/>
      <c r="K8" s="89"/>
      <c r="L8" s="89"/>
      <c r="M8" s="89"/>
      <c r="N8" s="89"/>
      <c r="O8" s="89"/>
      <c r="P8" s="89"/>
      <c r="Q8" s="89"/>
      <c r="R8" s="89"/>
      <c r="S8" s="358"/>
      <c r="T8" s="354"/>
      <c r="U8" s="350"/>
    </row>
    <row r="9" spans="1:22" ht="16.5" x14ac:dyDescent="0.3">
      <c r="B9" s="53"/>
      <c r="C9" s="90"/>
      <c r="D9" s="83" t="s">
        <v>460</v>
      </c>
      <c r="E9" s="83"/>
      <c r="F9" s="83"/>
      <c r="G9" s="84"/>
      <c r="H9" s="84"/>
      <c r="I9" s="84"/>
      <c r="J9" s="85"/>
      <c r="K9" s="85"/>
      <c r="L9" s="85"/>
      <c r="M9" s="85"/>
      <c r="N9" s="85"/>
      <c r="O9" s="85"/>
      <c r="P9" s="85"/>
      <c r="Q9" s="85"/>
      <c r="R9" s="85"/>
      <c r="S9" s="358"/>
      <c r="T9" s="354"/>
      <c r="U9" s="350"/>
    </row>
    <row r="10" spans="1:22" ht="16.5" x14ac:dyDescent="0.3">
      <c r="B10" s="53"/>
      <c r="C10" s="91"/>
      <c r="D10" s="83" t="s">
        <v>204</v>
      </c>
      <c r="E10" s="83"/>
      <c r="F10" s="83"/>
      <c r="G10" s="84"/>
      <c r="H10" s="84"/>
      <c r="I10" s="84"/>
      <c r="J10" s="85"/>
      <c r="K10" s="85"/>
      <c r="L10" s="85"/>
      <c r="M10" s="85"/>
      <c r="N10" s="85"/>
      <c r="O10" s="85"/>
      <c r="P10" s="85"/>
      <c r="Q10" s="85"/>
      <c r="R10" s="85"/>
      <c r="S10" s="358"/>
      <c r="T10" s="354"/>
      <c r="U10" s="350"/>
    </row>
    <row r="11" spans="1:22" ht="16.5" x14ac:dyDescent="0.3">
      <c r="B11" s="53"/>
      <c r="C11" s="91"/>
      <c r="D11" s="83" t="s">
        <v>206</v>
      </c>
      <c r="E11" s="83"/>
      <c r="F11" s="83"/>
      <c r="G11" s="84"/>
      <c r="H11" s="84"/>
      <c r="I11" s="84"/>
      <c r="J11" s="85"/>
      <c r="K11" s="85"/>
      <c r="L11" s="85"/>
      <c r="M11" s="85"/>
      <c r="N11" s="85"/>
      <c r="O11" s="85"/>
      <c r="P11" s="85"/>
      <c r="Q11" s="85"/>
      <c r="R11" s="85"/>
      <c r="S11" s="358"/>
      <c r="T11" s="354"/>
      <c r="U11" s="350"/>
    </row>
    <row r="12" spans="1:22" ht="17.25" thickBot="1" x14ac:dyDescent="0.35">
      <c r="B12" s="53"/>
      <c r="C12" s="92"/>
      <c r="D12" s="93" t="s">
        <v>205</v>
      </c>
      <c r="E12" s="93"/>
      <c r="F12" s="93"/>
      <c r="G12" s="94"/>
      <c r="H12" s="94"/>
      <c r="I12" s="94"/>
      <c r="J12" s="95"/>
      <c r="K12" s="95"/>
      <c r="L12" s="95"/>
      <c r="M12" s="95"/>
      <c r="N12" s="95"/>
      <c r="O12" s="95"/>
      <c r="P12" s="95"/>
      <c r="Q12" s="95"/>
      <c r="R12" s="95"/>
      <c r="S12" s="358"/>
      <c r="T12" s="354"/>
      <c r="U12" s="350"/>
    </row>
    <row r="13" spans="1:22" ht="8.25" customHeight="1" thickBot="1" x14ac:dyDescent="0.3">
      <c r="B13" s="53"/>
      <c r="C13" s="2"/>
      <c r="D13" s="2"/>
      <c r="E13" s="2"/>
      <c r="F13" s="2"/>
      <c r="G13" s="2"/>
      <c r="H13" s="2"/>
      <c r="I13" s="2"/>
      <c r="J13" s="2"/>
      <c r="K13" s="2"/>
      <c r="L13" s="2"/>
      <c r="M13" s="2"/>
      <c r="N13" s="2"/>
      <c r="O13" s="2"/>
      <c r="P13" s="2"/>
      <c r="Q13" s="2"/>
      <c r="R13" s="2"/>
      <c r="S13" s="358"/>
      <c r="T13" s="354"/>
      <c r="U13" s="350"/>
    </row>
    <row r="14" spans="1:22" ht="48" customHeight="1" x14ac:dyDescent="0.25">
      <c r="B14" s="53"/>
      <c r="C14" s="96" t="s">
        <v>194</v>
      </c>
      <c r="D14" s="743" t="s">
        <v>561</v>
      </c>
      <c r="E14" s="743"/>
      <c r="F14" s="743"/>
      <c r="G14" s="743"/>
      <c r="H14" s="743"/>
      <c r="I14" s="743"/>
      <c r="J14" s="743"/>
      <c r="K14" s="743"/>
      <c r="L14" s="743"/>
      <c r="M14" s="743"/>
      <c r="N14" s="743"/>
      <c r="O14" s="743"/>
      <c r="P14" s="743"/>
      <c r="Q14" s="743"/>
      <c r="R14" s="744"/>
      <c r="S14" s="358"/>
      <c r="T14" s="354"/>
      <c r="U14" s="350"/>
    </row>
    <row r="15" spans="1:22" ht="73.5" customHeight="1" thickBot="1" x14ac:dyDescent="0.35">
      <c r="B15" s="53"/>
      <c r="C15" s="97"/>
      <c r="D15" s="745" t="s">
        <v>521</v>
      </c>
      <c r="E15" s="745"/>
      <c r="F15" s="745"/>
      <c r="G15" s="745"/>
      <c r="H15" s="745"/>
      <c r="I15" s="745"/>
      <c r="J15" s="745"/>
      <c r="K15" s="745"/>
      <c r="L15" s="745"/>
      <c r="M15" s="745"/>
      <c r="N15" s="745"/>
      <c r="O15" s="745"/>
      <c r="P15" s="745"/>
      <c r="Q15" s="745"/>
      <c r="R15" s="746"/>
      <c r="S15" s="358"/>
      <c r="T15" s="354"/>
      <c r="U15" s="350"/>
    </row>
    <row r="16" spans="1:22" ht="6" customHeight="1" thickBot="1" x14ac:dyDescent="0.3">
      <c r="B16" s="55"/>
      <c r="C16" s="33"/>
      <c r="D16" s="33"/>
      <c r="E16" s="33"/>
      <c r="F16" s="33"/>
      <c r="G16" s="33"/>
      <c r="H16" s="33"/>
      <c r="I16" s="33"/>
      <c r="J16" s="33"/>
      <c r="K16" s="33"/>
      <c r="L16" s="33"/>
      <c r="M16" s="33"/>
      <c r="N16" s="33"/>
      <c r="O16" s="33"/>
      <c r="P16" s="33"/>
      <c r="Q16" s="33"/>
      <c r="R16" s="33"/>
      <c r="S16" s="360"/>
      <c r="T16" s="354"/>
      <c r="U16" s="350"/>
    </row>
    <row r="17" ht="9.75" customHeight="1" thickTop="1" x14ac:dyDescent="0.25"/>
    <row r="18" ht="13.5" hidden="1" x14ac:dyDescent="0.25"/>
    <row r="19" ht="13.5" hidden="1" x14ac:dyDescent="0.25"/>
    <row r="20" ht="13.5" hidden="1" x14ac:dyDescent="0.25"/>
    <row r="21" ht="13.5" hidden="1" x14ac:dyDescent="0.25"/>
    <row r="22" ht="13.5" hidden="1" x14ac:dyDescent="0.25"/>
    <row r="23" ht="13.5" hidden="1" x14ac:dyDescent="0.25"/>
    <row r="24" ht="13.5" hidden="1" x14ac:dyDescent="0.25"/>
    <row r="25" ht="13.5" hidden="1" x14ac:dyDescent="0.25"/>
    <row r="26" ht="13.5" hidden="1" x14ac:dyDescent="0.25"/>
    <row r="27" ht="13.5" hidden="1" x14ac:dyDescent="0.25"/>
    <row r="28" ht="13.5" hidden="1" x14ac:dyDescent="0.25"/>
    <row r="29" ht="13.5" hidden="1" x14ac:dyDescent="0.25"/>
    <row r="30" ht="13.5" hidden="1" x14ac:dyDescent="0.25"/>
    <row r="31" ht="13.5" hidden="1" x14ac:dyDescent="0.25"/>
    <row r="32" ht="13.5" hidden="1" x14ac:dyDescent="0.25"/>
    <row r="33" ht="13.5" hidden="1" x14ac:dyDescent="0.25"/>
    <row r="34" ht="13.5" hidden="1" x14ac:dyDescent="0.25"/>
    <row r="35" ht="13.5" hidden="1" x14ac:dyDescent="0.25"/>
    <row r="36" ht="13.5" hidden="1" x14ac:dyDescent="0.25"/>
    <row r="37" ht="13.5" hidden="1" x14ac:dyDescent="0.25"/>
    <row r="38" ht="13.5" hidden="1" x14ac:dyDescent="0.25"/>
    <row r="39" ht="13.5" hidden="1" x14ac:dyDescent="0.25"/>
    <row r="40" ht="13.5" hidden="1" x14ac:dyDescent="0.25"/>
    <row r="41" ht="13.5" hidden="1" x14ac:dyDescent="0.25"/>
    <row r="42" ht="13.5" hidden="1" x14ac:dyDescent="0.25"/>
    <row r="43" ht="13.5" hidden="1" x14ac:dyDescent="0.25"/>
    <row r="44" ht="13.5" hidden="1" x14ac:dyDescent="0.25"/>
    <row r="45" ht="13.5" hidden="1" x14ac:dyDescent="0.25"/>
    <row r="46" ht="13.5" hidden="1" x14ac:dyDescent="0.25"/>
    <row r="47" ht="13.5" hidden="1" x14ac:dyDescent="0.25"/>
    <row r="48" ht="13.5" hidden="1" x14ac:dyDescent="0.25"/>
    <row r="49" ht="13.5" hidden="1" x14ac:dyDescent="0.25"/>
    <row r="50" ht="13.5" hidden="1" x14ac:dyDescent="0.25"/>
    <row r="51" ht="13.5" hidden="1" x14ac:dyDescent="0.25"/>
    <row r="52" ht="13.5" hidden="1" x14ac:dyDescent="0.25"/>
    <row r="53" ht="13.5" hidden="1" x14ac:dyDescent="0.25"/>
    <row r="54" ht="13.5" hidden="1" x14ac:dyDescent="0.25"/>
    <row r="55" ht="13.5" hidden="1" x14ac:dyDescent="0.25"/>
    <row r="56" ht="13.5" hidden="1" x14ac:dyDescent="0.25"/>
    <row r="57" ht="13.5" hidden="1" x14ac:dyDescent="0.25"/>
    <row r="58" ht="13.5" hidden="1" x14ac:dyDescent="0.25"/>
    <row r="59" ht="13.5" hidden="1" x14ac:dyDescent="0.25"/>
    <row r="60" ht="13.5" hidden="1" x14ac:dyDescent="0.25"/>
    <row r="61" ht="13.5" hidden="1" x14ac:dyDescent="0.25"/>
    <row r="62" ht="13.5" hidden="1" x14ac:dyDescent="0.25"/>
    <row r="63" ht="13.5" hidden="1" x14ac:dyDescent="0.25"/>
    <row r="64" ht="13.5" hidden="1" x14ac:dyDescent="0.25"/>
    <row r="65" ht="13.5" hidden="1" x14ac:dyDescent="0.25"/>
    <row r="66" ht="13.5" hidden="1" x14ac:dyDescent="0.25"/>
    <row r="67" ht="13.5" hidden="1" x14ac:dyDescent="0.25"/>
    <row r="68" ht="13.5" hidden="1" x14ac:dyDescent="0.25"/>
    <row r="69" ht="13.5" hidden="1" x14ac:dyDescent="0.25"/>
    <row r="70" ht="13.5" hidden="1" x14ac:dyDescent="0.25"/>
    <row r="71" ht="13.5" hidden="1" x14ac:dyDescent="0.25"/>
    <row r="72" ht="13.5" hidden="1" x14ac:dyDescent="0.25"/>
    <row r="73" ht="13.5" hidden="1" x14ac:dyDescent="0.25"/>
    <row r="74" ht="13.5" hidden="1" x14ac:dyDescent="0.25"/>
    <row r="75" ht="13.5" hidden="1" x14ac:dyDescent="0.25"/>
    <row r="76" ht="13.5" hidden="1" x14ac:dyDescent="0.25"/>
    <row r="77" ht="13.5" hidden="1" x14ac:dyDescent="0.25"/>
    <row r="78" ht="13.5" hidden="1" x14ac:dyDescent="0.25"/>
    <row r="79" ht="13.5" hidden="1" x14ac:dyDescent="0.25"/>
    <row r="80" ht="13.5" hidden="1" customHeight="1" x14ac:dyDescent="0.25"/>
  </sheetData>
  <sheetProtection password="E218" sheet="1" objects="1" scenarios="1" selectLockedCells="1"/>
  <mergeCells count="5">
    <mergeCell ref="D14:R14"/>
    <mergeCell ref="D15:R15"/>
    <mergeCell ref="C2:O2"/>
    <mergeCell ref="C4:R4"/>
    <mergeCell ref="C6:R6"/>
  </mergeCells>
  <phoneticPr fontId="0" type="noConversion"/>
  <pageMargins left="0.75" right="0.75" top="0.67" bottom="0.76" header="0.5" footer="0.5"/>
  <pageSetup scale="78" orientation="landscape" horizontalDpi="1200" r:id="rId1"/>
  <headerFooter alignWithMargins="0">
    <oddFooter>&amp;CAWWA Water Loss Control Committee&amp;R&amp;A     &amp;P</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DD232-30E7-42E5-8DA1-5844508AD853}">
  <sheetPr codeName="Sheet15"/>
  <dimension ref="A1:P55"/>
  <sheetViews>
    <sheetView workbookViewId="0">
      <selection activeCell="F23" sqref="F23"/>
    </sheetView>
  </sheetViews>
  <sheetFormatPr defaultRowHeight="12.75" x14ac:dyDescent="0.2"/>
  <cols>
    <col min="1" max="1" width="32.28515625" style="196" customWidth="1"/>
    <col min="2" max="2" width="20.28515625" style="196" customWidth="1"/>
    <col min="3" max="3" width="23.28515625" style="196" bestFit="1" customWidth="1"/>
    <col min="4" max="4" width="12.5703125" style="196" bestFit="1" customWidth="1"/>
    <col min="5" max="5" width="6.28515625" style="196" customWidth="1"/>
    <col min="6" max="6" width="12.7109375" style="196" customWidth="1"/>
    <col min="7" max="7" width="16.85546875" style="196" customWidth="1"/>
    <col min="8" max="8" width="6" style="196" customWidth="1"/>
    <col min="9" max="9" width="33.28515625" style="196" bestFit="1" customWidth="1"/>
    <col min="10" max="10" width="4.140625" style="196" customWidth="1"/>
    <col min="11" max="11" width="9" style="196" customWidth="1"/>
    <col min="12" max="13" width="33.28515625" style="196" bestFit="1" customWidth="1"/>
    <col min="14" max="14" width="18.85546875" style="196" bestFit="1" customWidth="1"/>
    <col min="15" max="15" width="33.28515625" style="196" bestFit="1" customWidth="1"/>
    <col min="16" max="16384" width="9.140625" style="196"/>
  </cols>
  <sheetData>
    <row r="1" spans="1:16" x14ac:dyDescent="0.2">
      <c r="A1" s="195"/>
      <c r="B1" s="195" t="s">
        <v>50</v>
      </c>
      <c r="C1" s="195" t="s">
        <v>457</v>
      </c>
      <c r="D1" s="195" t="s">
        <v>577</v>
      </c>
      <c r="F1" s="232" t="s">
        <v>497</v>
      </c>
      <c r="G1" s="233"/>
      <c r="M1" s="275" t="s">
        <v>532</v>
      </c>
      <c r="N1" s="195" t="s">
        <v>112</v>
      </c>
      <c r="O1" s="195" t="s">
        <v>110</v>
      </c>
      <c r="P1" s="195" t="s">
        <v>111</v>
      </c>
    </row>
    <row r="2" spans="1:16" x14ac:dyDescent="0.2">
      <c r="A2" s="195" t="s">
        <v>112</v>
      </c>
      <c r="B2" s="234">
        <f>1000000/(F2*100)</f>
        <v>1336.8055610095364</v>
      </c>
      <c r="C2" s="234">
        <v>1000</v>
      </c>
      <c r="D2" s="234">
        <f>1000/F5</f>
        <v>3785.4117999999999</v>
      </c>
      <c r="E2" s="197"/>
      <c r="F2" s="272">
        <v>7.4805194500000001</v>
      </c>
      <c r="G2" s="230" t="s">
        <v>494</v>
      </c>
      <c r="H2" s="196" t="s">
        <v>498</v>
      </c>
      <c r="M2" s="195" t="s">
        <v>112</v>
      </c>
      <c r="N2" s="234">
        <v>1</v>
      </c>
      <c r="O2" s="234">
        <f>F4</f>
        <v>3.7854117999999999</v>
      </c>
      <c r="P2" s="276">
        <v>3.068883289737228</v>
      </c>
    </row>
    <row r="3" spans="1:16" x14ac:dyDescent="0.2">
      <c r="A3" s="195" t="s">
        <v>110</v>
      </c>
      <c r="B3" s="234">
        <f>1000000/F4/(F2*100)</f>
        <v>353.14666716301156</v>
      </c>
      <c r="C3" s="234">
        <f>1000/F4</f>
        <v>264.17205124155845</v>
      </c>
      <c r="D3" s="234">
        <v>1000</v>
      </c>
      <c r="F3" s="235">
        <v>43560</v>
      </c>
      <c r="G3" s="230" t="s">
        <v>499</v>
      </c>
      <c r="H3" s="198"/>
      <c r="M3" s="195" t="s">
        <v>110</v>
      </c>
      <c r="N3" s="234">
        <f>1/O2</f>
        <v>0.26417205124155846</v>
      </c>
      <c r="O3" s="234">
        <v>1</v>
      </c>
      <c r="P3" s="234">
        <v>0.8107131936708255</v>
      </c>
    </row>
    <row r="4" spans="1:16" x14ac:dyDescent="0.2">
      <c r="A4" s="195" t="s">
        <v>111</v>
      </c>
      <c r="B4" s="234">
        <f>F3/100</f>
        <v>435.6</v>
      </c>
      <c r="C4" s="234">
        <f>F3*F2/1000</f>
        <v>325.851427242</v>
      </c>
      <c r="D4" s="234">
        <f>F3*F2*F4/1000</f>
        <v>1233.4818377287083</v>
      </c>
      <c r="F4" s="271">
        <v>3.7854117999999999</v>
      </c>
      <c r="G4" s="230" t="s">
        <v>496</v>
      </c>
      <c r="H4" s="198"/>
      <c r="M4" s="195" t="s">
        <v>111</v>
      </c>
      <c r="N4" s="276">
        <f>325851.427242/1000000</f>
        <v>0.325851427242</v>
      </c>
      <c r="O4" s="234">
        <v>1.2334818377287082</v>
      </c>
      <c r="P4" s="234">
        <v>1</v>
      </c>
    </row>
    <row r="5" spans="1:16" x14ac:dyDescent="0.2">
      <c r="F5" s="270">
        <f>1/F4</f>
        <v>0.26417205124155846</v>
      </c>
      <c r="G5" s="231" t="s">
        <v>495</v>
      </c>
      <c r="H5" s="198"/>
    </row>
    <row r="6" spans="1:16" ht="13.5" thickBot="1" x14ac:dyDescent="0.25">
      <c r="H6" s="198"/>
    </row>
    <row r="7" spans="1:16" ht="13.5" thickBot="1" x14ac:dyDescent="0.25">
      <c r="A7" s="198" t="s">
        <v>574</v>
      </c>
      <c r="B7" s="199">
        <v>1</v>
      </c>
      <c r="C7" s="196" t="s">
        <v>456</v>
      </c>
      <c r="D7" s="196">
        <f>MATCH(C7,A2:A4,0)</f>
        <v>1</v>
      </c>
      <c r="H7" s="198"/>
    </row>
    <row r="8" spans="1:16" ht="13.5" thickBot="1" x14ac:dyDescent="0.25">
      <c r="A8" s="198"/>
      <c r="E8" s="196">
        <f>INDEX($B$2:$D$4,MATCH(C7,A2:A4,0),MATCH(C9,B1:D1,0))</f>
        <v>1336.8055610095364</v>
      </c>
      <c r="H8" s="198"/>
    </row>
    <row r="9" spans="1:16" ht="13.5" thickBot="1" x14ac:dyDescent="0.25">
      <c r="A9" s="198" t="s">
        <v>575</v>
      </c>
      <c r="B9" s="200">
        <v>10</v>
      </c>
      <c r="C9" s="196" t="s">
        <v>50</v>
      </c>
      <c r="D9" s="196">
        <f>MATCH(C9,B1:D1,0)</f>
        <v>1</v>
      </c>
      <c r="H9" s="198"/>
    </row>
    <row r="11" spans="1:16" x14ac:dyDescent="0.2">
      <c r="B11" s="198" t="s">
        <v>576</v>
      </c>
      <c r="C11" s="201">
        <f>B7*B9*E8</f>
        <v>13368.055610095364</v>
      </c>
      <c r="I11" s="196" t="s">
        <v>531</v>
      </c>
    </row>
    <row r="12" spans="1:16" x14ac:dyDescent="0.2">
      <c r="G12" s="196" t="s">
        <v>488</v>
      </c>
      <c r="I12" s="274" t="s">
        <v>528</v>
      </c>
      <c r="J12" s="274"/>
      <c r="K12" s="195"/>
      <c r="L12" s="274" t="s">
        <v>529</v>
      </c>
    </row>
    <row r="13" spans="1:16" ht="14.25" x14ac:dyDescent="0.2">
      <c r="G13" s="196" t="s">
        <v>487</v>
      </c>
      <c r="H13" s="278">
        <v>1</v>
      </c>
      <c r="I13" s="273" t="s">
        <v>111</v>
      </c>
      <c r="J13" s="277" t="s">
        <v>533</v>
      </c>
      <c r="K13" s="196">
        <f>H13*INDEX(N2:P4,MATCH(I13,M2:M4,0),MATCH(L13,N1:P1,0))</f>
        <v>1.2334818377287082</v>
      </c>
      <c r="L13" s="273" t="s">
        <v>110</v>
      </c>
    </row>
    <row r="14" spans="1:16" x14ac:dyDescent="0.2">
      <c r="K14" s="197"/>
    </row>
    <row r="15" spans="1:16" x14ac:dyDescent="0.2">
      <c r="B15" s="196" t="s">
        <v>582</v>
      </c>
    </row>
    <row r="16" spans="1:16" x14ac:dyDescent="0.2">
      <c r="B16" s="195" t="s">
        <v>50</v>
      </c>
      <c r="C16" s="195" t="s">
        <v>457</v>
      </c>
      <c r="D16" s="195" t="s">
        <v>577</v>
      </c>
    </row>
    <row r="17" spans="1:5" x14ac:dyDescent="0.2">
      <c r="A17" s="195" t="s">
        <v>456</v>
      </c>
      <c r="B17" s="196">
        <f>1000000/(7.48*100)</f>
        <v>1336.8983957219252</v>
      </c>
      <c r="C17" s="196">
        <v>1000</v>
      </c>
      <c r="D17" s="196">
        <f>1000000/CONVERT(1000,"l","gal")</f>
        <v>3785.4117839999994</v>
      </c>
    </row>
    <row r="18" spans="1:5" x14ac:dyDescent="0.2">
      <c r="A18" s="195" t="s">
        <v>489</v>
      </c>
      <c r="B18" s="196">
        <f>1000000/CONVERT((7.48*100),"gal","l")</f>
        <v>353.171192992177</v>
      </c>
      <c r="C18" s="196">
        <f>1000000/CONVERT(1000,"gal","l")</f>
        <v>264.17205235814845</v>
      </c>
      <c r="D18" s="196">
        <v>1000</v>
      </c>
    </row>
    <row r="19" spans="1:5" x14ac:dyDescent="0.2">
      <c r="A19" s="195" t="s">
        <v>286</v>
      </c>
      <c r="B19" s="196">
        <f>43560/100</f>
        <v>435.6</v>
      </c>
      <c r="C19" s="196">
        <f>43560/(1000/7.48)</f>
        <v>325.8288</v>
      </c>
      <c r="D19" s="196">
        <f>F3/(CONVERT(1000,"l","gal")/F2)</f>
        <v>1233.4818325150852</v>
      </c>
    </row>
    <row r="21" spans="1:5" ht="13.5" thickBot="1" x14ac:dyDescent="0.25"/>
    <row r="22" spans="1:5" ht="13.5" thickBot="1" x14ac:dyDescent="0.25">
      <c r="A22" s="198" t="s">
        <v>582</v>
      </c>
      <c r="B22" s="199">
        <v>5</v>
      </c>
      <c r="C22" s="196" t="s">
        <v>457</v>
      </c>
      <c r="D22" s="196">
        <f>MATCH(C22,B16:D16,0)</f>
        <v>2</v>
      </c>
    </row>
    <row r="23" spans="1:5" ht="13.5" thickBot="1" x14ac:dyDescent="0.25">
      <c r="A23" s="198"/>
      <c r="E23" s="196">
        <f>INDEX($B$2:$D$4,MATCH(C24,A2:A4,0),MATCH(C22,B1:D1,0))</f>
        <v>1000</v>
      </c>
    </row>
    <row r="24" spans="1:5" ht="13.5" thickBot="1" x14ac:dyDescent="0.25">
      <c r="A24" s="198" t="s">
        <v>583</v>
      </c>
      <c r="B24" s="200">
        <v>5000</v>
      </c>
      <c r="C24" s="196" t="s">
        <v>456</v>
      </c>
      <c r="D24" s="196">
        <f>MATCH(C24,A17:A19,0)</f>
        <v>1</v>
      </c>
    </row>
    <row r="26" spans="1:5" x14ac:dyDescent="0.2">
      <c r="B26" s="198" t="s">
        <v>576</v>
      </c>
      <c r="C26" s="202">
        <f>(B22*E23)/B24</f>
        <v>1</v>
      </c>
    </row>
    <row r="27" spans="1:5" x14ac:dyDescent="0.2">
      <c r="C27" s="196" t="s">
        <v>48</v>
      </c>
    </row>
    <row r="28" spans="1:5" x14ac:dyDescent="0.2">
      <c r="C28" s="196" t="s">
        <v>49</v>
      </c>
    </row>
    <row r="31" spans="1:5" x14ac:dyDescent="0.2">
      <c r="A31" s="197" t="s">
        <v>493</v>
      </c>
    </row>
    <row r="33" spans="1:2" x14ac:dyDescent="0.2">
      <c r="B33" s="196" t="s">
        <v>482</v>
      </c>
    </row>
    <row r="37" spans="1:2" x14ac:dyDescent="0.2">
      <c r="A37" s="197" t="s">
        <v>527</v>
      </c>
    </row>
    <row r="38" spans="1:2" x14ac:dyDescent="0.2">
      <c r="A38" s="237" t="s">
        <v>470</v>
      </c>
    </row>
    <row r="39" spans="1:2" x14ac:dyDescent="0.2">
      <c r="A39" s="196" t="s">
        <v>476</v>
      </c>
    </row>
    <row r="40" spans="1:2" x14ac:dyDescent="0.2">
      <c r="A40" s="196" t="s">
        <v>500</v>
      </c>
    </row>
    <row r="42" spans="1:2" x14ac:dyDescent="0.2">
      <c r="A42" s="240" t="s">
        <v>501</v>
      </c>
    </row>
    <row r="43" spans="1:2" x14ac:dyDescent="0.2">
      <c r="A43" s="240" t="s">
        <v>502</v>
      </c>
    </row>
    <row r="44" spans="1:2" x14ac:dyDescent="0.2">
      <c r="A44" s="240" t="s">
        <v>475</v>
      </c>
    </row>
    <row r="45" spans="1:2" x14ac:dyDescent="0.2">
      <c r="A45" s="240" t="s">
        <v>468</v>
      </c>
    </row>
    <row r="47" spans="1:2" x14ac:dyDescent="0.2">
      <c r="A47" s="238" t="s">
        <v>469</v>
      </c>
    </row>
    <row r="48" spans="1:2" x14ac:dyDescent="0.2">
      <c r="A48" s="238" t="s">
        <v>471</v>
      </c>
    </row>
    <row r="49" spans="1:1" x14ac:dyDescent="0.2">
      <c r="A49" s="238" t="s">
        <v>472</v>
      </c>
    </row>
    <row r="50" spans="1:1" x14ac:dyDescent="0.2">
      <c r="A50" s="238" t="s">
        <v>468</v>
      </c>
    </row>
    <row r="52" spans="1:1" x14ac:dyDescent="0.2">
      <c r="A52" s="239" t="s">
        <v>477</v>
      </c>
    </row>
    <row r="53" spans="1:1" x14ac:dyDescent="0.2">
      <c r="A53" s="239" t="s">
        <v>471</v>
      </c>
    </row>
    <row r="54" spans="1:1" x14ac:dyDescent="0.2">
      <c r="A54" s="239" t="s">
        <v>472</v>
      </c>
    </row>
    <row r="55" spans="1:1" x14ac:dyDescent="0.2">
      <c r="A55" s="239" t="s">
        <v>468</v>
      </c>
    </row>
  </sheetData>
  <sheetProtection password="E218" sheet="1" objects="1" scenarios="1"/>
  <phoneticPr fontId="0" type="noConversion"/>
  <dataValidations count="3">
    <dataValidation type="list" allowBlank="1" showInputMessage="1" showErrorMessage="1" sqref="L13 I13" xr:uid="{3D3DAE60-1DB2-4438-BC7E-201CAEB4FA52}">
      <formula1>"Million Gallons (US),Megalitres (thousand cubic metres),Acre-feet"</formula1>
    </dataValidation>
    <dataValidation type="list" allowBlank="1" showInputMessage="1" showErrorMessage="1" sqref="C9 C22" xr:uid="{3C71F7F3-DD8E-4786-B100-A5748EBFC47E}">
      <formula1>"$/1000 gallons (US),$/1000 litres,$/100 cubic feet (ccf)"</formula1>
    </dataValidation>
    <dataValidation type="list" allowBlank="1" showInputMessage="1" showErrorMessage="1" sqref="C7 C24" xr:uid="{852AE7FC-3B32-4F26-8F75-A6D4401703A5}">
      <formula1>"million gallons (US),thousand cubic meters,acre-feet"</formula1>
    </dataValidation>
  </dataValidations>
  <pageMargins left="0.75" right="0.75" top="1" bottom="1" header="0.5" footer="0.5"/>
  <pageSetup orientation="portrait" horizontalDpi="4294967293"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0BB3DCC6C119144A1B799A7EB3E6334" ma:contentTypeVersion="13" ma:contentTypeDescription="Create a new document." ma:contentTypeScope="" ma:versionID="1f93e66f95633f5000fc5d51569a8d9d">
  <xsd:schema xmlns:xsd="http://www.w3.org/2001/XMLSchema" xmlns:xs="http://www.w3.org/2001/XMLSchema" xmlns:p="http://schemas.microsoft.com/office/2006/metadata/properties" xmlns:ns2="0cecfb9b-0468-465a-b9ae-414e901ae5ee" xmlns:ns3="087a676d-ac83-4d2d-856d-c0e8a94ac354" targetNamespace="http://schemas.microsoft.com/office/2006/metadata/properties" ma:root="true" ma:fieldsID="e6343cd748487ccf2fc1f7e87e6dd8a9" ns2:_="" ns3:_="">
    <xsd:import namespace="0cecfb9b-0468-465a-b9ae-414e901ae5ee"/>
    <xsd:import namespace="087a676d-ac83-4d2d-856d-c0e8a94ac35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SearchProperties" minOccurs="0"/>
                <xsd:element ref="ns2:MediaServiceGenerationTime" minOccurs="0"/>
                <xsd:element ref="ns2:MediaServiceEventHashCode" minOccurs="0"/>
                <xsd:element ref="ns2:MediaServiceOCR" minOccurs="0"/>
                <xsd:element ref="ns2:MediaLengthInSecond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ecfb9b-0468-465a-b9ae-414e901ae5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c81b0449-a7ed-439f-be55-0163d7004e4f" ma:termSetId="09814cd3-568e-fe90-9814-8d621ff8fb84" ma:anchorId="fba54fb3-c3e1-fe81-a776-ca4b69148c4d" ma:open="true" ma:isKeyword="false">
      <xsd:complexType>
        <xsd:sequence>
          <xsd:element ref="pc:Terms" minOccurs="0" maxOccurs="1"/>
        </xsd:sequence>
      </xsd:complex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87a676d-ac83-4d2d-856d-c0e8a94ac354"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a371723f-daa3-47c6-a5f0-66797a229488}" ma:internalName="TaxCatchAll" ma:showField="CatchAllData" ma:web="087a676d-ac83-4d2d-856d-c0e8a94ac35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LongProperties xmlns="http://schemas.microsoft.com/office/2006/metadata/longProperti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0cecfb9b-0468-465a-b9ae-414e901ae5ee">
      <Terms xmlns="http://schemas.microsoft.com/office/infopath/2007/PartnerControls"/>
    </lcf76f155ced4ddcb4097134ff3c332f>
    <TaxCatchAll xmlns="087a676d-ac83-4d2d-856d-c0e8a94ac354"/>
  </documentManagement>
</p:properties>
</file>

<file path=customXml/itemProps1.xml><?xml version="1.0" encoding="utf-8"?>
<ds:datastoreItem xmlns:ds="http://schemas.openxmlformats.org/officeDocument/2006/customXml" ds:itemID="{C42BDF82-F125-4E13-A308-FC1098785F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ecfb9b-0468-465a-b9ae-414e901ae5ee"/>
    <ds:schemaRef ds:uri="087a676d-ac83-4d2d-856d-c0e8a94ac35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C4C52AC-98D2-4B2E-91DF-B6B528804100}">
  <ds:schemaRefs>
    <ds:schemaRef ds:uri="http://schemas.microsoft.com/sharepoint/v3/contenttype/forms"/>
  </ds:schemaRefs>
</ds:datastoreItem>
</file>

<file path=customXml/itemProps3.xml><?xml version="1.0" encoding="utf-8"?>
<ds:datastoreItem xmlns:ds="http://schemas.openxmlformats.org/officeDocument/2006/customXml" ds:itemID="{8FBAF3C0-D833-41CE-BB7E-ED0B0C0B872B}">
  <ds:schemaRefs>
    <ds:schemaRef ds:uri="http://schemas.microsoft.com/office/2006/metadata/longProperties"/>
  </ds:schemaRefs>
</ds:datastoreItem>
</file>

<file path=customXml/itemProps4.xml><?xml version="1.0" encoding="utf-8"?>
<ds:datastoreItem xmlns:ds="http://schemas.openxmlformats.org/officeDocument/2006/customXml" ds:itemID="{EA2043C5-4232-439F-8A99-ACA1EFB7D81B}">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8</vt:i4>
      </vt:variant>
    </vt:vector>
  </HeadingPairs>
  <TitlesOfParts>
    <vt:vector size="18" baseType="lpstr">
      <vt:lpstr>Instructions</vt:lpstr>
      <vt:lpstr>Reporting Worksheet</vt:lpstr>
      <vt:lpstr>Water Balance</vt:lpstr>
      <vt:lpstr>Grading Matrix</vt:lpstr>
      <vt:lpstr>Service Connection Diagram</vt:lpstr>
      <vt:lpstr>Definitions</vt:lpstr>
      <vt:lpstr>Loss Control Planning</vt:lpstr>
      <vt:lpstr>Ex. Audit 1 (Million Gallons)</vt:lpstr>
      <vt:lpstr>Ex. Audit 2 (Megalitres)</vt:lpstr>
      <vt:lpstr>Acknowledgements</vt:lpstr>
      <vt:lpstr>Definitions!Print_Area</vt:lpstr>
      <vt:lpstr>'Ex. Audit 1 (Million Gallons)'!Print_Area</vt:lpstr>
      <vt:lpstr>'Ex. Audit 2 (Megalitres)'!Print_Area</vt:lpstr>
      <vt:lpstr>'Grading Matrix'!Print_Area</vt:lpstr>
      <vt:lpstr>'Reporting Worksheet'!Print_Area</vt:lpstr>
      <vt:lpstr>'Service Connection Diagram'!Print_Area</vt:lpstr>
      <vt:lpstr>Definitions!Print_Titles</vt:lpstr>
      <vt:lpstr>'Grading Matrix'!Print_Titles</vt:lpstr>
    </vt:vector>
  </TitlesOfParts>
  <Company>AWWA Water Loss Control Committee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AWWA Water Audit Software</dc:title>
  <dc:creator>Andrew Chastain-Howley, Alain Lalonde, George Kunkel P.E., David Sayers</dc:creator>
  <cp:keywords>Water Audit Software</cp:keywords>
  <cp:lastModifiedBy>Thompson, Michael [DRBC]</cp:lastModifiedBy>
  <cp:lastPrinted>2014-05-16T16:18:42Z</cp:lastPrinted>
  <dcterms:created xsi:type="dcterms:W3CDTF">2004-11-04T17:59:53Z</dcterms:created>
  <dcterms:modified xsi:type="dcterms:W3CDTF">2025-05-22T22:58:57Z</dcterms:modified>
  <cp:category>Water Audit Software</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Signature">
    <vt:lpwstr/>
  </property>
  <property fmtid="{D5CDD505-2E9C-101B-9397-08002B2CF9AE}" pid="3" name="display_urn:schemas-microsoft-com:office:office#Editor">
    <vt:lpwstr>Heinicke, Karl [DRBC]</vt:lpwstr>
  </property>
  <property fmtid="{D5CDD505-2E9C-101B-9397-08002B2CF9AE}" pid="4" name="Order">
    <vt:lpwstr>5902900.00000000</vt:lpwstr>
  </property>
  <property fmtid="{D5CDD505-2E9C-101B-9397-08002B2CF9AE}" pid="5" name="xd_ProgID">
    <vt:lpwstr/>
  </property>
  <property fmtid="{D5CDD505-2E9C-101B-9397-08002B2CF9AE}" pid="6" name="_ExtendedDescription">
    <vt:lpwstr/>
  </property>
  <property fmtid="{D5CDD505-2E9C-101B-9397-08002B2CF9AE}" pid="7" name="display_urn:schemas-microsoft-com:office:office#Author">
    <vt:lpwstr>Heinicke, Karl [DRBC]</vt:lpwstr>
  </property>
  <property fmtid="{D5CDD505-2E9C-101B-9397-08002B2CF9AE}" pid="8" name="ComplianceAssetId">
    <vt:lpwstr/>
  </property>
  <property fmtid="{D5CDD505-2E9C-101B-9397-08002B2CF9AE}" pid="9" name="TemplateUrl">
    <vt:lpwstr/>
  </property>
  <property fmtid="{D5CDD505-2E9C-101B-9397-08002B2CF9AE}" pid="10" name="ContentTypeId">
    <vt:lpwstr>0x010100F94FEEA97F7714429B464513D9D0A311</vt:lpwstr>
  </property>
  <property fmtid="{D5CDD505-2E9C-101B-9397-08002B2CF9AE}" pid="11" name="TriggerFlowInfo">
    <vt:lpwstr/>
  </property>
  <property fmtid="{D5CDD505-2E9C-101B-9397-08002B2CF9AE}" pid="12" name="_SourceUrl">
    <vt:lpwstr/>
  </property>
  <property fmtid="{D5CDD505-2E9C-101B-9397-08002B2CF9AE}" pid="13" name="_SharedFileIndex">
    <vt:lpwstr/>
  </property>
  <property fmtid="{D5CDD505-2E9C-101B-9397-08002B2CF9AE}" pid="14" name="MediaLengthInSeconds">
    <vt:lpwstr/>
  </property>
  <property fmtid="{D5CDD505-2E9C-101B-9397-08002B2CF9AE}" pid="15" name="MediaServiceImageTags">
    <vt:lpwstr/>
  </property>
</Properties>
</file>